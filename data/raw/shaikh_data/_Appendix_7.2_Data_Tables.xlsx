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7980" windowHeight="9290" firstSheet="1" activeTab="1"/>
  </bookViews>
  <sheets>
    <sheet name="Documentation " sheetId="3" r:id="rId1"/>
    <sheet name="SalterprodvtyData" sheetId="10" r:id="rId2"/>
    <sheet name="FigUSulcpricesalter" sheetId="11" r:id="rId3"/>
    <sheet name="FigUKulcpricesalter" sheetId="12" r:id="rId4"/>
    <sheet name="Salterulcprice" sheetId="13" r:id="rId5"/>
    <sheet name="ropdataUSind" sheetId="7" r:id="rId6"/>
    <sheet name="iropdataUSind" sheetId="6" r:id="rId7"/>
    <sheet name="iropOECDPPP" sheetId="8" r:id="rId8"/>
    <sheet name="Sheet1" sheetId="9" r:id="rId9"/>
  </sheets>
  <externalReferences>
    <externalReference r:id="rId10"/>
  </externalReferences>
  <calcPr calcId="145621"/>
</workbook>
</file>

<file path=xl/calcChain.xml><?xml version="1.0" encoding="utf-8"?>
<calcChain xmlns="http://schemas.openxmlformats.org/spreadsheetml/2006/main">
  <c r="M86" i="13" l="1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19" i="13"/>
  <c r="H18" i="13"/>
  <c r="H17" i="13"/>
  <c r="H15" i="13"/>
  <c r="H14" i="13"/>
  <c r="H13" i="13"/>
  <c r="H12" i="13"/>
  <c r="H11" i="13"/>
  <c r="H10" i="13"/>
  <c r="H9" i="13"/>
  <c r="D22" i="10"/>
  <c r="D21" i="10"/>
  <c r="D20" i="10"/>
  <c r="D19" i="10"/>
  <c r="D18" i="10"/>
  <c r="D17" i="10"/>
  <c r="D16" i="10"/>
  <c r="D15" i="10"/>
  <c r="G9" i="10"/>
  <c r="H9" i="10" s="1"/>
  <c r="E9" i="10"/>
  <c r="B9" i="10"/>
  <c r="G8" i="10"/>
  <c r="H8" i="10" s="1"/>
  <c r="E8" i="10"/>
  <c r="B8" i="10"/>
  <c r="G7" i="10"/>
  <c r="H7" i="10" s="1"/>
  <c r="E7" i="10"/>
  <c r="B7" i="10"/>
  <c r="C7" i="10" s="1"/>
  <c r="G6" i="10"/>
  <c r="H6" i="10" s="1"/>
  <c r="E6" i="10"/>
  <c r="F6" i="10" s="1"/>
  <c r="B6" i="10"/>
  <c r="C6" i="10" s="1"/>
  <c r="C9" i="10" l="1"/>
  <c r="C8" i="10"/>
  <c r="F9" i="10"/>
  <c r="F8" i="10"/>
  <c r="F7" i="10"/>
  <c r="C22" i="8" l="1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22" i="8"/>
  <c r="AG43" i="7" l="1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</calcChain>
</file>

<file path=xl/sharedStrings.xml><?xml version="1.0" encoding="utf-8"?>
<sst xmlns="http://schemas.openxmlformats.org/spreadsheetml/2006/main" count="359" uniqueCount="208">
  <si>
    <t>Average Rate of Profit, US Indusries, 1987-2005</t>
  </si>
  <si>
    <t>Accom</t>
  </si>
  <si>
    <t>Amusement</t>
  </si>
  <si>
    <t>Banks</t>
  </si>
  <si>
    <t>Broadcast.</t>
  </si>
  <si>
    <t>Chemicals</t>
  </si>
  <si>
    <t>Electr.Equ.</t>
  </si>
  <si>
    <t>Fab.Metal.</t>
  </si>
  <si>
    <t>Food</t>
  </si>
  <si>
    <t>Food.serv.</t>
  </si>
  <si>
    <t>Furniture</t>
  </si>
  <si>
    <t>Info.serv.</t>
  </si>
  <si>
    <t>Insurance</t>
  </si>
  <si>
    <t>Mach.</t>
  </si>
  <si>
    <t>Manuf.Misc.</t>
  </si>
  <si>
    <t>MiningexcOil</t>
  </si>
  <si>
    <t>Movies</t>
  </si>
  <si>
    <t>Nonmettalic</t>
  </si>
  <si>
    <t>Oil</t>
  </si>
  <si>
    <t>Other.trans.</t>
  </si>
  <si>
    <t>Paper</t>
  </si>
  <si>
    <t>Petroleum</t>
  </si>
  <si>
    <t>Plastic</t>
  </si>
  <si>
    <t>Prim.Metal.</t>
  </si>
  <si>
    <t>Printing</t>
  </si>
  <si>
    <t>Real</t>
  </si>
  <si>
    <t>Rental</t>
  </si>
  <si>
    <t>Text.Mills</t>
  </si>
  <si>
    <t>Truck.trans</t>
  </si>
  <si>
    <t>Warehouse</t>
  </si>
  <si>
    <t>Waste</t>
  </si>
  <si>
    <t>Wood</t>
  </si>
  <si>
    <t>All Private</t>
  </si>
  <si>
    <t>Deviation of sectoral rops from average rop (all private)</t>
  </si>
  <si>
    <t>Deviation of sectoral irops from average irop (all private)</t>
  </si>
  <si>
    <t>All Industries</t>
  </si>
  <si>
    <t>Air.trans</t>
  </si>
  <si>
    <t>Apparel</t>
  </si>
  <si>
    <t>Coke</t>
  </si>
  <si>
    <t>Comp.act.</t>
  </si>
  <si>
    <t>Constr.</t>
  </si>
  <si>
    <t>Elect.Apparatus</t>
  </si>
  <si>
    <t>Electricity</t>
  </si>
  <si>
    <t>Fab.metals</t>
  </si>
  <si>
    <t>Fishing</t>
  </si>
  <si>
    <t>Hotels</t>
  </si>
  <si>
    <t>Land.trans.</t>
  </si>
  <si>
    <t>Leather</t>
  </si>
  <si>
    <t>Mach&amp;equip</t>
  </si>
  <si>
    <t>Metals&amp;machine.</t>
  </si>
  <si>
    <t>Motor</t>
  </si>
  <si>
    <t>Post</t>
  </si>
  <si>
    <t>Publishing</t>
  </si>
  <si>
    <t>Radio</t>
  </si>
  <si>
    <t>Retail</t>
  </si>
  <si>
    <t>Rubber</t>
  </si>
  <si>
    <t>sale.motor</t>
  </si>
  <si>
    <t xml:space="preserve">Textile </t>
  </si>
  <si>
    <t>Trans.support</t>
  </si>
  <si>
    <t>Water.trans</t>
  </si>
  <si>
    <t>Wood&amp;publishing</t>
  </si>
  <si>
    <t>Wstrade</t>
  </si>
  <si>
    <t>Incremental Rate of Profit (IROP), US Indusries, 1988-2005</t>
  </si>
  <si>
    <t>Incremental Rate of Profit (IROP) OECD industries, 1988-2005</t>
  </si>
  <si>
    <t>Deviations of Incremental Rates of Profit from Average</t>
  </si>
  <si>
    <t>Documentation is provided in Appendix 7.1: Sources and Methods</t>
  </si>
  <si>
    <t>US Beet Sugar Industry, 1933-5</t>
  </si>
  <si>
    <t>US Cement Industry, 1935</t>
  </si>
  <si>
    <t>Construction Date of Plant</t>
  </si>
  <si>
    <t>Labor Productivity (tons per man-hr)</t>
  </si>
  <si>
    <t>Relative to Oldest</t>
  </si>
  <si>
    <t>Labor Productivity (barrels per man-hr)</t>
  </si>
  <si>
    <t>Wet Process</t>
  </si>
  <si>
    <t>Dry Process</t>
  </si>
  <si>
    <t>1860-69</t>
  </si>
  <si>
    <t>Before 1906</t>
  </si>
  <si>
    <t>1900-09</t>
  </si>
  <si>
    <t>1906-15</t>
  </si>
  <si>
    <t>1910-19</t>
  </si>
  <si>
    <t>1916-25</t>
  </si>
  <si>
    <t>1920-29</t>
  </si>
  <si>
    <t>1926-30</t>
  </si>
  <si>
    <t>Source: Salter 1969, Table 9, p. 98</t>
  </si>
  <si>
    <t>US Cotton Yarn and Cloth Industry, 1946: lbs. of cotton per man-hr</t>
  </si>
  <si>
    <t>Process</t>
  </si>
  <si>
    <t>Best-Practice</t>
  </si>
  <si>
    <t>Average Practice</t>
  </si>
  <si>
    <t>Best-Practice/Average</t>
  </si>
  <si>
    <t>Picking</t>
  </si>
  <si>
    <t>Card Tending</t>
  </si>
  <si>
    <t>Drawing Frame</t>
  </si>
  <si>
    <t>Spinning</t>
  </si>
  <si>
    <t>Doffing</t>
  </si>
  <si>
    <t>Slashing</t>
  </si>
  <si>
    <t>Weaving</t>
  </si>
  <si>
    <t>Loom Fixing</t>
  </si>
  <si>
    <t>Source: Salter 1969, Table 10, p. 97</t>
  </si>
  <si>
    <r>
      <t xml:space="preserve">Table 28.   </t>
    </r>
    <r>
      <rPr>
        <i/>
        <sz val="10"/>
        <rFont val="Times New Roman"/>
        <family val="1"/>
      </rPr>
      <t>Changes in output per man-hour and related quantities for</t>
    </r>
  </si>
  <si>
    <t>twenty-seven industries, United States, 1923-50</t>
  </si>
  <si>
    <t>(1923 = 100)</t>
  </si>
  <si>
    <t>Ranked according to increases in output</t>
  </si>
  <si>
    <t>Output</t>
  </si>
  <si>
    <t>per</t>
  </si>
  <si>
    <t>Unit</t>
  </si>
  <si>
    <t>Whole</t>
  </si>
  <si>
    <t>Man-</t>
  </si>
  <si>
    <t>man-</t>
  </si>
  <si>
    <t>Hourly</t>
  </si>
  <si>
    <t>labour</t>
  </si>
  <si>
    <t>sale</t>
  </si>
  <si>
    <t>hours</t>
  </si>
  <si>
    <t>hour</t>
  </si>
  <si>
    <t>earnings</t>
  </si>
  <si>
    <t>cost</t>
  </si>
  <si>
    <t>price</t>
  </si>
  <si>
    <t>ulc/price</t>
  </si>
  <si>
    <t>1. Rayon and allied products</t>
  </si>
  <si>
    <t>2. Electricity</t>
  </si>
  <si>
    <t>3. Petroleum refining</t>
  </si>
  <si>
    <t>4. Glass products</t>
  </si>
  <si>
    <t>5. Rubber tyres and tubes</t>
  </si>
  <si>
    <t>6.  Paint and varnishes</t>
  </si>
  <si>
    <t>7. Pulp and paper mills</t>
  </si>
  <si>
    <t>8. Canning and preserving</t>
  </si>
  <si>
    <t>9. Fertilisers</t>
  </si>
  <si>
    <t>10. Iron and steel</t>
  </si>
  <si>
    <t>11. Icecream</t>
  </si>
  <si>
    <t>12. Confectionery</t>
  </si>
  <si>
    <t>13. Hosiery</t>
  </si>
  <si>
    <t>14. Bread, etc.</t>
  </si>
  <si>
    <t>15. Cement</t>
  </si>
  <si>
    <t>16. Cotton goods</t>
  </si>
  <si>
    <t>17. Meat packing</t>
  </si>
  <si>
    <t>"5</t>
  </si>
  <si>
    <t>18. Footwear</t>
  </si>
  <si>
    <t>19. Coke</t>
  </si>
  <si>
    <t>20. Cane sugar refining</t>
  </si>
  <si>
    <t>21. Non-ferrous metals</t>
  </si>
  <si>
    <t>22. Woollen and worsted</t>
  </si>
  <si>
    <t>"3</t>
  </si>
  <si>
    <t>23. Tobacco products</t>
  </si>
  <si>
    <t>24. Leather</t>
  </si>
  <si>
    <t>25. Flour, etc.</t>
  </si>
  <si>
    <t>26. Bituminous coal</t>
  </si>
  <si>
    <t>27. Clay construction products</t>
  </si>
  <si>
    <t>Median</t>
  </si>
  <si>
    <t>Upper quartile</t>
  </si>
  <si>
    <t>Lower quartile</t>
  </si>
  <si>
    <r>
      <t xml:space="preserve">Notes: </t>
    </r>
    <r>
      <rPr>
        <sz val="9"/>
        <rFont val="Times New Roman"/>
        <family val="1"/>
      </rPr>
      <t>(a)  Figures for electricity refer to 1923-48 only, and for confectionery for the period</t>
    </r>
  </si>
  <si>
    <t>1925-50.</t>
  </si>
  <si>
    <t>(6)  Prices for icecream and glass products are based on unit values.</t>
  </si>
  <si>
    <r>
      <t xml:space="preserve">(c)   </t>
    </r>
    <r>
      <rPr>
        <sz val="9"/>
        <rFont val="Times New Roman"/>
        <family val="1"/>
      </rPr>
      <t>Iron and steel refers to the blast furnaces and melting and rolling trades only.</t>
    </r>
  </si>
  <si>
    <r>
      <t xml:space="preserve">Sources: </t>
    </r>
    <r>
      <rPr>
        <sz val="9"/>
        <rFont val="Times New Roman"/>
        <family val="1"/>
      </rPr>
      <t>See Appendix A.</t>
    </r>
  </si>
  <si>
    <r>
      <t xml:space="preserve">Table 33.  </t>
    </r>
    <r>
      <rPr>
        <i/>
        <sz val="10"/>
        <rFont val="Times New Roman"/>
        <family val="1"/>
      </rPr>
      <t>Changes over the period 1954-63 for selected United Kingdom industries •</t>
    </r>
  </si>
  <si>
    <t>(Index numbers 1954 = 100</t>
  </si>
  <si>
    <t>Industry (1958 S.I.C.)</t>
  </si>
  <si>
    <t>Total</t>
  </si>
  <si>
    <t>Earnings</t>
  </si>
  <si>
    <t>gross</t>
  </si>
  <si>
    <t>(selling price)</t>
  </si>
  <si>
    <t>ranked according to</t>
  </si>
  <si>
    <t>Gross</t>
  </si>
  <si>
    <t>employ-</t>
  </si>
  <si>
    <t>wage</t>
  </si>
  <si>
    <t>margin</t>
  </si>
  <si>
    <t>material</t>
  </si>
  <si>
    <t>Net</t>
  </si>
  <si>
    <t>increases in output</t>
  </si>
  <si>
    <t>output</t>
  </si>
  <si>
    <t>ment</t>
  </si>
  <si>
    <t>head</t>
  </si>
  <si>
    <t>operative</t>
  </si>
  <si>
    <t>1.  Electricity</t>
  </si>
  <si>
    <t>2. Chemicals (general)*</t>
  </si>
  <si>
    <t>3. Toilet preparations*</t>
  </si>
  <si>
    <t>4. Fertilisers, etc.</t>
  </si>
  <si>
    <t>5. Misc. paper manufactures</t>
  </si>
  <si>
    <t>139.o</t>
  </si>
  <si>
    <t>6. Glass</t>
  </si>
  <si>
    <t>7. Paper and board</t>
  </si>
  <si>
    <t>8. Hosiery and knitted goods</t>
  </si>
  <si>
    <t>9. Linoleum, leathercloth, etc.</t>
  </si>
  <si>
    <t>10. Wire and wire manufactures</t>
  </si>
  <si>
    <t>11. Rubber</t>
  </si>
  <si>
    <t>12. Non-ferrous metals</t>
  </si>
  <si>
    <t>13. Steel tubes</t>
  </si>
  <si>
    <t>14. Brewing and malting</t>
  </si>
  <si>
    <t>15. Paint and printing ink</t>
  </si>
  <si>
    <t>16. Cement</t>
  </si>
  <si>
    <t>17. Footwear</t>
  </si>
  <si>
    <t>84.8    ,</t>
  </si>
  <si>
    <t>18. Iron and steel (general)</t>
  </si>
  <si>
    <t>19. Bricks, fireclay, etc.</t>
  </si>
  <si>
    <t>20. Dyestuffs</t>
  </si>
  <si>
    <t>21.  Cutlery</t>
  </si>
  <si>
    <t>22. Jute</t>
  </si>
  <si>
    <t>23. Cocoa and confectionery</t>
  </si>
  <si>
    <t>93'7</t>
  </si>
  <si>
    <t>24. Brushes and brooms</t>
  </si>
  <si>
    <t>25. Coal mining</t>
  </si>
  <si>
    <t>26. Coke ovens</t>
  </si>
  <si>
    <t>9O.5</t>
  </si>
  <si>
    <t>27. Leather</t>
  </si>
  <si>
    <t>28. Cotton spinning, etc.</t>
  </si>
  <si>
    <r>
      <t xml:space="preserve">Sources: </t>
    </r>
    <r>
      <rPr>
        <sz val="8"/>
        <rFont val="Times New Roman"/>
        <family val="1"/>
      </rPr>
      <t>Based principally on Census of Production Reports.</t>
    </r>
  </si>
  <si>
    <t>~l See footnote on page 196</t>
  </si>
  <si>
    <t xml:space="preserve">Table 7.4: Age and Labor Productivity of Plants in Existence </t>
  </si>
  <si>
    <t>Table 7.5: Productivity Differences Between Best-Practice and Average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</si>
</sst>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i/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7"/>
      <name val="Times New Roman"/>
      <family val="1"/>
    </font>
    <font>
      <sz val="6"/>
      <name val="Times New Roman"/>
      <family val="1"/>
    </font>
    <font>
      <b/>
      <sz val="7"/>
      <name val="Times New Roman"/>
      <family val="1"/>
    </font>
    <font>
      <b/>
      <sz val="6"/>
      <name val="Times New Roman"/>
      <family val="1"/>
    </font>
    <font>
      <i/>
      <sz val="9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 applyNumberFormat="0" applyFont="0" applyFill="0" applyBorder="0" applyAlignment="0" applyProtection="0">
      <alignment vertical="top"/>
    </xf>
  </cellStyleXfs>
  <cellXfs count="71">
    <xf numFmtId="0" fontId="0" fillId="0" borderId="0" xfId="0"/>
    <xf numFmtId="0" fontId="0" fillId="3" borderId="0" xfId="0" applyFill="1"/>
    <xf numFmtId="0" fontId="5" fillId="2" borderId="0" xfId="0" applyFont="1" applyFill="1"/>
    <xf numFmtId="0" fontId="4" fillId="0" borderId="0" xfId="0" applyFont="1"/>
    <xf numFmtId="10" fontId="0" fillId="0" borderId="0" xfId="0" applyNumberFormat="1"/>
    <xf numFmtId="10" fontId="0" fillId="4" borderId="0" xfId="0" applyNumberFormat="1" applyFill="1"/>
    <xf numFmtId="0" fontId="4" fillId="5" borderId="0" xfId="0" applyFont="1" applyFill="1"/>
    <xf numFmtId="10" fontId="0" fillId="5" borderId="0" xfId="0" applyNumberFormat="1" applyFill="1"/>
    <xf numFmtId="0" fontId="2" fillId="0" borderId="0" xfId="1"/>
    <xf numFmtId="0" fontId="2" fillId="0" borderId="0" xfId="1" applyAlignment="1">
      <alignment horizontal="left"/>
    </xf>
    <xf numFmtId="0" fontId="2" fillId="0" borderId="0" xfId="1" applyNumberFormat="1"/>
    <xf numFmtId="0" fontId="5" fillId="0" borderId="0" xfId="0" applyFont="1"/>
    <xf numFmtId="0" fontId="5" fillId="3" borderId="0" xfId="0" applyFont="1" applyFill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3" fillId="0" borderId="0" xfId="1" applyFont="1"/>
    <xf numFmtId="0" fontId="6" fillId="0" borderId="1" xfId="1" applyFont="1" applyFill="1" applyBorder="1"/>
    <xf numFmtId="0" fontId="2" fillId="5" borderId="0" xfId="1" applyNumberFormat="1" applyFill="1"/>
    <xf numFmtId="0" fontId="1" fillId="0" borderId="0" xfId="2"/>
    <xf numFmtId="0" fontId="7" fillId="0" borderId="0" xfId="2" applyFont="1" applyAlignment="1">
      <alignment vertical="top" wrapText="1"/>
    </xf>
    <xf numFmtId="0" fontId="1" fillId="0" borderId="0" xfId="2" applyAlignment="1">
      <alignment vertical="top" wrapText="1"/>
    </xf>
    <xf numFmtId="0" fontId="1" fillId="0" borderId="0" xfId="2" applyAlignment="1">
      <alignment wrapText="1"/>
    </xf>
    <xf numFmtId="0" fontId="7" fillId="0" borderId="0" xfId="2" applyFont="1" applyAlignment="1">
      <alignment wrapText="1"/>
    </xf>
    <xf numFmtId="0" fontId="8" fillId="0" borderId="0" xfId="2" applyFont="1" applyAlignment="1">
      <alignment horizontal="center"/>
    </xf>
    <xf numFmtId="0" fontId="1" fillId="0" borderId="0" xfId="2" applyAlignment="1">
      <alignment horizontal="left"/>
    </xf>
    <xf numFmtId="2" fontId="1" fillId="0" borderId="0" xfId="2" applyNumberFormat="1" applyAlignment="1">
      <alignment horizontal="center"/>
    </xf>
    <xf numFmtId="2" fontId="1" fillId="0" borderId="0" xfId="2" applyNumberFormat="1"/>
    <xf numFmtId="0" fontId="9" fillId="0" borderId="0" xfId="2" applyFont="1"/>
    <xf numFmtId="0" fontId="8" fillId="0" borderId="0" xfId="2" applyFont="1" applyAlignment="1">
      <alignment horizontal="center" vertical="top"/>
    </xf>
    <xf numFmtId="0" fontId="7" fillId="0" borderId="0" xfId="2" applyFont="1" applyAlignment="1">
      <alignment horizontal="left"/>
    </xf>
    <xf numFmtId="0" fontId="1" fillId="0" borderId="0" xfId="2" applyAlignment="1">
      <alignment horizontal="center"/>
    </xf>
    <xf numFmtId="0" fontId="10" fillId="0" borderId="0" xfId="3" applyNumberFormat="1" applyFont="1" applyFill="1" applyBorder="1" applyAlignment="1" applyProtection="1">
      <alignment vertical="top"/>
    </xf>
    <xf numFmtId="0" fontId="4" fillId="0" borderId="0" xfId="3" applyNumberFormat="1" applyFont="1" applyFill="1" applyBorder="1" applyAlignment="1" applyProtection="1">
      <alignment vertical="top"/>
    </xf>
    <xf numFmtId="0" fontId="11" fillId="0" borderId="0" xfId="3" applyNumberFormat="1" applyFont="1" applyFill="1" applyBorder="1" applyAlignment="1" applyProtection="1">
      <alignment vertical="top"/>
    </xf>
    <xf numFmtId="0" fontId="4" fillId="0" borderId="0" xfId="3" applyNumberFormat="1" applyFont="1" applyFill="1" applyBorder="1" applyAlignment="1" applyProtection="1">
      <alignment horizontal="left" vertical="top"/>
    </xf>
    <xf numFmtId="0" fontId="12" fillId="0" borderId="0" xfId="3" applyNumberFormat="1" applyFont="1" applyFill="1" applyBorder="1" applyAlignment="1" applyProtection="1">
      <alignment horizontal="left" vertical="top"/>
    </xf>
    <xf numFmtId="0" fontId="13" fillId="0" borderId="0" xfId="3" applyNumberFormat="1" applyFont="1" applyFill="1" applyBorder="1" applyAlignment="1" applyProtection="1">
      <alignment horizontal="left" vertical="top"/>
    </xf>
    <xf numFmtId="0" fontId="13" fillId="0" borderId="0" xfId="3" applyNumberFormat="1" applyFont="1" applyFill="1" applyBorder="1" applyAlignment="1" applyProtection="1">
      <alignment horizontal="center" vertical="top"/>
    </xf>
    <xf numFmtId="0" fontId="12" fillId="0" borderId="0" xfId="3" applyNumberFormat="1" applyFont="1" applyFill="1" applyBorder="1" applyAlignment="1" applyProtection="1">
      <alignment horizontal="center" vertical="top"/>
    </xf>
    <xf numFmtId="0" fontId="13" fillId="0" borderId="0" xfId="3" applyNumberFormat="1" applyFont="1" applyFill="1" applyBorder="1" applyAlignment="1" applyProtection="1">
      <alignment horizontal="left" vertical="top"/>
    </xf>
    <xf numFmtId="0" fontId="13" fillId="0" borderId="0" xfId="3" applyNumberFormat="1" applyFont="1" applyFill="1" applyBorder="1" applyAlignment="1" applyProtection="1">
      <alignment horizontal="left" vertical="top" indent="1"/>
    </xf>
    <xf numFmtId="0" fontId="13" fillId="0" borderId="0" xfId="3" applyNumberFormat="1" applyFont="1" applyFill="1" applyBorder="1" applyAlignment="1" applyProtection="1">
      <alignment horizontal="right" vertical="top"/>
    </xf>
    <xf numFmtId="0" fontId="14" fillId="0" borderId="0" xfId="3" applyNumberFormat="1" applyFont="1" applyFill="1" applyBorder="1" applyAlignment="1" applyProtection="1">
      <alignment vertical="top"/>
    </xf>
    <xf numFmtId="0" fontId="12" fillId="0" borderId="0" xfId="3" applyNumberFormat="1" applyFont="1" applyFill="1" applyBorder="1" applyAlignment="1" applyProtection="1">
      <alignment horizontal="right" vertical="top"/>
    </xf>
    <xf numFmtId="0" fontId="15" fillId="0" borderId="0" xfId="3" applyNumberFormat="1" applyFont="1" applyFill="1" applyBorder="1" applyAlignment="1" applyProtection="1">
      <alignment horizontal="right" vertical="top"/>
    </xf>
    <xf numFmtId="0" fontId="15" fillId="0" borderId="0" xfId="3" applyNumberFormat="1" applyFont="1" applyFill="1" applyBorder="1" applyAlignment="1" applyProtection="1">
      <alignment horizontal="left" vertical="top" indent="1"/>
    </xf>
    <xf numFmtId="0" fontId="16" fillId="0" borderId="0" xfId="3" applyNumberFormat="1" applyFont="1" applyFill="1" applyBorder="1" applyAlignment="1" applyProtection="1">
      <alignment horizontal="center" vertical="top"/>
    </xf>
    <xf numFmtId="0" fontId="16" fillId="0" borderId="0" xfId="3" applyNumberFormat="1" applyFont="1" applyFill="1" applyBorder="1" applyAlignment="1" applyProtection="1">
      <alignment horizontal="right" vertical="top"/>
    </xf>
    <xf numFmtId="164" fontId="14" fillId="0" borderId="0" xfId="3" applyNumberFormat="1" applyFont="1" applyFill="1" applyBorder="1" applyAlignment="1" applyProtection="1">
      <alignment vertical="top"/>
    </xf>
    <xf numFmtId="0" fontId="15" fillId="0" borderId="0" xfId="3" applyNumberFormat="1" applyFont="1" applyFill="1" applyBorder="1" applyAlignment="1" applyProtection="1">
      <alignment horizontal="center" vertical="top"/>
    </xf>
    <xf numFmtId="0" fontId="17" fillId="0" borderId="0" xfId="3" applyNumberFormat="1" applyFont="1" applyFill="1" applyBorder="1" applyAlignment="1" applyProtection="1">
      <alignment horizontal="right" vertical="top"/>
    </xf>
    <xf numFmtId="0" fontId="18" fillId="0" borderId="0" xfId="3" applyNumberFormat="1" applyFont="1" applyFill="1" applyBorder="1" applyAlignment="1" applyProtection="1">
      <alignment horizontal="center" vertical="top"/>
    </xf>
    <xf numFmtId="0" fontId="17" fillId="0" borderId="0" xfId="3" applyNumberFormat="1" applyFont="1" applyFill="1" applyBorder="1" applyAlignment="1" applyProtection="1">
      <alignment horizontal="center" vertical="top"/>
    </xf>
    <xf numFmtId="0" fontId="18" fillId="0" borderId="0" xfId="3" applyNumberFormat="1" applyFont="1" applyFill="1" applyBorder="1" applyAlignment="1" applyProtection="1">
      <alignment horizontal="right" vertical="top"/>
    </xf>
    <xf numFmtId="0" fontId="13" fillId="0" borderId="0" xfId="3" applyNumberFormat="1" applyFont="1" applyFill="1" applyBorder="1" applyAlignment="1" applyProtection="1">
      <alignment horizontal="left" vertical="top" indent="2"/>
    </xf>
    <xf numFmtId="0" fontId="19" fillId="0" borderId="0" xfId="3" applyNumberFormat="1" applyFont="1" applyFill="1" applyBorder="1" applyAlignment="1" applyProtection="1">
      <alignment vertical="top"/>
    </xf>
    <xf numFmtId="0" fontId="13" fillId="0" borderId="0" xfId="3" applyNumberFormat="1" applyFont="1" applyFill="1" applyBorder="1" applyAlignment="1" applyProtection="1">
      <alignment vertical="top"/>
    </xf>
    <xf numFmtId="0" fontId="12" fillId="0" borderId="0" xfId="3" applyNumberFormat="1" applyFont="1" applyFill="1" applyBorder="1" applyAlignment="1" applyProtection="1">
      <alignment vertical="top"/>
    </xf>
    <xf numFmtId="0" fontId="12" fillId="0" borderId="0" xfId="3" applyNumberFormat="1" applyFont="1" applyFill="1" applyBorder="1" applyAlignment="1" applyProtection="1">
      <alignment horizontal="left" vertical="top" indent="1"/>
    </xf>
    <xf numFmtId="0" fontId="12" fillId="6" borderId="0" xfId="3" applyNumberFormat="1" applyFont="1" applyFill="1" applyBorder="1" applyAlignment="1" applyProtection="1">
      <alignment horizontal="right" vertical="top"/>
    </xf>
    <xf numFmtId="0" fontId="12" fillId="0" borderId="0" xfId="3" applyNumberFormat="1" applyFont="1" applyFill="1" applyBorder="1" applyAlignment="1" applyProtection="1">
      <alignment horizontal="left" vertical="top" indent="2"/>
    </xf>
    <xf numFmtId="0" fontId="12" fillId="0" borderId="0" xfId="3" applyNumberFormat="1" applyFont="1" applyFill="1" applyBorder="1" applyAlignment="1" applyProtection="1">
      <alignment horizontal="left" vertical="top"/>
    </xf>
    <xf numFmtId="0" fontId="12" fillId="6" borderId="0" xfId="3" applyNumberFormat="1" applyFont="1" applyFill="1" applyBorder="1" applyAlignment="1" applyProtection="1">
      <alignment horizontal="left" vertical="top" indent="1"/>
    </xf>
    <xf numFmtId="164" fontId="4" fillId="0" borderId="0" xfId="3" applyNumberFormat="1" applyFont="1" applyFill="1" applyBorder="1" applyAlignment="1" applyProtection="1">
      <alignment vertical="top"/>
    </xf>
    <xf numFmtId="0" fontId="13" fillId="6" borderId="0" xfId="3" applyNumberFormat="1" applyFont="1" applyFill="1" applyBorder="1" applyAlignment="1" applyProtection="1">
      <alignment horizontal="right" vertical="top"/>
    </xf>
    <xf numFmtId="0" fontId="16" fillId="0" borderId="0" xfId="3" applyNumberFormat="1" applyFont="1" applyFill="1" applyBorder="1" applyAlignment="1" applyProtection="1">
      <alignment horizontal="left" vertical="top" indent="1"/>
    </xf>
    <xf numFmtId="0" fontId="15" fillId="6" borderId="0" xfId="3" applyNumberFormat="1" applyFont="1" applyFill="1" applyBorder="1" applyAlignment="1" applyProtection="1">
      <alignment horizontal="right" vertical="top"/>
    </xf>
    <xf numFmtId="0" fontId="20" fillId="0" borderId="0" xfId="3" applyNumberFormat="1" applyFont="1" applyFill="1" applyBorder="1" applyAlignment="1" applyProtection="1">
      <alignment horizontal="right" vertical="top"/>
    </xf>
    <xf numFmtId="0" fontId="12" fillId="6" borderId="0" xfId="3" applyNumberFormat="1" applyFont="1" applyFill="1" applyBorder="1" applyAlignment="1" applyProtection="1">
      <alignment horizontal="right" vertical="center"/>
    </xf>
    <xf numFmtId="0" fontId="21" fillId="0" borderId="0" xfId="3" applyNumberFormat="1" applyFont="1" applyFill="1" applyBorder="1" applyAlignment="1" applyProtection="1">
      <alignment horizontal="left" vertical="top" indent="1"/>
    </xf>
    <xf numFmtId="0" fontId="22" fillId="0" borderId="0" xfId="3" applyNumberFormat="1" applyFont="1" applyFill="1" applyBorder="1" applyAlignment="1" applyProtection="1">
      <alignment vertical="top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worksheet" Target="worksheets/sheet3.xml"/><Relationship Id="rId10" Type="http://schemas.openxmlformats.org/officeDocument/2006/relationships/externalLink" Target="externalLinks/externalLink1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7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</a:t>
            </a:r>
            <a:r>
              <a:rPr lang="en-US" sz="1400" b="1" baseline="0"/>
              <a:t> 7.11: Change in Selling Price vs. Change in Unit Labor Cost, US 1923-1950</a:t>
            </a:r>
          </a:p>
          <a:p>
            <a:pPr>
              <a:defRPr sz="1400" b="1"/>
            </a:pPr>
            <a:r>
              <a:rPr lang="en-US" sz="1400" b="1" baseline="0"/>
              <a:t>(ratio of each variable in 1950 to its 1923 value)</a:t>
            </a:r>
            <a:endParaRPr lang="en-US" sz="1400" b="1"/>
          </a:p>
        </c:rich>
      </c:tx>
      <c:layout>
        <c:manualLayout>
          <c:xMode val="edge"/>
          <c:yMode val="edge"/>
          <c:x val="0.10108591085310967"/>
          <c:y val="1.01246108402534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075635912186925E-2"/>
          <c:y val="9.6366362725887111E-2"/>
          <c:w val="0.92062506940317756"/>
          <c:h val="0.77115790556930264"/>
        </c:manualLayout>
      </c:layout>
      <c:scatterChart>
        <c:scatterStyle val="lineMarker"/>
        <c:varyColors val="0"/>
        <c:ser>
          <c:idx val="0"/>
          <c:order val="0"/>
          <c:tx>
            <c:strRef>
              <c:f>Salterulcprice!$G$8</c:f>
              <c:strCache>
                <c:ptCount val="1"/>
                <c:pt idx="0">
                  <c:v>price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trendline>
            <c:trendlineType val="linear"/>
            <c:dispRSqr val="0"/>
            <c:dispEq val="0"/>
          </c:trendline>
          <c:xVal>
            <c:numRef>
              <c:f>Salterulcprice!$F$9:$F$38</c:f>
              <c:numCache>
                <c:formatCode>General</c:formatCode>
                <c:ptCount val="30"/>
                <c:pt idx="0">
                  <c:v>28</c:v>
                </c:pt>
                <c:pt idx="1">
                  <c:v>84</c:v>
                </c:pt>
                <c:pt idx="2">
                  <c:v>104</c:v>
                </c:pt>
                <c:pt idx="3">
                  <c:v>125</c:v>
                </c:pt>
                <c:pt idx="4">
                  <c:v>88</c:v>
                </c:pt>
                <c:pt idx="5">
                  <c:v>158</c:v>
                </c:pt>
                <c:pt idx="6">
                  <c:v>155</c:v>
                </c:pt>
                <c:pt idx="7">
                  <c:v>159</c:v>
                </c:pt>
                <c:pt idx="8">
                  <c:v>157</c:v>
                </c:pt>
                <c:pt idx="9">
                  <c:v>107</c:v>
                </c:pt>
                <c:pt idx="10">
                  <c:v>67</c:v>
                </c:pt>
                <c:pt idx="11">
                  <c:v>114</c:v>
                </c:pt>
                <c:pt idx="12">
                  <c:v>199</c:v>
                </c:pt>
                <c:pt idx="13">
                  <c:v>220</c:v>
                </c:pt>
                <c:pt idx="14">
                  <c:v>112</c:v>
                </c:pt>
                <c:pt idx="15">
                  <c:v>152</c:v>
                </c:pt>
                <c:pt idx="16">
                  <c:v>216</c:v>
                </c:pt>
                <c:pt idx="17">
                  <c:v>127</c:v>
                </c:pt>
                <c:pt idx="18">
                  <c:v>167</c:v>
                </c:pt>
                <c:pt idx="19">
                  <c:v>177</c:v>
                </c:pt>
                <c:pt idx="20">
                  <c:v>142</c:v>
                </c:pt>
                <c:pt idx="21">
                  <c:v>137</c:v>
                </c:pt>
                <c:pt idx="22">
                  <c:v>107</c:v>
                </c:pt>
                <c:pt idx="23">
                  <c:v>169</c:v>
                </c:pt>
                <c:pt idx="24">
                  <c:v>205</c:v>
                </c:pt>
                <c:pt idx="25">
                  <c:v>151</c:v>
                </c:pt>
                <c:pt idx="26">
                  <c:v>138</c:v>
                </c:pt>
                <c:pt idx="27">
                  <c:v>142</c:v>
                </c:pt>
                <c:pt idx="28">
                  <c:v>167</c:v>
                </c:pt>
                <c:pt idx="29">
                  <c:v>107</c:v>
                </c:pt>
              </c:numCache>
            </c:numRef>
          </c:xVal>
          <c:yVal>
            <c:numRef>
              <c:f>Salterulcprice!$G$9:$G$38</c:f>
              <c:numCache>
                <c:formatCode>General</c:formatCode>
                <c:ptCount val="30"/>
                <c:pt idx="0">
                  <c:v>32</c:v>
                </c:pt>
                <c:pt idx="1">
                  <c:v>61</c:v>
                </c:pt>
                <c:pt idx="2">
                  <c:v>138</c:v>
                </c:pt>
                <c:pt idx="3">
                  <c:v>97</c:v>
                </c:pt>
                <c:pt idx="4">
                  <c:v>65</c:v>
                </c:pt>
                <c:pt idx="5">
                  <c:v>139</c:v>
                </c:pt>
                <c:pt idx="6">
                  <c:v>159</c:v>
                </c:pt>
                <c:pt idx="8">
                  <c:v>97</c:v>
                </c:pt>
                <c:pt idx="9">
                  <c:v>147</c:v>
                </c:pt>
                <c:pt idx="10">
                  <c:v>85</c:v>
                </c:pt>
                <c:pt idx="13">
                  <c:v>170</c:v>
                </c:pt>
                <c:pt idx="14">
                  <c:v>127</c:v>
                </c:pt>
                <c:pt idx="15">
                  <c:v>168</c:v>
                </c:pt>
                <c:pt idx="16">
                  <c:v>299</c:v>
                </c:pt>
                <c:pt idx="17">
                  <c:v>193</c:v>
                </c:pt>
                <c:pt idx="18">
                  <c:v>191</c:v>
                </c:pt>
                <c:pt idx="19">
                  <c:v>128</c:v>
                </c:pt>
                <c:pt idx="20">
                  <c:v>140</c:v>
                </c:pt>
                <c:pt idx="21">
                  <c:v>151</c:v>
                </c:pt>
                <c:pt idx="22">
                  <c:v>32</c:v>
                </c:pt>
                <c:pt idx="23">
                  <c:v>181</c:v>
                </c:pt>
                <c:pt idx="24">
                  <c:v>175</c:v>
                </c:pt>
                <c:pt idx="25">
                  <c:v>171</c:v>
                </c:pt>
                <c:pt idx="26">
                  <c:v>163</c:v>
                </c:pt>
                <c:pt idx="27">
                  <c:v>139</c:v>
                </c:pt>
                <c:pt idx="28">
                  <c:v>171</c:v>
                </c:pt>
                <c:pt idx="29">
                  <c:v>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579328"/>
        <c:axId val="388580864"/>
      </c:scatterChart>
      <c:valAx>
        <c:axId val="38857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88580864"/>
        <c:crosses val="autoZero"/>
        <c:crossBetween val="midCat"/>
      </c:valAx>
      <c:valAx>
        <c:axId val="388580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388579328"/>
        <c:crosses val="autoZero"/>
        <c:crossBetween val="midCat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</a:t>
            </a:r>
            <a:r>
              <a:rPr lang="en-US" sz="1400" baseline="0"/>
              <a:t> 7.12: Change in Selling Price vs. Change in Unit Labor Cost, UK 1954-1963</a:t>
            </a:r>
          </a:p>
          <a:p>
            <a:pPr>
              <a:defRPr/>
            </a:pPr>
            <a:r>
              <a:rPr lang="en-US" sz="1400" baseline="0"/>
              <a:t>(ratio of each variable in 1963 to its 1954 value)</a:t>
            </a:r>
            <a:endParaRPr lang="en-US" sz="1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1281248242063484E-2"/>
          <c:y val="9.6366362725887167E-2"/>
          <c:w val="0.91182311719295706"/>
          <c:h val="0.77115790556930264"/>
        </c:manualLayout>
      </c:layout>
      <c:scatterChart>
        <c:scatterStyle val="lineMarker"/>
        <c:varyColors val="0"/>
        <c:ser>
          <c:idx val="0"/>
          <c:order val="0"/>
          <c:tx>
            <c:strRef>
              <c:f>Salterulcprice!$L$55</c:f>
              <c:strCache>
                <c:ptCount val="1"/>
                <c:pt idx="0">
                  <c:v>price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trendline>
            <c:trendlineType val="linear"/>
            <c:dispRSqr val="0"/>
            <c:dispEq val="0"/>
          </c:trendline>
          <c:xVal>
            <c:numRef>
              <c:f>Salterulcprice!$H$56:$H$86</c:f>
              <c:numCache>
                <c:formatCode>General</c:formatCode>
                <c:ptCount val="31"/>
                <c:pt idx="0">
                  <c:v>98.2</c:v>
                </c:pt>
                <c:pt idx="1">
                  <c:v>99.7</c:v>
                </c:pt>
                <c:pt idx="2">
                  <c:v>149.80000000000001</c:v>
                </c:pt>
                <c:pt idx="3">
                  <c:v>110.8</c:v>
                </c:pt>
                <c:pt idx="4">
                  <c:v>118.7</c:v>
                </c:pt>
                <c:pt idx="5">
                  <c:v>124</c:v>
                </c:pt>
                <c:pt idx="6">
                  <c:v>133.9</c:v>
                </c:pt>
                <c:pt idx="7">
                  <c:v>105.4</c:v>
                </c:pt>
                <c:pt idx="8">
                  <c:v>141.19999999999999</c:v>
                </c:pt>
                <c:pt idx="9">
                  <c:v>136.9</c:v>
                </c:pt>
                <c:pt idx="10">
                  <c:v>145.69999999999999</c:v>
                </c:pt>
                <c:pt idx="11">
                  <c:v>129.80000000000001</c:v>
                </c:pt>
                <c:pt idx="12">
                  <c:v>147.5</c:v>
                </c:pt>
                <c:pt idx="13">
                  <c:v>154.6</c:v>
                </c:pt>
                <c:pt idx="14">
                  <c:v>171</c:v>
                </c:pt>
                <c:pt idx="15">
                  <c:v>154.30000000000001</c:v>
                </c:pt>
                <c:pt idx="16">
                  <c:v>118.6</c:v>
                </c:pt>
                <c:pt idx="17">
                  <c:v>148.1</c:v>
                </c:pt>
                <c:pt idx="18">
                  <c:v>122.1</c:v>
                </c:pt>
                <c:pt idx="19">
                  <c:v>120.1</c:v>
                </c:pt>
                <c:pt idx="20">
                  <c:v>149.69999999999999</c:v>
                </c:pt>
                <c:pt idx="21">
                  <c:v>141.69999999999999</c:v>
                </c:pt>
                <c:pt idx="22">
                  <c:v>155.30000000000001</c:v>
                </c:pt>
                <c:pt idx="23">
                  <c:v>133.4</c:v>
                </c:pt>
                <c:pt idx="24">
                  <c:v>125.8</c:v>
                </c:pt>
                <c:pt idx="25">
                  <c:v>165.6</c:v>
                </c:pt>
                <c:pt idx="26">
                  <c:v>122.9</c:v>
                </c:pt>
                <c:pt idx="27">
                  <c:v>121.5</c:v>
                </c:pt>
                <c:pt idx="28">
                  <c:v>133.69999999999999</c:v>
                </c:pt>
                <c:pt idx="29">
                  <c:v>149.80000000000001</c:v>
                </c:pt>
                <c:pt idx="30">
                  <c:v>120.8</c:v>
                </c:pt>
              </c:numCache>
            </c:numRef>
          </c:xVal>
          <c:yVal>
            <c:numRef>
              <c:f>Salterulcprice!$L$56:$L$86</c:f>
              <c:numCache>
                <c:formatCode>General</c:formatCode>
                <c:ptCount val="31"/>
                <c:pt idx="0">
                  <c:v>114.5</c:v>
                </c:pt>
                <c:pt idx="1">
                  <c:v>106.5</c:v>
                </c:pt>
                <c:pt idx="2">
                  <c:v>139.30000000000001</c:v>
                </c:pt>
                <c:pt idx="3">
                  <c:v>101.9</c:v>
                </c:pt>
                <c:pt idx="4">
                  <c:v>113</c:v>
                </c:pt>
                <c:pt idx="5">
                  <c:v>119.5</c:v>
                </c:pt>
                <c:pt idx="6">
                  <c:v>103.9</c:v>
                </c:pt>
                <c:pt idx="7">
                  <c:v>94.7</c:v>
                </c:pt>
                <c:pt idx="8">
                  <c:v>126.9</c:v>
                </c:pt>
                <c:pt idx="9">
                  <c:v>117.8</c:v>
                </c:pt>
                <c:pt idx="10">
                  <c:v>124</c:v>
                </c:pt>
                <c:pt idx="11">
                  <c:v>103.8</c:v>
                </c:pt>
                <c:pt idx="12">
                  <c:v>134.1</c:v>
                </c:pt>
                <c:pt idx="13">
                  <c:v>136.5</c:v>
                </c:pt>
                <c:pt idx="14">
                  <c:v>103.2</c:v>
                </c:pt>
                <c:pt idx="15">
                  <c:v>123.8</c:v>
                </c:pt>
                <c:pt idx="16">
                  <c:v>102.6</c:v>
                </c:pt>
                <c:pt idx="17">
                  <c:v>128.6</c:v>
                </c:pt>
                <c:pt idx="18">
                  <c:v>121.9</c:v>
                </c:pt>
                <c:pt idx="19">
                  <c:v>104.7</c:v>
                </c:pt>
                <c:pt idx="20">
                  <c:v>110.4</c:v>
                </c:pt>
                <c:pt idx="21">
                  <c:v>110.7</c:v>
                </c:pt>
                <c:pt idx="22">
                  <c:v>106.7</c:v>
                </c:pt>
                <c:pt idx="23">
                  <c:v>133.4</c:v>
                </c:pt>
                <c:pt idx="24">
                  <c:v>150.4</c:v>
                </c:pt>
                <c:pt idx="25">
                  <c:v>163</c:v>
                </c:pt>
                <c:pt idx="26">
                  <c:v>112.3</c:v>
                </c:pt>
                <c:pt idx="27">
                  <c:v>98.3</c:v>
                </c:pt>
                <c:pt idx="28">
                  <c:v>113.8</c:v>
                </c:pt>
                <c:pt idx="29">
                  <c:v>131</c:v>
                </c:pt>
                <c:pt idx="30">
                  <c:v>104.3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611456"/>
        <c:axId val="388613248"/>
      </c:scatterChart>
      <c:valAx>
        <c:axId val="388611456"/>
        <c:scaling>
          <c:orientation val="minMax"/>
          <c:min val="8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88613248"/>
        <c:crosses val="autoZero"/>
        <c:crossBetween val="midCat"/>
      </c:valAx>
      <c:valAx>
        <c:axId val="388613248"/>
        <c:scaling>
          <c:orientation val="minMax"/>
          <c:max val="180"/>
          <c:min val="8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88611456"/>
        <c:crosses val="autoZero"/>
        <c:crossBetween val="midCat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5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5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220" cy="62854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0.04507</cdr:x>
      <cdr:y>0.92486</cdr:y>
    </cdr:from>
    <cdr:to>
      <cdr:x>0.39138</cdr:x>
      <cdr:y>0.9766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001" y="5813137"/>
          <a:ext cx="2996666" cy="325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/>
            <a:t>Source: Salter</a:t>
          </a:r>
          <a:r>
            <a:rPr lang="en-US" sz="1400" b="1" baseline="0"/>
            <a:t> 1969, Table 28, p. 164</a:t>
          </a:r>
          <a:endParaRPr lang="en-US" sz="14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0.04507</cdr:x>
      <cdr:y>0.92486</cdr:y>
    </cdr:from>
    <cdr:to>
      <cdr:x>0.38264</cdr:x>
      <cdr:y>0.97306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179" y="5814132"/>
          <a:ext cx="2922404" cy="303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/>
            <a:t>Source: Salter</a:t>
          </a:r>
          <a:r>
            <a:rPr lang="en-US" sz="1400" b="1" baseline="0"/>
            <a:t> 1969, Table 33, p. 197</a:t>
          </a:r>
          <a:endParaRPr lang="en-US" sz="14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ik_000/Dropbox/_ANWAR/_EADC%20BOOK/_EADC%20TEXT/Part%20II%20Turbulent%20Competition/Ch%207%20Theory%20of%20Real%20Competition/Final/Ch%207%20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Sulcpricesalter1"/>
      <sheetName val="FigUKulcpricesalter1"/>
      <sheetName val="Figcostsales"/>
      <sheetName val="FigCostCapital"/>
      <sheetName val="FigROPcost"/>
      <sheetName val="FigROPCapital"/>
      <sheetName val="FigropKpartialadj"/>
      <sheetName val="ChoiceTech"/>
      <sheetName val="FigpropCD1D2"/>
      <sheetName val="FigpropCD2"/>
      <sheetName val="ChoiceTechXXX"/>
      <sheetName val="SalterprodvtyData"/>
      <sheetName val="FigUSulcpricesalter"/>
      <sheetName val="FigUKulcpricesalter"/>
      <sheetName val="Salterulcprice"/>
      <sheetName val="AndrewskKshape"/>
      <sheetName val="Harrodfig"/>
      <sheetName val="ropinnov"/>
      <sheetName val="FigFROP1"/>
      <sheetName val="FigFROP2"/>
      <sheetName val="FROPcal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G8" t="str">
            <v>price</v>
          </cell>
        </row>
        <row r="9">
          <cell r="F9">
            <v>28</v>
          </cell>
          <cell r="G9">
            <v>32</v>
          </cell>
        </row>
        <row r="10">
          <cell r="F10">
            <v>84</v>
          </cell>
          <cell r="G10">
            <v>61</v>
          </cell>
        </row>
        <row r="11">
          <cell r="F11">
            <v>104</v>
          </cell>
          <cell r="G11">
            <v>138</v>
          </cell>
        </row>
        <row r="12">
          <cell r="F12">
            <v>125</v>
          </cell>
          <cell r="G12">
            <v>97</v>
          </cell>
        </row>
        <row r="13">
          <cell r="F13">
            <v>88</v>
          </cell>
          <cell r="G13">
            <v>65</v>
          </cell>
        </row>
        <row r="14">
          <cell r="F14">
            <v>158</v>
          </cell>
          <cell r="G14">
            <v>139</v>
          </cell>
        </row>
        <row r="15">
          <cell r="F15">
            <v>155</v>
          </cell>
          <cell r="G15">
            <v>159</v>
          </cell>
        </row>
        <row r="16">
          <cell r="F16">
            <v>159</v>
          </cell>
        </row>
        <row r="17">
          <cell r="F17">
            <v>157</v>
          </cell>
          <cell r="G17">
            <v>97</v>
          </cell>
        </row>
        <row r="18">
          <cell r="F18">
            <v>107</v>
          </cell>
          <cell r="G18">
            <v>147</v>
          </cell>
        </row>
        <row r="19">
          <cell r="F19">
            <v>67</v>
          </cell>
          <cell r="G19">
            <v>85</v>
          </cell>
        </row>
        <row r="20">
          <cell r="F20">
            <v>114</v>
          </cell>
        </row>
        <row r="21">
          <cell r="F21">
            <v>199</v>
          </cell>
        </row>
        <row r="22">
          <cell r="F22">
            <v>220</v>
          </cell>
          <cell r="G22">
            <v>170</v>
          </cell>
        </row>
        <row r="23">
          <cell r="F23">
            <v>112</v>
          </cell>
          <cell r="G23">
            <v>127</v>
          </cell>
        </row>
        <row r="24">
          <cell r="F24">
            <v>152</v>
          </cell>
          <cell r="G24">
            <v>168</v>
          </cell>
        </row>
        <row r="25">
          <cell r="F25">
            <v>216</v>
          </cell>
          <cell r="G25">
            <v>299</v>
          </cell>
        </row>
        <row r="26">
          <cell r="F26">
            <v>127</v>
          </cell>
          <cell r="G26">
            <v>193</v>
          </cell>
        </row>
        <row r="27">
          <cell r="F27">
            <v>167</v>
          </cell>
          <cell r="G27">
            <v>191</v>
          </cell>
        </row>
        <row r="28">
          <cell r="F28">
            <v>177</v>
          </cell>
          <cell r="G28">
            <v>128</v>
          </cell>
        </row>
        <row r="29">
          <cell r="F29">
            <v>142</v>
          </cell>
          <cell r="G29">
            <v>140</v>
          </cell>
        </row>
        <row r="30">
          <cell r="F30">
            <v>137</v>
          </cell>
          <cell r="G30">
            <v>151</v>
          </cell>
        </row>
        <row r="31">
          <cell r="F31">
            <v>107</v>
          </cell>
          <cell r="G31">
            <v>32</v>
          </cell>
        </row>
        <row r="32">
          <cell r="F32">
            <v>169</v>
          </cell>
          <cell r="G32">
            <v>181</v>
          </cell>
        </row>
        <row r="33">
          <cell r="F33">
            <v>205</v>
          </cell>
          <cell r="G33">
            <v>175</v>
          </cell>
        </row>
        <row r="34">
          <cell r="F34">
            <v>151</v>
          </cell>
          <cell r="G34">
            <v>171</v>
          </cell>
        </row>
        <row r="35">
          <cell r="F35">
            <v>138</v>
          </cell>
          <cell r="G35">
            <v>163</v>
          </cell>
        </row>
        <row r="36">
          <cell r="F36">
            <v>142</v>
          </cell>
          <cell r="G36">
            <v>139</v>
          </cell>
        </row>
        <row r="37">
          <cell r="F37">
            <v>167</v>
          </cell>
          <cell r="G37">
            <v>171</v>
          </cell>
        </row>
        <row r="38">
          <cell r="F38">
            <v>107</v>
          </cell>
          <cell r="G38">
            <v>85</v>
          </cell>
        </row>
        <row r="55">
          <cell r="L55" t="str">
            <v>price</v>
          </cell>
        </row>
        <row r="56">
          <cell r="H56">
            <v>98.2</v>
          </cell>
          <cell r="L56">
            <v>114.5</v>
          </cell>
        </row>
        <row r="57">
          <cell r="H57">
            <v>99.7</v>
          </cell>
          <cell r="L57">
            <v>106.5</v>
          </cell>
        </row>
        <row r="58">
          <cell r="H58">
            <v>149.80000000000001</v>
          </cell>
          <cell r="L58">
            <v>139.30000000000001</v>
          </cell>
        </row>
        <row r="59">
          <cell r="H59">
            <v>110.8</v>
          </cell>
          <cell r="L59">
            <v>101.9</v>
          </cell>
        </row>
        <row r="60">
          <cell r="H60">
            <v>118.7</v>
          </cell>
          <cell r="L60">
            <v>113</v>
          </cell>
        </row>
        <row r="61">
          <cell r="H61">
            <v>124</v>
          </cell>
          <cell r="L61">
            <v>119.5</v>
          </cell>
        </row>
        <row r="62">
          <cell r="H62">
            <v>133.9</v>
          </cell>
          <cell r="L62">
            <v>103.9</v>
          </cell>
        </row>
        <row r="63">
          <cell r="H63">
            <v>105.4</v>
          </cell>
          <cell r="L63">
            <v>94.7</v>
          </cell>
        </row>
        <row r="64">
          <cell r="H64">
            <v>141.19999999999999</v>
          </cell>
          <cell r="L64">
            <v>126.9</v>
          </cell>
        </row>
        <row r="65">
          <cell r="H65">
            <v>136.9</v>
          </cell>
          <cell r="L65">
            <v>117.8</v>
          </cell>
        </row>
        <row r="66">
          <cell r="H66">
            <v>145.69999999999999</v>
          </cell>
          <cell r="L66">
            <v>124</v>
          </cell>
        </row>
        <row r="67">
          <cell r="H67">
            <v>129.80000000000001</v>
          </cell>
          <cell r="L67">
            <v>103.8</v>
          </cell>
        </row>
        <row r="68">
          <cell r="H68">
            <v>147.5</v>
          </cell>
          <cell r="L68">
            <v>134.1</v>
          </cell>
        </row>
        <row r="69">
          <cell r="H69">
            <v>154.6</v>
          </cell>
          <cell r="L69">
            <v>136.5</v>
          </cell>
        </row>
        <row r="70">
          <cell r="H70">
            <v>171</v>
          </cell>
          <cell r="L70">
            <v>103.2</v>
          </cell>
        </row>
        <row r="71">
          <cell r="H71">
            <v>154.30000000000001</v>
          </cell>
          <cell r="L71">
            <v>123.8</v>
          </cell>
        </row>
        <row r="72">
          <cell r="H72">
            <v>118.6</v>
          </cell>
          <cell r="L72">
            <v>102.6</v>
          </cell>
        </row>
        <row r="73">
          <cell r="H73">
            <v>148.1</v>
          </cell>
          <cell r="L73">
            <v>128.6</v>
          </cell>
        </row>
        <row r="74">
          <cell r="H74">
            <v>122.1</v>
          </cell>
          <cell r="L74">
            <v>121.9</v>
          </cell>
        </row>
        <row r="75">
          <cell r="H75">
            <v>120.1</v>
          </cell>
          <cell r="L75">
            <v>104.7</v>
          </cell>
        </row>
        <row r="76">
          <cell r="H76">
            <v>149.69999999999999</v>
          </cell>
          <cell r="L76">
            <v>110.4</v>
          </cell>
        </row>
        <row r="77">
          <cell r="H77">
            <v>141.69999999999999</v>
          </cell>
          <cell r="L77">
            <v>110.7</v>
          </cell>
        </row>
        <row r="78">
          <cell r="H78">
            <v>155.30000000000001</v>
          </cell>
          <cell r="L78">
            <v>106.7</v>
          </cell>
        </row>
        <row r="79">
          <cell r="H79">
            <v>133.4</v>
          </cell>
          <cell r="L79">
            <v>133.4</v>
          </cell>
        </row>
        <row r="80">
          <cell r="H80">
            <v>125.8</v>
          </cell>
          <cell r="L80">
            <v>150.4</v>
          </cell>
        </row>
        <row r="81">
          <cell r="H81">
            <v>165.6</v>
          </cell>
          <cell r="L81">
            <v>163</v>
          </cell>
        </row>
        <row r="82">
          <cell r="H82">
            <v>122.9</v>
          </cell>
          <cell r="L82">
            <v>112.3</v>
          </cell>
        </row>
        <row r="83">
          <cell r="H83">
            <v>121.5</v>
          </cell>
          <cell r="L83">
            <v>98.3</v>
          </cell>
        </row>
        <row r="84">
          <cell r="H84">
            <v>133.69999999999999</v>
          </cell>
          <cell r="L84">
            <v>113.8</v>
          </cell>
        </row>
        <row r="85">
          <cell r="H85">
            <v>149.80000000000001</v>
          </cell>
          <cell r="L85">
            <v>131</v>
          </cell>
        </row>
        <row r="86">
          <cell r="H86">
            <v>120.8</v>
          </cell>
          <cell r="L86">
            <v>104.3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F20" sqref="F20"/>
    </sheetView>
  </sheetViews>
  <sheetFormatPr defaultRowHeight="12.5" x14ac:dyDescent="0.25"/>
  <sheetData>
    <row r="2" spans="1:1" x14ac:dyDescent="0.25">
      <c r="A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tabSelected="1" workbookViewId="0">
      <selection activeCell="A4" sqref="A4"/>
    </sheetView>
  </sheetViews>
  <sheetFormatPr defaultRowHeight="14.5" x14ac:dyDescent="0.35"/>
  <cols>
    <col min="1" max="1" width="11.08984375" style="18" customWidth="1"/>
    <col min="2" max="2" width="17.54296875" style="18" customWidth="1"/>
    <col min="3" max="3" width="11.453125" style="18" customWidth="1"/>
    <col min="4" max="4" width="19.81640625" style="18" customWidth="1"/>
    <col min="5" max="5" width="11.7265625" style="18" customWidth="1"/>
    <col min="6" max="16384" width="8.7265625" style="18"/>
  </cols>
  <sheetData>
    <row r="2" spans="1:8" x14ac:dyDescent="0.35">
      <c r="A2" s="18" t="s">
        <v>206</v>
      </c>
    </row>
    <row r="3" spans="1:8" x14ac:dyDescent="0.35">
      <c r="A3" s="18" t="s">
        <v>66</v>
      </c>
      <c r="D3" s="18" t="s">
        <v>67</v>
      </c>
    </row>
    <row r="4" spans="1:8" s="21" customFormat="1" ht="72.5" x14ac:dyDescent="0.35">
      <c r="A4" s="19" t="s">
        <v>68</v>
      </c>
      <c r="B4" s="20" t="s">
        <v>69</v>
      </c>
      <c r="C4" s="21" t="s">
        <v>70</v>
      </c>
      <c r="D4" s="22" t="s">
        <v>68</v>
      </c>
      <c r="E4" s="21" t="s">
        <v>71</v>
      </c>
      <c r="F4" s="21" t="s">
        <v>70</v>
      </c>
      <c r="H4" s="21" t="s">
        <v>70</v>
      </c>
    </row>
    <row r="5" spans="1:8" x14ac:dyDescent="0.35">
      <c r="E5" s="23" t="s">
        <v>72</v>
      </c>
      <c r="G5" s="23" t="s">
        <v>73</v>
      </c>
    </row>
    <row r="6" spans="1:8" x14ac:dyDescent="0.35">
      <c r="A6" s="24" t="s">
        <v>74</v>
      </c>
      <c r="B6" s="25">
        <f>1/2.08</f>
        <v>0.48076923076923073</v>
      </c>
      <c r="C6" s="25">
        <f>B6/$B$6</f>
        <v>1</v>
      </c>
      <c r="D6" s="24" t="s">
        <v>75</v>
      </c>
      <c r="E6" s="25">
        <f>100/55.1</f>
        <v>1.8148820326678765</v>
      </c>
      <c r="F6" s="26">
        <f>E6/$E$6</f>
        <v>1</v>
      </c>
      <c r="G6" s="25">
        <f>100/55.3</f>
        <v>1.8083182640144666</v>
      </c>
      <c r="H6" s="26">
        <f>G6/$G$6</f>
        <v>1</v>
      </c>
    </row>
    <row r="7" spans="1:8" x14ac:dyDescent="0.35">
      <c r="A7" s="24" t="s">
        <v>76</v>
      </c>
      <c r="B7" s="25">
        <f>1/1.74</f>
        <v>0.57471264367816088</v>
      </c>
      <c r="C7" s="25">
        <f>B7/$B$6</f>
        <v>1.1954022988505748</v>
      </c>
      <c r="D7" s="24" t="s">
        <v>77</v>
      </c>
      <c r="E7" s="25">
        <f>100/44.7</f>
        <v>2.2371364653243848</v>
      </c>
      <c r="F7" s="26">
        <f>E7/$E$6</f>
        <v>1.232662192393736</v>
      </c>
      <c r="G7" s="25">
        <f>100/55.5</f>
        <v>1.8018018018018018</v>
      </c>
      <c r="H7" s="26">
        <f>G7/$G$6</f>
        <v>0.99639639639639643</v>
      </c>
    </row>
    <row r="8" spans="1:8" x14ac:dyDescent="0.35">
      <c r="A8" s="24" t="s">
        <v>78</v>
      </c>
      <c r="B8" s="25">
        <f>1/1.42</f>
        <v>0.70422535211267612</v>
      </c>
      <c r="C8" s="25">
        <f>B8/$B$6</f>
        <v>1.4647887323943665</v>
      </c>
      <c r="D8" s="24" t="s">
        <v>79</v>
      </c>
      <c r="E8" s="25">
        <f>100/42.5</f>
        <v>2.3529411764705883</v>
      </c>
      <c r="F8" s="26">
        <f>E8/$E$6</f>
        <v>1.2964705882352943</v>
      </c>
      <c r="G8" s="25">
        <f>100/42.9</f>
        <v>2.3310023310023311</v>
      </c>
      <c r="H8" s="26">
        <f>G8/$G$6</f>
        <v>1.289044289044289</v>
      </c>
    </row>
    <row r="9" spans="1:8" x14ac:dyDescent="0.35">
      <c r="A9" s="24" t="s">
        <v>80</v>
      </c>
      <c r="B9" s="25">
        <f>1/1.26</f>
        <v>0.79365079365079361</v>
      </c>
      <c r="C9" s="25">
        <f>B9/$B$6</f>
        <v>1.6507936507936509</v>
      </c>
      <c r="D9" s="24" t="s">
        <v>81</v>
      </c>
      <c r="E9" s="25">
        <f>100/40.9</f>
        <v>2.4449877750611249</v>
      </c>
      <c r="F9" s="26">
        <f>E9/$E$6</f>
        <v>1.3471882640586799</v>
      </c>
      <c r="G9" s="25">
        <f>100/33.4</f>
        <v>2.9940119760479043</v>
      </c>
      <c r="H9" s="26">
        <f>G9/$G$6</f>
        <v>1.6556886227544909</v>
      </c>
    </row>
    <row r="10" spans="1:8" x14ac:dyDescent="0.35">
      <c r="A10" s="27" t="s">
        <v>82</v>
      </c>
    </row>
    <row r="12" spans="1:8" x14ac:dyDescent="0.35">
      <c r="A12" s="24" t="s">
        <v>207</v>
      </c>
    </row>
    <row r="13" spans="1:8" x14ac:dyDescent="0.35">
      <c r="A13" s="24" t="s">
        <v>83</v>
      </c>
    </row>
    <row r="14" spans="1:8" x14ac:dyDescent="0.35">
      <c r="A14" s="28" t="s">
        <v>84</v>
      </c>
      <c r="B14" s="28" t="s">
        <v>85</v>
      </c>
      <c r="C14" s="28" t="s">
        <v>86</v>
      </c>
      <c r="D14" s="28" t="s">
        <v>87</v>
      </c>
    </row>
    <row r="15" spans="1:8" x14ac:dyDescent="0.35">
      <c r="A15" s="29" t="s">
        <v>88</v>
      </c>
      <c r="B15" s="30">
        <v>985</v>
      </c>
      <c r="C15" s="30">
        <v>575</v>
      </c>
      <c r="D15" s="25">
        <f>B15/C15</f>
        <v>1.7130434782608697</v>
      </c>
    </row>
    <row r="16" spans="1:8" x14ac:dyDescent="0.35">
      <c r="A16" s="29" t="s">
        <v>89</v>
      </c>
      <c r="B16" s="30">
        <v>296</v>
      </c>
      <c r="C16" s="30">
        <v>272</v>
      </c>
      <c r="D16" s="25">
        <f t="shared" ref="D16:D22" si="0">B16/C16</f>
        <v>1.088235294117647</v>
      </c>
    </row>
    <row r="17" spans="1:4" x14ac:dyDescent="0.35">
      <c r="A17" s="29" t="s">
        <v>90</v>
      </c>
      <c r="B17" s="30">
        <v>493</v>
      </c>
      <c r="C17" s="30">
        <v>461</v>
      </c>
      <c r="D17" s="25">
        <f t="shared" si="0"/>
        <v>1.0694143167028201</v>
      </c>
    </row>
    <row r="18" spans="1:4" x14ac:dyDescent="0.35">
      <c r="A18" s="29" t="s">
        <v>91</v>
      </c>
      <c r="B18" s="30">
        <v>86</v>
      </c>
      <c r="C18" s="30">
        <v>53</v>
      </c>
      <c r="D18" s="25">
        <f t="shared" si="0"/>
        <v>1.6226415094339623</v>
      </c>
    </row>
    <row r="19" spans="1:4" x14ac:dyDescent="0.35">
      <c r="A19" s="29" t="s">
        <v>92</v>
      </c>
      <c r="B19" s="30">
        <v>141</v>
      </c>
      <c r="C19" s="30">
        <v>115</v>
      </c>
      <c r="D19" s="25">
        <f t="shared" si="0"/>
        <v>1.2260869565217392</v>
      </c>
    </row>
    <row r="20" spans="1:4" x14ac:dyDescent="0.35">
      <c r="A20" s="29" t="s">
        <v>93</v>
      </c>
      <c r="B20" s="30">
        <v>979</v>
      </c>
      <c r="C20" s="30">
        <v>545</v>
      </c>
      <c r="D20" s="25">
        <f t="shared" si="0"/>
        <v>1.7963302752293577</v>
      </c>
    </row>
    <row r="21" spans="1:4" x14ac:dyDescent="0.35">
      <c r="A21" s="29" t="s">
        <v>94</v>
      </c>
      <c r="B21" s="30">
        <v>89</v>
      </c>
      <c r="C21" s="30">
        <v>56</v>
      </c>
      <c r="D21" s="25">
        <f t="shared" si="0"/>
        <v>1.5892857142857142</v>
      </c>
    </row>
    <row r="22" spans="1:4" x14ac:dyDescent="0.35">
      <c r="A22" s="29" t="s">
        <v>95</v>
      </c>
      <c r="B22" s="30">
        <v>151</v>
      </c>
      <c r="C22" s="30">
        <v>143</v>
      </c>
      <c r="D22" s="25">
        <f t="shared" si="0"/>
        <v>1.055944055944056</v>
      </c>
    </row>
    <row r="23" spans="1:4" x14ac:dyDescent="0.35">
      <c r="A23" s="27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90"/>
  <sheetViews>
    <sheetView topLeftCell="A10" workbookViewId="0">
      <selection activeCell="A9" sqref="A9"/>
    </sheetView>
  </sheetViews>
  <sheetFormatPr defaultRowHeight="12.5" x14ac:dyDescent="0.25"/>
  <cols>
    <col min="1" max="1" width="24.1796875" style="32" customWidth="1"/>
    <col min="2" max="2" width="7.81640625" style="32" customWidth="1"/>
    <col min="3" max="3" width="9.1796875" style="32" customWidth="1"/>
    <col min="4" max="4" width="7.1796875" style="32" customWidth="1"/>
    <col min="5" max="5" width="8.453125" style="32" customWidth="1"/>
    <col min="6" max="6" width="8.81640625" style="32" customWidth="1"/>
    <col min="7" max="7" width="10.08984375" style="32" customWidth="1"/>
    <col min="8" max="8" width="8.1796875" style="32" customWidth="1"/>
    <col min="9" max="9" width="8" style="32" customWidth="1"/>
    <col min="10" max="10" width="9" style="32" customWidth="1"/>
    <col min="11" max="11" width="7.453125" style="32" customWidth="1"/>
    <col min="12" max="12" width="6.81640625" style="32" customWidth="1"/>
    <col min="13" max="255" width="8.7265625" style="32"/>
    <col min="256" max="256" width="24.1796875" style="32" customWidth="1"/>
    <col min="257" max="257" width="7.81640625" style="32" customWidth="1"/>
    <col min="258" max="258" width="9.1796875" style="32" customWidth="1"/>
    <col min="259" max="259" width="7.1796875" style="32" customWidth="1"/>
    <col min="260" max="260" width="8.453125" style="32" customWidth="1"/>
    <col min="261" max="261" width="8.81640625" style="32" customWidth="1"/>
    <col min="262" max="262" width="7.1796875" style="32" customWidth="1"/>
    <col min="263" max="263" width="8.1796875" style="32" customWidth="1"/>
    <col min="264" max="264" width="8" style="32" customWidth="1"/>
    <col min="265" max="265" width="9" style="32" customWidth="1"/>
    <col min="266" max="266" width="7.453125" style="32" customWidth="1"/>
    <col min="267" max="267" width="6.81640625" style="32" customWidth="1"/>
    <col min="268" max="268" width="2.1796875" style="32" customWidth="1"/>
    <col min="269" max="511" width="8.7265625" style="32"/>
    <col min="512" max="512" width="24.1796875" style="32" customWidth="1"/>
    <col min="513" max="513" width="7.81640625" style="32" customWidth="1"/>
    <col min="514" max="514" width="9.1796875" style="32" customWidth="1"/>
    <col min="515" max="515" width="7.1796875" style="32" customWidth="1"/>
    <col min="516" max="516" width="8.453125" style="32" customWidth="1"/>
    <col min="517" max="517" width="8.81640625" style="32" customWidth="1"/>
    <col min="518" max="518" width="7.1796875" style="32" customWidth="1"/>
    <col min="519" max="519" width="8.1796875" style="32" customWidth="1"/>
    <col min="520" max="520" width="8" style="32" customWidth="1"/>
    <col min="521" max="521" width="9" style="32" customWidth="1"/>
    <col min="522" max="522" width="7.453125" style="32" customWidth="1"/>
    <col min="523" max="523" width="6.81640625" style="32" customWidth="1"/>
    <col min="524" max="524" width="2.1796875" style="32" customWidth="1"/>
    <col min="525" max="767" width="8.7265625" style="32"/>
    <col min="768" max="768" width="24.1796875" style="32" customWidth="1"/>
    <col min="769" max="769" width="7.81640625" style="32" customWidth="1"/>
    <col min="770" max="770" width="9.1796875" style="32" customWidth="1"/>
    <col min="771" max="771" width="7.1796875" style="32" customWidth="1"/>
    <col min="772" max="772" width="8.453125" style="32" customWidth="1"/>
    <col min="773" max="773" width="8.81640625" style="32" customWidth="1"/>
    <col min="774" max="774" width="7.1796875" style="32" customWidth="1"/>
    <col min="775" max="775" width="8.1796875" style="32" customWidth="1"/>
    <col min="776" max="776" width="8" style="32" customWidth="1"/>
    <col min="777" max="777" width="9" style="32" customWidth="1"/>
    <col min="778" max="778" width="7.453125" style="32" customWidth="1"/>
    <col min="779" max="779" width="6.81640625" style="32" customWidth="1"/>
    <col min="780" max="780" width="2.1796875" style="32" customWidth="1"/>
    <col min="781" max="1023" width="8.7265625" style="32"/>
    <col min="1024" max="1024" width="24.1796875" style="32" customWidth="1"/>
    <col min="1025" max="1025" width="7.81640625" style="32" customWidth="1"/>
    <col min="1026" max="1026" width="9.1796875" style="32" customWidth="1"/>
    <col min="1027" max="1027" width="7.1796875" style="32" customWidth="1"/>
    <col min="1028" max="1028" width="8.453125" style="32" customWidth="1"/>
    <col min="1029" max="1029" width="8.81640625" style="32" customWidth="1"/>
    <col min="1030" max="1030" width="7.1796875" style="32" customWidth="1"/>
    <col min="1031" max="1031" width="8.1796875" style="32" customWidth="1"/>
    <col min="1032" max="1032" width="8" style="32" customWidth="1"/>
    <col min="1033" max="1033" width="9" style="32" customWidth="1"/>
    <col min="1034" max="1034" width="7.453125" style="32" customWidth="1"/>
    <col min="1035" max="1035" width="6.81640625" style="32" customWidth="1"/>
    <col min="1036" max="1036" width="2.1796875" style="32" customWidth="1"/>
    <col min="1037" max="1279" width="8.7265625" style="32"/>
    <col min="1280" max="1280" width="24.1796875" style="32" customWidth="1"/>
    <col min="1281" max="1281" width="7.81640625" style="32" customWidth="1"/>
    <col min="1282" max="1282" width="9.1796875" style="32" customWidth="1"/>
    <col min="1283" max="1283" width="7.1796875" style="32" customWidth="1"/>
    <col min="1284" max="1284" width="8.453125" style="32" customWidth="1"/>
    <col min="1285" max="1285" width="8.81640625" style="32" customWidth="1"/>
    <col min="1286" max="1286" width="7.1796875" style="32" customWidth="1"/>
    <col min="1287" max="1287" width="8.1796875" style="32" customWidth="1"/>
    <col min="1288" max="1288" width="8" style="32" customWidth="1"/>
    <col min="1289" max="1289" width="9" style="32" customWidth="1"/>
    <col min="1290" max="1290" width="7.453125" style="32" customWidth="1"/>
    <col min="1291" max="1291" width="6.81640625" style="32" customWidth="1"/>
    <col min="1292" max="1292" width="2.1796875" style="32" customWidth="1"/>
    <col min="1293" max="1535" width="8.7265625" style="32"/>
    <col min="1536" max="1536" width="24.1796875" style="32" customWidth="1"/>
    <col min="1537" max="1537" width="7.81640625" style="32" customWidth="1"/>
    <col min="1538" max="1538" width="9.1796875" style="32" customWidth="1"/>
    <col min="1539" max="1539" width="7.1796875" style="32" customWidth="1"/>
    <col min="1540" max="1540" width="8.453125" style="32" customWidth="1"/>
    <col min="1541" max="1541" width="8.81640625" style="32" customWidth="1"/>
    <col min="1542" max="1542" width="7.1796875" style="32" customWidth="1"/>
    <col min="1543" max="1543" width="8.1796875" style="32" customWidth="1"/>
    <col min="1544" max="1544" width="8" style="32" customWidth="1"/>
    <col min="1545" max="1545" width="9" style="32" customWidth="1"/>
    <col min="1546" max="1546" width="7.453125" style="32" customWidth="1"/>
    <col min="1547" max="1547" width="6.81640625" style="32" customWidth="1"/>
    <col min="1548" max="1548" width="2.1796875" style="32" customWidth="1"/>
    <col min="1549" max="1791" width="8.7265625" style="32"/>
    <col min="1792" max="1792" width="24.1796875" style="32" customWidth="1"/>
    <col min="1793" max="1793" width="7.81640625" style="32" customWidth="1"/>
    <col min="1794" max="1794" width="9.1796875" style="32" customWidth="1"/>
    <col min="1795" max="1795" width="7.1796875" style="32" customWidth="1"/>
    <col min="1796" max="1796" width="8.453125" style="32" customWidth="1"/>
    <col min="1797" max="1797" width="8.81640625" style="32" customWidth="1"/>
    <col min="1798" max="1798" width="7.1796875" style="32" customWidth="1"/>
    <col min="1799" max="1799" width="8.1796875" style="32" customWidth="1"/>
    <col min="1800" max="1800" width="8" style="32" customWidth="1"/>
    <col min="1801" max="1801" width="9" style="32" customWidth="1"/>
    <col min="1802" max="1802" width="7.453125" style="32" customWidth="1"/>
    <col min="1803" max="1803" width="6.81640625" style="32" customWidth="1"/>
    <col min="1804" max="1804" width="2.1796875" style="32" customWidth="1"/>
    <col min="1805" max="2047" width="8.7265625" style="32"/>
    <col min="2048" max="2048" width="24.1796875" style="32" customWidth="1"/>
    <col min="2049" max="2049" width="7.81640625" style="32" customWidth="1"/>
    <col min="2050" max="2050" width="9.1796875" style="32" customWidth="1"/>
    <col min="2051" max="2051" width="7.1796875" style="32" customWidth="1"/>
    <col min="2052" max="2052" width="8.453125" style="32" customWidth="1"/>
    <col min="2053" max="2053" width="8.81640625" style="32" customWidth="1"/>
    <col min="2054" max="2054" width="7.1796875" style="32" customWidth="1"/>
    <col min="2055" max="2055" width="8.1796875" style="32" customWidth="1"/>
    <col min="2056" max="2056" width="8" style="32" customWidth="1"/>
    <col min="2057" max="2057" width="9" style="32" customWidth="1"/>
    <col min="2058" max="2058" width="7.453125" style="32" customWidth="1"/>
    <col min="2059" max="2059" width="6.81640625" style="32" customWidth="1"/>
    <col min="2060" max="2060" width="2.1796875" style="32" customWidth="1"/>
    <col min="2061" max="2303" width="8.7265625" style="32"/>
    <col min="2304" max="2304" width="24.1796875" style="32" customWidth="1"/>
    <col min="2305" max="2305" width="7.81640625" style="32" customWidth="1"/>
    <col min="2306" max="2306" width="9.1796875" style="32" customWidth="1"/>
    <col min="2307" max="2307" width="7.1796875" style="32" customWidth="1"/>
    <col min="2308" max="2308" width="8.453125" style="32" customWidth="1"/>
    <col min="2309" max="2309" width="8.81640625" style="32" customWidth="1"/>
    <col min="2310" max="2310" width="7.1796875" style="32" customWidth="1"/>
    <col min="2311" max="2311" width="8.1796875" style="32" customWidth="1"/>
    <col min="2312" max="2312" width="8" style="32" customWidth="1"/>
    <col min="2313" max="2313" width="9" style="32" customWidth="1"/>
    <col min="2314" max="2314" width="7.453125" style="32" customWidth="1"/>
    <col min="2315" max="2315" width="6.81640625" style="32" customWidth="1"/>
    <col min="2316" max="2316" width="2.1796875" style="32" customWidth="1"/>
    <col min="2317" max="2559" width="8.7265625" style="32"/>
    <col min="2560" max="2560" width="24.1796875" style="32" customWidth="1"/>
    <col min="2561" max="2561" width="7.81640625" style="32" customWidth="1"/>
    <col min="2562" max="2562" width="9.1796875" style="32" customWidth="1"/>
    <col min="2563" max="2563" width="7.1796875" style="32" customWidth="1"/>
    <col min="2564" max="2564" width="8.453125" style="32" customWidth="1"/>
    <col min="2565" max="2565" width="8.81640625" style="32" customWidth="1"/>
    <col min="2566" max="2566" width="7.1796875" style="32" customWidth="1"/>
    <col min="2567" max="2567" width="8.1796875" style="32" customWidth="1"/>
    <col min="2568" max="2568" width="8" style="32" customWidth="1"/>
    <col min="2569" max="2569" width="9" style="32" customWidth="1"/>
    <col min="2570" max="2570" width="7.453125" style="32" customWidth="1"/>
    <col min="2571" max="2571" width="6.81640625" style="32" customWidth="1"/>
    <col min="2572" max="2572" width="2.1796875" style="32" customWidth="1"/>
    <col min="2573" max="2815" width="8.7265625" style="32"/>
    <col min="2816" max="2816" width="24.1796875" style="32" customWidth="1"/>
    <col min="2817" max="2817" width="7.81640625" style="32" customWidth="1"/>
    <col min="2818" max="2818" width="9.1796875" style="32" customWidth="1"/>
    <col min="2819" max="2819" width="7.1796875" style="32" customWidth="1"/>
    <col min="2820" max="2820" width="8.453125" style="32" customWidth="1"/>
    <col min="2821" max="2821" width="8.81640625" style="32" customWidth="1"/>
    <col min="2822" max="2822" width="7.1796875" style="32" customWidth="1"/>
    <col min="2823" max="2823" width="8.1796875" style="32" customWidth="1"/>
    <col min="2824" max="2824" width="8" style="32" customWidth="1"/>
    <col min="2825" max="2825" width="9" style="32" customWidth="1"/>
    <col min="2826" max="2826" width="7.453125" style="32" customWidth="1"/>
    <col min="2827" max="2827" width="6.81640625" style="32" customWidth="1"/>
    <col min="2828" max="2828" width="2.1796875" style="32" customWidth="1"/>
    <col min="2829" max="3071" width="8.7265625" style="32"/>
    <col min="3072" max="3072" width="24.1796875" style="32" customWidth="1"/>
    <col min="3073" max="3073" width="7.81640625" style="32" customWidth="1"/>
    <col min="3074" max="3074" width="9.1796875" style="32" customWidth="1"/>
    <col min="3075" max="3075" width="7.1796875" style="32" customWidth="1"/>
    <col min="3076" max="3076" width="8.453125" style="32" customWidth="1"/>
    <col min="3077" max="3077" width="8.81640625" style="32" customWidth="1"/>
    <col min="3078" max="3078" width="7.1796875" style="32" customWidth="1"/>
    <col min="3079" max="3079" width="8.1796875" style="32" customWidth="1"/>
    <col min="3080" max="3080" width="8" style="32" customWidth="1"/>
    <col min="3081" max="3081" width="9" style="32" customWidth="1"/>
    <col min="3082" max="3082" width="7.453125" style="32" customWidth="1"/>
    <col min="3083" max="3083" width="6.81640625" style="32" customWidth="1"/>
    <col min="3084" max="3084" width="2.1796875" style="32" customWidth="1"/>
    <col min="3085" max="3327" width="8.7265625" style="32"/>
    <col min="3328" max="3328" width="24.1796875" style="32" customWidth="1"/>
    <col min="3329" max="3329" width="7.81640625" style="32" customWidth="1"/>
    <col min="3330" max="3330" width="9.1796875" style="32" customWidth="1"/>
    <col min="3331" max="3331" width="7.1796875" style="32" customWidth="1"/>
    <col min="3332" max="3332" width="8.453125" style="32" customWidth="1"/>
    <col min="3333" max="3333" width="8.81640625" style="32" customWidth="1"/>
    <col min="3334" max="3334" width="7.1796875" style="32" customWidth="1"/>
    <col min="3335" max="3335" width="8.1796875" style="32" customWidth="1"/>
    <col min="3336" max="3336" width="8" style="32" customWidth="1"/>
    <col min="3337" max="3337" width="9" style="32" customWidth="1"/>
    <col min="3338" max="3338" width="7.453125" style="32" customWidth="1"/>
    <col min="3339" max="3339" width="6.81640625" style="32" customWidth="1"/>
    <col min="3340" max="3340" width="2.1796875" style="32" customWidth="1"/>
    <col min="3341" max="3583" width="8.7265625" style="32"/>
    <col min="3584" max="3584" width="24.1796875" style="32" customWidth="1"/>
    <col min="3585" max="3585" width="7.81640625" style="32" customWidth="1"/>
    <col min="3586" max="3586" width="9.1796875" style="32" customWidth="1"/>
    <col min="3587" max="3587" width="7.1796875" style="32" customWidth="1"/>
    <col min="3588" max="3588" width="8.453125" style="32" customWidth="1"/>
    <col min="3589" max="3589" width="8.81640625" style="32" customWidth="1"/>
    <col min="3590" max="3590" width="7.1796875" style="32" customWidth="1"/>
    <col min="3591" max="3591" width="8.1796875" style="32" customWidth="1"/>
    <col min="3592" max="3592" width="8" style="32" customWidth="1"/>
    <col min="3593" max="3593" width="9" style="32" customWidth="1"/>
    <col min="3594" max="3594" width="7.453125" style="32" customWidth="1"/>
    <col min="3595" max="3595" width="6.81640625" style="32" customWidth="1"/>
    <col min="3596" max="3596" width="2.1796875" style="32" customWidth="1"/>
    <col min="3597" max="3839" width="8.7265625" style="32"/>
    <col min="3840" max="3840" width="24.1796875" style="32" customWidth="1"/>
    <col min="3841" max="3841" width="7.81640625" style="32" customWidth="1"/>
    <col min="3842" max="3842" width="9.1796875" style="32" customWidth="1"/>
    <col min="3843" max="3843" width="7.1796875" style="32" customWidth="1"/>
    <col min="3844" max="3844" width="8.453125" style="32" customWidth="1"/>
    <col min="3845" max="3845" width="8.81640625" style="32" customWidth="1"/>
    <col min="3846" max="3846" width="7.1796875" style="32" customWidth="1"/>
    <col min="3847" max="3847" width="8.1796875" style="32" customWidth="1"/>
    <col min="3848" max="3848" width="8" style="32" customWidth="1"/>
    <col min="3849" max="3849" width="9" style="32" customWidth="1"/>
    <col min="3850" max="3850" width="7.453125" style="32" customWidth="1"/>
    <col min="3851" max="3851" width="6.81640625" style="32" customWidth="1"/>
    <col min="3852" max="3852" width="2.1796875" style="32" customWidth="1"/>
    <col min="3853" max="4095" width="8.7265625" style="32"/>
    <col min="4096" max="4096" width="24.1796875" style="32" customWidth="1"/>
    <col min="4097" max="4097" width="7.81640625" style="32" customWidth="1"/>
    <col min="4098" max="4098" width="9.1796875" style="32" customWidth="1"/>
    <col min="4099" max="4099" width="7.1796875" style="32" customWidth="1"/>
    <col min="4100" max="4100" width="8.453125" style="32" customWidth="1"/>
    <col min="4101" max="4101" width="8.81640625" style="32" customWidth="1"/>
    <col min="4102" max="4102" width="7.1796875" style="32" customWidth="1"/>
    <col min="4103" max="4103" width="8.1796875" style="32" customWidth="1"/>
    <col min="4104" max="4104" width="8" style="32" customWidth="1"/>
    <col min="4105" max="4105" width="9" style="32" customWidth="1"/>
    <col min="4106" max="4106" width="7.453125" style="32" customWidth="1"/>
    <col min="4107" max="4107" width="6.81640625" style="32" customWidth="1"/>
    <col min="4108" max="4108" width="2.1796875" style="32" customWidth="1"/>
    <col min="4109" max="4351" width="8.7265625" style="32"/>
    <col min="4352" max="4352" width="24.1796875" style="32" customWidth="1"/>
    <col min="4353" max="4353" width="7.81640625" style="32" customWidth="1"/>
    <col min="4354" max="4354" width="9.1796875" style="32" customWidth="1"/>
    <col min="4355" max="4355" width="7.1796875" style="32" customWidth="1"/>
    <col min="4356" max="4356" width="8.453125" style="32" customWidth="1"/>
    <col min="4357" max="4357" width="8.81640625" style="32" customWidth="1"/>
    <col min="4358" max="4358" width="7.1796875" style="32" customWidth="1"/>
    <col min="4359" max="4359" width="8.1796875" style="32" customWidth="1"/>
    <col min="4360" max="4360" width="8" style="32" customWidth="1"/>
    <col min="4361" max="4361" width="9" style="32" customWidth="1"/>
    <col min="4362" max="4362" width="7.453125" style="32" customWidth="1"/>
    <col min="4363" max="4363" width="6.81640625" style="32" customWidth="1"/>
    <col min="4364" max="4364" width="2.1796875" style="32" customWidth="1"/>
    <col min="4365" max="4607" width="8.7265625" style="32"/>
    <col min="4608" max="4608" width="24.1796875" style="32" customWidth="1"/>
    <col min="4609" max="4609" width="7.81640625" style="32" customWidth="1"/>
    <col min="4610" max="4610" width="9.1796875" style="32" customWidth="1"/>
    <col min="4611" max="4611" width="7.1796875" style="32" customWidth="1"/>
    <col min="4612" max="4612" width="8.453125" style="32" customWidth="1"/>
    <col min="4613" max="4613" width="8.81640625" style="32" customWidth="1"/>
    <col min="4614" max="4614" width="7.1796875" style="32" customWidth="1"/>
    <col min="4615" max="4615" width="8.1796875" style="32" customWidth="1"/>
    <col min="4616" max="4616" width="8" style="32" customWidth="1"/>
    <col min="4617" max="4617" width="9" style="32" customWidth="1"/>
    <col min="4618" max="4618" width="7.453125" style="32" customWidth="1"/>
    <col min="4619" max="4619" width="6.81640625" style="32" customWidth="1"/>
    <col min="4620" max="4620" width="2.1796875" style="32" customWidth="1"/>
    <col min="4621" max="4863" width="8.7265625" style="32"/>
    <col min="4864" max="4864" width="24.1796875" style="32" customWidth="1"/>
    <col min="4865" max="4865" width="7.81640625" style="32" customWidth="1"/>
    <col min="4866" max="4866" width="9.1796875" style="32" customWidth="1"/>
    <col min="4867" max="4867" width="7.1796875" style="32" customWidth="1"/>
    <col min="4868" max="4868" width="8.453125" style="32" customWidth="1"/>
    <col min="4869" max="4869" width="8.81640625" style="32" customWidth="1"/>
    <col min="4870" max="4870" width="7.1796875" style="32" customWidth="1"/>
    <col min="4871" max="4871" width="8.1796875" style="32" customWidth="1"/>
    <col min="4872" max="4872" width="8" style="32" customWidth="1"/>
    <col min="4873" max="4873" width="9" style="32" customWidth="1"/>
    <col min="4874" max="4874" width="7.453125" style="32" customWidth="1"/>
    <col min="4875" max="4875" width="6.81640625" style="32" customWidth="1"/>
    <col min="4876" max="4876" width="2.1796875" style="32" customWidth="1"/>
    <col min="4877" max="5119" width="8.7265625" style="32"/>
    <col min="5120" max="5120" width="24.1796875" style="32" customWidth="1"/>
    <col min="5121" max="5121" width="7.81640625" style="32" customWidth="1"/>
    <col min="5122" max="5122" width="9.1796875" style="32" customWidth="1"/>
    <col min="5123" max="5123" width="7.1796875" style="32" customWidth="1"/>
    <col min="5124" max="5124" width="8.453125" style="32" customWidth="1"/>
    <col min="5125" max="5125" width="8.81640625" style="32" customWidth="1"/>
    <col min="5126" max="5126" width="7.1796875" style="32" customWidth="1"/>
    <col min="5127" max="5127" width="8.1796875" style="32" customWidth="1"/>
    <col min="5128" max="5128" width="8" style="32" customWidth="1"/>
    <col min="5129" max="5129" width="9" style="32" customWidth="1"/>
    <col min="5130" max="5130" width="7.453125" style="32" customWidth="1"/>
    <col min="5131" max="5131" width="6.81640625" style="32" customWidth="1"/>
    <col min="5132" max="5132" width="2.1796875" style="32" customWidth="1"/>
    <col min="5133" max="5375" width="8.7265625" style="32"/>
    <col min="5376" max="5376" width="24.1796875" style="32" customWidth="1"/>
    <col min="5377" max="5377" width="7.81640625" style="32" customWidth="1"/>
    <col min="5378" max="5378" width="9.1796875" style="32" customWidth="1"/>
    <col min="5379" max="5379" width="7.1796875" style="32" customWidth="1"/>
    <col min="5380" max="5380" width="8.453125" style="32" customWidth="1"/>
    <col min="5381" max="5381" width="8.81640625" style="32" customWidth="1"/>
    <col min="5382" max="5382" width="7.1796875" style="32" customWidth="1"/>
    <col min="5383" max="5383" width="8.1796875" style="32" customWidth="1"/>
    <col min="5384" max="5384" width="8" style="32" customWidth="1"/>
    <col min="5385" max="5385" width="9" style="32" customWidth="1"/>
    <col min="5386" max="5386" width="7.453125" style="32" customWidth="1"/>
    <col min="5387" max="5387" width="6.81640625" style="32" customWidth="1"/>
    <col min="5388" max="5388" width="2.1796875" style="32" customWidth="1"/>
    <col min="5389" max="5631" width="8.7265625" style="32"/>
    <col min="5632" max="5632" width="24.1796875" style="32" customWidth="1"/>
    <col min="5633" max="5633" width="7.81640625" style="32" customWidth="1"/>
    <col min="5634" max="5634" width="9.1796875" style="32" customWidth="1"/>
    <col min="5635" max="5635" width="7.1796875" style="32" customWidth="1"/>
    <col min="5636" max="5636" width="8.453125" style="32" customWidth="1"/>
    <col min="5637" max="5637" width="8.81640625" style="32" customWidth="1"/>
    <col min="5638" max="5638" width="7.1796875" style="32" customWidth="1"/>
    <col min="5639" max="5639" width="8.1796875" style="32" customWidth="1"/>
    <col min="5640" max="5640" width="8" style="32" customWidth="1"/>
    <col min="5641" max="5641" width="9" style="32" customWidth="1"/>
    <col min="5642" max="5642" width="7.453125" style="32" customWidth="1"/>
    <col min="5643" max="5643" width="6.81640625" style="32" customWidth="1"/>
    <col min="5644" max="5644" width="2.1796875" style="32" customWidth="1"/>
    <col min="5645" max="5887" width="8.7265625" style="32"/>
    <col min="5888" max="5888" width="24.1796875" style="32" customWidth="1"/>
    <col min="5889" max="5889" width="7.81640625" style="32" customWidth="1"/>
    <col min="5890" max="5890" width="9.1796875" style="32" customWidth="1"/>
    <col min="5891" max="5891" width="7.1796875" style="32" customWidth="1"/>
    <col min="5892" max="5892" width="8.453125" style="32" customWidth="1"/>
    <col min="5893" max="5893" width="8.81640625" style="32" customWidth="1"/>
    <col min="5894" max="5894" width="7.1796875" style="32" customWidth="1"/>
    <col min="5895" max="5895" width="8.1796875" style="32" customWidth="1"/>
    <col min="5896" max="5896" width="8" style="32" customWidth="1"/>
    <col min="5897" max="5897" width="9" style="32" customWidth="1"/>
    <col min="5898" max="5898" width="7.453125" style="32" customWidth="1"/>
    <col min="5899" max="5899" width="6.81640625" style="32" customWidth="1"/>
    <col min="5900" max="5900" width="2.1796875" style="32" customWidth="1"/>
    <col min="5901" max="6143" width="8.7265625" style="32"/>
    <col min="6144" max="6144" width="24.1796875" style="32" customWidth="1"/>
    <col min="6145" max="6145" width="7.81640625" style="32" customWidth="1"/>
    <col min="6146" max="6146" width="9.1796875" style="32" customWidth="1"/>
    <col min="6147" max="6147" width="7.1796875" style="32" customWidth="1"/>
    <col min="6148" max="6148" width="8.453125" style="32" customWidth="1"/>
    <col min="6149" max="6149" width="8.81640625" style="32" customWidth="1"/>
    <col min="6150" max="6150" width="7.1796875" style="32" customWidth="1"/>
    <col min="6151" max="6151" width="8.1796875" style="32" customWidth="1"/>
    <col min="6152" max="6152" width="8" style="32" customWidth="1"/>
    <col min="6153" max="6153" width="9" style="32" customWidth="1"/>
    <col min="6154" max="6154" width="7.453125" style="32" customWidth="1"/>
    <col min="6155" max="6155" width="6.81640625" style="32" customWidth="1"/>
    <col min="6156" max="6156" width="2.1796875" style="32" customWidth="1"/>
    <col min="6157" max="6399" width="8.7265625" style="32"/>
    <col min="6400" max="6400" width="24.1796875" style="32" customWidth="1"/>
    <col min="6401" max="6401" width="7.81640625" style="32" customWidth="1"/>
    <col min="6402" max="6402" width="9.1796875" style="32" customWidth="1"/>
    <col min="6403" max="6403" width="7.1796875" style="32" customWidth="1"/>
    <col min="6404" max="6404" width="8.453125" style="32" customWidth="1"/>
    <col min="6405" max="6405" width="8.81640625" style="32" customWidth="1"/>
    <col min="6406" max="6406" width="7.1796875" style="32" customWidth="1"/>
    <col min="6407" max="6407" width="8.1796875" style="32" customWidth="1"/>
    <col min="6408" max="6408" width="8" style="32" customWidth="1"/>
    <col min="6409" max="6409" width="9" style="32" customWidth="1"/>
    <col min="6410" max="6410" width="7.453125" style="32" customWidth="1"/>
    <col min="6411" max="6411" width="6.81640625" style="32" customWidth="1"/>
    <col min="6412" max="6412" width="2.1796875" style="32" customWidth="1"/>
    <col min="6413" max="6655" width="8.7265625" style="32"/>
    <col min="6656" max="6656" width="24.1796875" style="32" customWidth="1"/>
    <col min="6657" max="6657" width="7.81640625" style="32" customWidth="1"/>
    <col min="6658" max="6658" width="9.1796875" style="32" customWidth="1"/>
    <col min="6659" max="6659" width="7.1796875" style="32" customWidth="1"/>
    <col min="6660" max="6660" width="8.453125" style="32" customWidth="1"/>
    <col min="6661" max="6661" width="8.81640625" style="32" customWidth="1"/>
    <col min="6662" max="6662" width="7.1796875" style="32" customWidth="1"/>
    <col min="6663" max="6663" width="8.1796875" style="32" customWidth="1"/>
    <col min="6664" max="6664" width="8" style="32" customWidth="1"/>
    <col min="6665" max="6665" width="9" style="32" customWidth="1"/>
    <col min="6666" max="6666" width="7.453125" style="32" customWidth="1"/>
    <col min="6667" max="6667" width="6.81640625" style="32" customWidth="1"/>
    <col min="6668" max="6668" width="2.1796875" style="32" customWidth="1"/>
    <col min="6669" max="6911" width="8.7265625" style="32"/>
    <col min="6912" max="6912" width="24.1796875" style="32" customWidth="1"/>
    <col min="6913" max="6913" width="7.81640625" style="32" customWidth="1"/>
    <col min="6914" max="6914" width="9.1796875" style="32" customWidth="1"/>
    <col min="6915" max="6915" width="7.1796875" style="32" customWidth="1"/>
    <col min="6916" max="6916" width="8.453125" style="32" customWidth="1"/>
    <col min="6917" max="6917" width="8.81640625" style="32" customWidth="1"/>
    <col min="6918" max="6918" width="7.1796875" style="32" customWidth="1"/>
    <col min="6919" max="6919" width="8.1796875" style="32" customWidth="1"/>
    <col min="6920" max="6920" width="8" style="32" customWidth="1"/>
    <col min="6921" max="6921" width="9" style="32" customWidth="1"/>
    <col min="6922" max="6922" width="7.453125" style="32" customWidth="1"/>
    <col min="6923" max="6923" width="6.81640625" style="32" customWidth="1"/>
    <col min="6924" max="6924" width="2.1796875" style="32" customWidth="1"/>
    <col min="6925" max="7167" width="8.7265625" style="32"/>
    <col min="7168" max="7168" width="24.1796875" style="32" customWidth="1"/>
    <col min="7169" max="7169" width="7.81640625" style="32" customWidth="1"/>
    <col min="7170" max="7170" width="9.1796875" style="32" customWidth="1"/>
    <col min="7171" max="7171" width="7.1796875" style="32" customWidth="1"/>
    <col min="7172" max="7172" width="8.453125" style="32" customWidth="1"/>
    <col min="7173" max="7173" width="8.81640625" style="32" customWidth="1"/>
    <col min="7174" max="7174" width="7.1796875" style="32" customWidth="1"/>
    <col min="7175" max="7175" width="8.1796875" style="32" customWidth="1"/>
    <col min="7176" max="7176" width="8" style="32" customWidth="1"/>
    <col min="7177" max="7177" width="9" style="32" customWidth="1"/>
    <col min="7178" max="7178" width="7.453125" style="32" customWidth="1"/>
    <col min="7179" max="7179" width="6.81640625" style="32" customWidth="1"/>
    <col min="7180" max="7180" width="2.1796875" style="32" customWidth="1"/>
    <col min="7181" max="7423" width="8.7265625" style="32"/>
    <col min="7424" max="7424" width="24.1796875" style="32" customWidth="1"/>
    <col min="7425" max="7425" width="7.81640625" style="32" customWidth="1"/>
    <col min="7426" max="7426" width="9.1796875" style="32" customWidth="1"/>
    <col min="7427" max="7427" width="7.1796875" style="32" customWidth="1"/>
    <col min="7428" max="7428" width="8.453125" style="32" customWidth="1"/>
    <col min="7429" max="7429" width="8.81640625" style="32" customWidth="1"/>
    <col min="7430" max="7430" width="7.1796875" style="32" customWidth="1"/>
    <col min="7431" max="7431" width="8.1796875" style="32" customWidth="1"/>
    <col min="7432" max="7432" width="8" style="32" customWidth="1"/>
    <col min="7433" max="7433" width="9" style="32" customWidth="1"/>
    <col min="7434" max="7434" width="7.453125" style="32" customWidth="1"/>
    <col min="7435" max="7435" width="6.81640625" style="32" customWidth="1"/>
    <col min="7436" max="7436" width="2.1796875" style="32" customWidth="1"/>
    <col min="7437" max="7679" width="8.7265625" style="32"/>
    <col min="7680" max="7680" width="24.1796875" style="32" customWidth="1"/>
    <col min="7681" max="7681" width="7.81640625" style="32" customWidth="1"/>
    <col min="7682" max="7682" width="9.1796875" style="32" customWidth="1"/>
    <col min="7683" max="7683" width="7.1796875" style="32" customWidth="1"/>
    <col min="7684" max="7684" width="8.453125" style="32" customWidth="1"/>
    <col min="7685" max="7685" width="8.81640625" style="32" customWidth="1"/>
    <col min="7686" max="7686" width="7.1796875" style="32" customWidth="1"/>
    <col min="7687" max="7687" width="8.1796875" style="32" customWidth="1"/>
    <col min="7688" max="7688" width="8" style="32" customWidth="1"/>
    <col min="7689" max="7689" width="9" style="32" customWidth="1"/>
    <col min="7690" max="7690" width="7.453125" style="32" customWidth="1"/>
    <col min="7691" max="7691" width="6.81640625" style="32" customWidth="1"/>
    <col min="7692" max="7692" width="2.1796875" style="32" customWidth="1"/>
    <col min="7693" max="7935" width="8.7265625" style="32"/>
    <col min="7936" max="7936" width="24.1796875" style="32" customWidth="1"/>
    <col min="7937" max="7937" width="7.81640625" style="32" customWidth="1"/>
    <col min="7938" max="7938" width="9.1796875" style="32" customWidth="1"/>
    <col min="7939" max="7939" width="7.1796875" style="32" customWidth="1"/>
    <col min="7940" max="7940" width="8.453125" style="32" customWidth="1"/>
    <col min="7941" max="7941" width="8.81640625" style="32" customWidth="1"/>
    <col min="7942" max="7942" width="7.1796875" style="32" customWidth="1"/>
    <col min="7943" max="7943" width="8.1796875" style="32" customWidth="1"/>
    <col min="7944" max="7944" width="8" style="32" customWidth="1"/>
    <col min="7945" max="7945" width="9" style="32" customWidth="1"/>
    <col min="7946" max="7946" width="7.453125" style="32" customWidth="1"/>
    <col min="7947" max="7947" width="6.81640625" style="32" customWidth="1"/>
    <col min="7948" max="7948" width="2.1796875" style="32" customWidth="1"/>
    <col min="7949" max="8191" width="8.7265625" style="32"/>
    <col min="8192" max="8192" width="24.1796875" style="32" customWidth="1"/>
    <col min="8193" max="8193" width="7.81640625" style="32" customWidth="1"/>
    <col min="8194" max="8194" width="9.1796875" style="32" customWidth="1"/>
    <col min="8195" max="8195" width="7.1796875" style="32" customWidth="1"/>
    <col min="8196" max="8196" width="8.453125" style="32" customWidth="1"/>
    <col min="8197" max="8197" width="8.81640625" style="32" customWidth="1"/>
    <col min="8198" max="8198" width="7.1796875" style="32" customWidth="1"/>
    <col min="8199" max="8199" width="8.1796875" style="32" customWidth="1"/>
    <col min="8200" max="8200" width="8" style="32" customWidth="1"/>
    <col min="8201" max="8201" width="9" style="32" customWidth="1"/>
    <col min="8202" max="8202" width="7.453125" style="32" customWidth="1"/>
    <col min="8203" max="8203" width="6.81640625" style="32" customWidth="1"/>
    <col min="8204" max="8204" width="2.1796875" style="32" customWidth="1"/>
    <col min="8205" max="8447" width="8.7265625" style="32"/>
    <col min="8448" max="8448" width="24.1796875" style="32" customWidth="1"/>
    <col min="8449" max="8449" width="7.81640625" style="32" customWidth="1"/>
    <col min="8450" max="8450" width="9.1796875" style="32" customWidth="1"/>
    <col min="8451" max="8451" width="7.1796875" style="32" customWidth="1"/>
    <col min="8452" max="8452" width="8.453125" style="32" customWidth="1"/>
    <col min="8453" max="8453" width="8.81640625" style="32" customWidth="1"/>
    <col min="8454" max="8454" width="7.1796875" style="32" customWidth="1"/>
    <col min="8455" max="8455" width="8.1796875" style="32" customWidth="1"/>
    <col min="8456" max="8456" width="8" style="32" customWidth="1"/>
    <col min="8457" max="8457" width="9" style="32" customWidth="1"/>
    <col min="8458" max="8458" width="7.453125" style="32" customWidth="1"/>
    <col min="8459" max="8459" width="6.81640625" style="32" customWidth="1"/>
    <col min="8460" max="8460" width="2.1796875" style="32" customWidth="1"/>
    <col min="8461" max="8703" width="8.7265625" style="32"/>
    <col min="8704" max="8704" width="24.1796875" style="32" customWidth="1"/>
    <col min="8705" max="8705" width="7.81640625" style="32" customWidth="1"/>
    <col min="8706" max="8706" width="9.1796875" style="32" customWidth="1"/>
    <col min="8707" max="8707" width="7.1796875" style="32" customWidth="1"/>
    <col min="8708" max="8708" width="8.453125" style="32" customWidth="1"/>
    <col min="8709" max="8709" width="8.81640625" style="32" customWidth="1"/>
    <col min="8710" max="8710" width="7.1796875" style="32" customWidth="1"/>
    <col min="8711" max="8711" width="8.1796875" style="32" customWidth="1"/>
    <col min="8712" max="8712" width="8" style="32" customWidth="1"/>
    <col min="8713" max="8713" width="9" style="32" customWidth="1"/>
    <col min="8714" max="8714" width="7.453125" style="32" customWidth="1"/>
    <col min="8715" max="8715" width="6.81640625" style="32" customWidth="1"/>
    <col min="8716" max="8716" width="2.1796875" style="32" customWidth="1"/>
    <col min="8717" max="8959" width="8.7265625" style="32"/>
    <col min="8960" max="8960" width="24.1796875" style="32" customWidth="1"/>
    <col min="8961" max="8961" width="7.81640625" style="32" customWidth="1"/>
    <col min="8962" max="8962" width="9.1796875" style="32" customWidth="1"/>
    <col min="8963" max="8963" width="7.1796875" style="32" customWidth="1"/>
    <col min="8964" max="8964" width="8.453125" style="32" customWidth="1"/>
    <col min="8965" max="8965" width="8.81640625" style="32" customWidth="1"/>
    <col min="8966" max="8966" width="7.1796875" style="32" customWidth="1"/>
    <col min="8967" max="8967" width="8.1796875" style="32" customWidth="1"/>
    <col min="8968" max="8968" width="8" style="32" customWidth="1"/>
    <col min="8969" max="8969" width="9" style="32" customWidth="1"/>
    <col min="8970" max="8970" width="7.453125" style="32" customWidth="1"/>
    <col min="8971" max="8971" width="6.81640625" style="32" customWidth="1"/>
    <col min="8972" max="8972" width="2.1796875" style="32" customWidth="1"/>
    <col min="8973" max="9215" width="8.7265625" style="32"/>
    <col min="9216" max="9216" width="24.1796875" style="32" customWidth="1"/>
    <col min="9217" max="9217" width="7.81640625" style="32" customWidth="1"/>
    <col min="9218" max="9218" width="9.1796875" style="32" customWidth="1"/>
    <col min="9219" max="9219" width="7.1796875" style="32" customWidth="1"/>
    <col min="9220" max="9220" width="8.453125" style="32" customWidth="1"/>
    <col min="9221" max="9221" width="8.81640625" style="32" customWidth="1"/>
    <col min="9222" max="9222" width="7.1796875" style="32" customWidth="1"/>
    <col min="9223" max="9223" width="8.1796875" style="32" customWidth="1"/>
    <col min="9224" max="9224" width="8" style="32" customWidth="1"/>
    <col min="9225" max="9225" width="9" style="32" customWidth="1"/>
    <col min="9226" max="9226" width="7.453125" style="32" customWidth="1"/>
    <col min="9227" max="9227" width="6.81640625" style="32" customWidth="1"/>
    <col min="9228" max="9228" width="2.1796875" style="32" customWidth="1"/>
    <col min="9229" max="9471" width="8.7265625" style="32"/>
    <col min="9472" max="9472" width="24.1796875" style="32" customWidth="1"/>
    <col min="9473" max="9473" width="7.81640625" style="32" customWidth="1"/>
    <col min="9474" max="9474" width="9.1796875" style="32" customWidth="1"/>
    <col min="9475" max="9475" width="7.1796875" style="32" customWidth="1"/>
    <col min="9476" max="9476" width="8.453125" style="32" customWidth="1"/>
    <col min="9477" max="9477" width="8.81640625" style="32" customWidth="1"/>
    <col min="9478" max="9478" width="7.1796875" style="32" customWidth="1"/>
    <col min="9479" max="9479" width="8.1796875" style="32" customWidth="1"/>
    <col min="9480" max="9480" width="8" style="32" customWidth="1"/>
    <col min="9481" max="9481" width="9" style="32" customWidth="1"/>
    <col min="9482" max="9482" width="7.453125" style="32" customWidth="1"/>
    <col min="9483" max="9483" width="6.81640625" style="32" customWidth="1"/>
    <col min="9484" max="9484" width="2.1796875" style="32" customWidth="1"/>
    <col min="9485" max="9727" width="8.7265625" style="32"/>
    <col min="9728" max="9728" width="24.1796875" style="32" customWidth="1"/>
    <col min="9729" max="9729" width="7.81640625" style="32" customWidth="1"/>
    <col min="9730" max="9730" width="9.1796875" style="32" customWidth="1"/>
    <col min="9731" max="9731" width="7.1796875" style="32" customWidth="1"/>
    <col min="9732" max="9732" width="8.453125" style="32" customWidth="1"/>
    <col min="9733" max="9733" width="8.81640625" style="32" customWidth="1"/>
    <col min="9734" max="9734" width="7.1796875" style="32" customWidth="1"/>
    <col min="9735" max="9735" width="8.1796875" style="32" customWidth="1"/>
    <col min="9736" max="9736" width="8" style="32" customWidth="1"/>
    <col min="9737" max="9737" width="9" style="32" customWidth="1"/>
    <col min="9738" max="9738" width="7.453125" style="32" customWidth="1"/>
    <col min="9739" max="9739" width="6.81640625" style="32" customWidth="1"/>
    <col min="9740" max="9740" width="2.1796875" style="32" customWidth="1"/>
    <col min="9741" max="9983" width="8.7265625" style="32"/>
    <col min="9984" max="9984" width="24.1796875" style="32" customWidth="1"/>
    <col min="9985" max="9985" width="7.81640625" style="32" customWidth="1"/>
    <col min="9986" max="9986" width="9.1796875" style="32" customWidth="1"/>
    <col min="9987" max="9987" width="7.1796875" style="32" customWidth="1"/>
    <col min="9988" max="9988" width="8.453125" style="32" customWidth="1"/>
    <col min="9989" max="9989" width="8.81640625" style="32" customWidth="1"/>
    <col min="9990" max="9990" width="7.1796875" style="32" customWidth="1"/>
    <col min="9991" max="9991" width="8.1796875" style="32" customWidth="1"/>
    <col min="9992" max="9992" width="8" style="32" customWidth="1"/>
    <col min="9993" max="9993" width="9" style="32" customWidth="1"/>
    <col min="9994" max="9994" width="7.453125" style="32" customWidth="1"/>
    <col min="9995" max="9995" width="6.81640625" style="32" customWidth="1"/>
    <col min="9996" max="9996" width="2.1796875" style="32" customWidth="1"/>
    <col min="9997" max="10239" width="8.7265625" style="32"/>
    <col min="10240" max="10240" width="24.1796875" style="32" customWidth="1"/>
    <col min="10241" max="10241" width="7.81640625" style="32" customWidth="1"/>
    <col min="10242" max="10242" width="9.1796875" style="32" customWidth="1"/>
    <col min="10243" max="10243" width="7.1796875" style="32" customWidth="1"/>
    <col min="10244" max="10244" width="8.453125" style="32" customWidth="1"/>
    <col min="10245" max="10245" width="8.81640625" style="32" customWidth="1"/>
    <col min="10246" max="10246" width="7.1796875" style="32" customWidth="1"/>
    <col min="10247" max="10247" width="8.1796875" style="32" customWidth="1"/>
    <col min="10248" max="10248" width="8" style="32" customWidth="1"/>
    <col min="10249" max="10249" width="9" style="32" customWidth="1"/>
    <col min="10250" max="10250" width="7.453125" style="32" customWidth="1"/>
    <col min="10251" max="10251" width="6.81640625" style="32" customWidth="1"/>
    <col min="10252" max="10252" width="2.1796875" style="32" customWidth="1"/>
    <col min="10253" max="10495" width="8.7265625" style="32"/>
    <col min="10496" max="10496" width="24.1796875" style="32" customWidth="1"/>
    <col min="10497" max="10497" width="7.81640625" style="32" customWidth="1"/>
    <col min="10498" max="10498" width="9.1796875" style="32" customWidth="1"/>
    <col min="10499" max="10499" width="7.1796875" style="32" customWidth="1"/>
    <col min="10500" max="10500" width="8.453125" style="32" customWidth="1"/>
    <col min="10501" max="10501" width="8.81640625" style="32" customWidth="1"/>
    <col min="10502" max="10502" width="7.1796875" style="32" customWidth="1"/>
    <col min="10503" max="10503" width="8.1796875" style="32" customWidth="1"/>
    <col min="10504" max="10504" width="8" style="32" customWidth="1"/>
    <col min="10505" max="10505" width="9" style="32" customWidth="1"/>
    <col min="10506" max="10506" width="7.453125" style="32" customWidth="1"/>
    <col min="10507" max="10507" width="6.81640625" style="32" customWidth="1"/>
    <col min="10508" max="10508" width="2.1796875" style="32" customWidth="1"/>
    <col min="10509" max="10751" width="8.7265625" style="32"/>
    <col min="10752" max="10752" width="24.1796875" style="32" customWidth="1"/>
    <col min="10753" max="10753" width="7.81640625" style="32" customWidth="1"/>
    <col min="10754" max="10754" width="9.1796875" style="32" customWidth="1"/>
    <col min="10755" max="10755" width="7.1796875" style="32" customWidth="1"/>
    <col min="10756" max="10756" width="8.453125" style="32" customWidth="1"/>
    <col min="10757" max="10757" width="8.81640625" style="32" customWidth="1"/>
    <col min="10758" max="10758" width="7.1796875" style="32" customWidth="1"/>
    <col min="10759" max="10759" width="8.1796875" style="32" customWidth="1"/>
    <col min="10760" max="10760" width="8" style="32" customWidth="1"/>
    <col min="10761" max="10761" width="9" style="32" customWidth="1"/>
    <col min="10762" max="10762" width="7.453125" style="32" customWidth="1"/>
    <col min="10763" max="10763" width="6.81640625" style="32" customWidth="1"/>
    <col min="10764" max="10764" width="2.1796875" style="32" customWidth="1"/>
    <col min="10765" max="11007" width="8.7265625" style="32"/>
    <col min="11008" max="11008" width="24.1796875" style="32" customWidth="1"/>
    <col min="11009" max="11009" width="7.81640625" style="32" customWidth="1"/>
    <col min="11010" max="11010" width="9.1796875" style="32" customWidth="1"/>
    <col min="11011" max="11011" width="7.1796875" style="32" customWidth="1"/>
    <col min="11012" max="11012" width="8.453125" style="32" customWidth="1"/>
    <col min="11013" max="11013" width="8.81640625" style="32" customWidth="1"/>
    <col min="11014" max="11014" width="7.1796875" style="32" customWidth="1"/>
    <col min="11015" max="11015" width="8.1796875" style="32" customWidth="1"/>
    <col min="11016" max="11016" width="8" style="32" customWidth="1"/>
    <col min="11017" max="11017" width="9" style="32" customWidth="1"/>
    <col min="11018" max="11018" width="7.453125" style="32" customWidth="1"/>
    <col min="11019" max="11019" width="6.81640625" style="32" customWidth="1"/>
    <col min="11020" max="11020" width="2.1796875" style="32" customWidth="1"/>
    <col min="11021" max="11263" width="8.7265625" style="32"/>
    <col min="11264" max="11264" width="24.1796875" style="32" customWidth="1"/>
    <col min="11265" max="11265" width="7.81640625" style="32" customWidth="1"/>
    <col min="11266" max="11266" width="9.1796875" style="32" customWidth="1"/>
    <col min="11267" max="11267" width="7.1796875" style="32" customWidth="1"/>
    <col min="11268" max="11268" width="8.453125" style="32" customWidth="1"/>
    <col min="11269" max="11269" width="8.81640625" style="32" customWidth="1"/>
    <col min="11270" max="11270" width="7.1796875" style="32" customWidth="1"/>
    <col min="11271" max="11271" width="8.1796875" style="32" customWidth="1"/>
    <col min="11272" max="11272" width="8" style="32" customWidth="1"/>
    <col min="11273" max="11273" width="9" style="32" customWidth="1"/>
    <col min="11274" max="11274" width="7.453125" style="32" customWidth="1"/>
    <col min="11275" max="11275" width="6.81640625" style="32" customWidth="1"/>
    <col min="11276" max="11276" width="2.1796875" style="32" customWidth="1"/>
    <col min="11277" max="11519" width="8.7265625" style="32"/>
    <col min="11520" max="11520" width="24.1796875" style="32" customWidth="1"/>
    <col min="11521" max="11521" width="7.81640625" style="32" customWidth="1"/>
    <col min="11522" max="11522" width="9.1796875" style="32" customWidth="1"/>
    <col min="11523" max="11523" width="7.1796875" style="32" customWidth="1"/>
    <col min="11524" max="11524" width="8.453125" style="32" customWidth="1"/>
    <col min="11525" max="11525" width="8.81640625" style="32" customWidth="1"/>
    <col min="11526" max="11526" width="7.1796875" style="32" customWidth="1"/>
    <col min="11527" max="11527" width="8.1796875" style="32" customWidth="1"/>
    <col min="11528" max="11528" width="8" style="32" customWidth="1"/>
    <col min="11529" max="11529" width="9" style="32" customWidth="1"/>
    <col min="11530" max="11530" width="7.453125" style="32" customWidth="1"/>
    <col min="11531" max="11531" width="6.81640625" style="32" customWidth="1"/>
    <col min="11532" max="11532" width="2.1796875" style="32" customWidth="1"/>
    <col min="11533" max="11775" width="8.7265625" style="32"/>
    <col min="11776" max="11776" width="24.1796875" style="32" customWidth="1"/>
    <col min="11777" max="11777" width="7.81640625" style="32" customWidth="1"/>
    <col min="11778" max="11778" width="9.1796875" style="32" customWidth="1"/>
    <col min="11779" max="11779" width="7.1796875" style="32" customWidth="1"/>
    <col min="11780" max="11780" width="8.453125" style="32" customWidth="1"/>
    <col min="11781" max="11781" width="8.81640625" style="32" customWidth="1"/>
    <col min="11782" max="11782" width="7.1796875" style="32" customWidth="1"/>
    <col min="11783" max="11783" width="8.1796875" style="32" customWidth="1"/>
    <col min="11784" max="11784" width="8" style="32" customWidth="1"/>
    <col min="11785" max="11785" width="9" style="32" customWidth="1"/>
    <col min="11786" max="11786" width="7.453125" style="32" customWidth="1"/>
    <col min="11787" max="11787" width="6.81640625" style="32" customWidth="1"/>
    <col min="11788" max="11788" width="2.1796875" style="32" customWidth="1"/>
    <col min="11789" max="12031" width="8.7265625" style="32"/>
    <col min="12032" max="12032" width="24.1796875" style="32" customWidth="1"/>
    <col min="12033" max="12033" width="7.81640625" style="32" customWidth="1"/>
    <col min="12034" max="12034" width="9.1796875" style="32" customWidth="1"/>
    <col min="12035" max="12035" width="7.1796875" style="32" customWidth="1"/>
    <col min="12036" max="12036" width="8.453125" style="32" customWidth="1"/>
    <col min="12037" max="12037" width="8.81640625" style="32" customWidth="1"/>
    <col min="12038" max="12038" width="7.1796875" style="32" customWidth="1"/>
    <col min="12039" max="12039" width="8.1796875" style="32" customWidth="1"/>
    <col min="12040" max="12040" width="8" style="32" customWidth="1"/>
    <col min="12041" max="12041" width="9" style="32" customWidth="1"/>
    <col min="12042" max="12042" width="7.453125" style="32" customWidth="1"/>
    <col min="12043" max="12043" width="6.81640625" style="32" customWidth="1"/>
    <col min="12044" max="12044" width="2.1796875" style="32" customWidth="1"/>
    <col min="12045" max="12287" width="8.7265625" style="32"/>
    <col min="12288" max="12288" width="24.1796875" style="32" customWidth="1"/>
    <col min="12289" max="12289" width="7.81640625" style="32" customWidth="1"/>
    <col min="12290" max="12290" width="9.1796875" style="32" customWidth="1"/>
    <col min="12291" max="12291" width="7.1796875" style="32" customWidth="1"/>
    <col min="12292" max="12292" width="8.453125" style="32" customWidth="1"/>
    <col min="12293" max="12293" width="8.81640625" style="32" customWidth="1"/>
    <col min="12294" max="12294" width="7.1796875" style="32" customWidth="1"/>
    <col min="12295" max="12295" width="8.1796875" style="32" customWidth="1"/>
    <col min="12296" max="12296" width="8" style="32" customWidth="1"/>
    <col min="12297" max="12297" width="9" style="32" customWidth="1"/>
    <col min="12298" max="12298" width="7.453125" style="32" customWidth="1"/>
    <col min="12299" max="12299" width="6.81640625" style="32" customWidth="1"/>
    <col min="12300" max="12300" width="2.1796875" style="32" customWidth="1"/>
    <col min="12301" max="12543" width="8.7265625" style="32"/>
    <col min="12544" max="12544" width="24.1796875" style="32" customWidth="1"/>
    <col min="12545" max="12545" width="7.81640625" style="32" customWidth="1"/>
    <col min="12546" max="12546" width="9.1796875" style="32" customWidth="1"/>
    <col min="12547" max="12547" width="7.1796875" style="32" customWidth="1"/>
    <col min="12548" max="12548" width="8.453125" style="32" customWidth="1"/>
    <col min="12549" max="12549" width="8.81640625" style="32" customWidth="1"/>
    <col min="12550" max="12550" width="7.1796875" style="32" customWidth="1"/>
    <col min="12551" max="12551" width="8.1796875" style="32" customWidth="1"/>
    <col min="12552" max="12552" width="8" style="32" customWidth="1"/>
    <col min="12553" max="12553" width="9" style="32" customWidth="1"/>
    <col min="12554" max="12554" width="7.453125" style="32" customWidth="1"/>
    <col min="12555" max="12555" width="6.81640625" style="32" customWidth="1"/>
    <col min="12556" max="12556" width="2.1796875" style="32" customWidth="1"/>
    <col min="12557" max="12799" width="8.7265625" style="32"/>
    <col min="12800" max="12800" width="24.1796875" style="32" customWidth="1"/>
    <col min="12801" max="12801" width="7.81640625" style="32" customWidth="1"/>
    <col min="12802" max="12802" width="9.1796875" style="32" customWidth="1"/>
    <col min="12803" max="12803" width="7.1796875" style="32" customWidth="1"/>
    <col min="12804" max="12804" width="8.453125" style="32" customWidth="1"/>
    <col min="12805" max="12805" width="8.81640625" style="32" customWidth="1"/>
    <col min="12806" max="12806" width="7.1796875" style="32" customWidth="1"/>
    <col min="12807" max="12807" width="8.1796875" style="32" customWidth="1"/>
    <col min="12808" max="12808" width="8" style="32" customWidth="1"/>
    <col min="12809" max="12809" width="9" style="32" customWidth="1"/>
    <col min="12810" max="12810" width="7.453125" style="32" customWidth="1"/>
    <col min="12811" max="12811" width="6.81640625" style="32" customWidth="1"/>
    <col min="12812" max="12812" width="2.1796875" style="32" customWidth="1"/>
    <col min="12813" max="13055" width="8.7265625" style="32"/>
    <col min="13056" max="13056" width="24.1796875" style="32" customWidth="1"/>
    <col min="13057" max="13057" width="7.81640625" style="32" customWidth="1"/>
    <col min="13058" max="13058" width="9.1796875" style="32" customWidth="1"/>
    <col min="13059" max="13059" width="7.1796875" style="32" customWidth="1"/>
    <col min="13060" max="13060" width="8.453125" style="32" customWidth="1"/>
    <col min="13061" max="13061" width="8.81640625" style="32" customWidth="1"/>
    <col min="13062" max="13062" width="7.1796875" style="32" customWidth="1"/>
    <col min="13063" max="13063" width="8.1796875" style="32" customWidth="1"/>
    <col min="13064" max="13064" width="8" style="32" customWidth="1"/>
    <col min="13065" max="13065" width="9" style="32" customWidth="1"/>
    <col min="13066" max="13066" width="7.453125" style="32" customWidth="1"/>
    <col min="13067" max="13067" width="6.81640625" style="32" customWidth="1"/>
    <col min="13068" max="13068" width="2.1796875" style="32" customWidth="1"/>
    <col min="13069" max="13311" width="8.7265625" style="32"/>
    <col min="13312" max="13312" width="24.1796875" style="32" customWidth="1"/>
    <col min="13313" max="13313" width="7.81640625" style="32" customWidth="1"/>
    <col min="13314" max="13314" width="9.1796875" style="32" customWidth="1"/>
    <col min="13315" max="13315" width="7.1796875" style="32" customWidth="1"/>
    <col min="13316" max="13316" width="8.453125" style="32" customWidth="1"/>
    <col min="13317" max="13317" width="8.81640625" style="32" customWidth="1"/>
    <col min="13318" max="13318" width="7.1796875" style="32" customWidth="1"/>
    <col min="13319" max="13319" width="8.1796875" style="32" customWidth="1"/>
    <col min="13320" max="13320" width="8" style="32" customWidth="1"/>
    <col min="13321" max="13321" width="9" style="32" customWidth="1"/>
    <col min="13322" max="13322" width="7.453125" style="32" customWidth="1"/>
    <col min="13323" max="13323" width="6.81640625" style="32" customWidth="1"/>
    <col min="13324" max="13324" width="2.1796875" style="32" customWidth="1"/>
    <col min="13325" max="13567" width="8.7265625" style="32"/>
    <col min="13568" max="13568" width="24.1796875" style="32" customWidth="1"/>
    <col min="13569" max="13569" width="7.81640625" style="32" customWidth="1"/>
    <col min="13570" max="13570" width="9.1796875" style="32" customWidth="1"/>
    <col min="13571" max="13571" width="7.1796875" style="32" customWidth="1"/>
    <col min="13572" max="13572" width="8.453125" style="32" customWidth="1"/>
    <col min="13573" max="13573" width="8.81640625" style="32" customWidth="1"/>
    <col min="13574" max="13574" width="7.1796875" style="32" customWidth="1"/>
    <col min="13575" max="13575" width="8.1796875" style="32" customWidth="1"/>
    <col min="13576" max="13576" width="8" style="32" customWidth="1"/>
    <col min="13577" max="13577" width="9" style="32" customWidth="1"/>
    <col min="13578" max="13578" width="7.453125" style="32" customWidth="1"/>
    <col min="13579" max="13579" width="6.81640625" style="32" customWidth="1"/>
    <col min="13580" max="13580" width="2.1796875" style="32" customWidth="1"/>
    <col min="13581" max="13823" width="8.7265625" style="32"/>
    <col min="13824" max="13824" width="24.1796875" style="32" customWidth="1"/>
    <col min="13825" max="13825" width="7.81640625" style="32" customWidth="1"/>
    <col min="13826" max="13826" width="9.1796875" style="32" customWidth="1"/>
    <col min="13827" max="13827" width="7.1796875" style="32" customWidth="1"/>
    <col min="13828" max="13828" width="8.453125" style="32" customWidth="1"/>
    <col min="13829" max="13829" width="8.81640625" style="32" customWidth="1"/>
    <col min="13830" max="13830" width="7.1796875" style="32" customWidth="1"/>
    <col min="13831" max="13831" width="8.1796875" style="32" customWidth="1"/>
    <col min="13832" max="13832" width="8" style="32" customWidth="1"/>
    <col min="13833" max="13833" width="9" style="32" customWidth="1"/>
    <col min="13834" max="13834" width="7.453125" style="32" customWidth="1"/>
    <col min="13835" max="13835" width="6.81640625" style="32" customWidth="1"/>
    <col min="13836" max="13836" width="2.1796875" style="32" customWidth="1"/>
    <col min="13837" max="14079" width="8.7265625" style="32"/>
    <col min="14080" max="14080" width="24.1796875" style="32" customWidth="1"/>
    <col min="14081" max="14081" width="7.81640625" style="32" customWidth="1"/>
    <col min="14082" max="14082" width="9.1796875" style="32" customWidth="1"/>
    <col min="14083" max="14083" width="7.1796875" style="32" customWidth="1"/>
    <col min="14084" max="14084" width="8.453125" style="32" customWidth="1"/>
    <col min="14085" max="14085" width="8.81640625" style="32" customWidth="1"/>
    <col min="14086" max="14086" width="7.1796875" style="32" customWidth="1"/>
    <col min="14087" max="14087" width="8.1796875" style="32" customWidth="1"/>
    <col min="14088" max="14088" width="8" style="32" customWidth="1"/>
    <col min="14089" max="14089" width="9" style="32" customWidth="1"/>
    <col min="14090" max="14090" width="7.453125" style="32" customWidth="1"/>
    <col min="14091" max="14091" width="6.81640625" style="32" customWidth="1"/>
    <col min="14092" max="14092" width="2.1796875" style="32" customWidth="1"/>
    <col min="14093" max="14335" width="8.7265625" style="32"/>
    <col min="14336" max="14336" width="24.1796875" style="32" customWidth="1"/>
    <col min="14337" max="14337" width="7.81640625" style="32" customWidth="1"/>
    <col min="14338" max="14338" width="9.1796875" style="32" customWidth="1"/>
    <col min="14339" max="14339" width="7.1796875" style="32" customWidth="1"/>
    <col min="14340" max="14340" width="8.453125" style="32" customWidth="1"/>
    <col min="14341" max="14341" width="8.81640625" style="32" customWidth="1"/>
    <col min="14342" max="14342" width="7.1796875" style="32" customWidth="1"/>
    <col min="14343" max="14343" width="8.1796875" style="32" customWidth="1"/>
    <col min="14344" max="14344" width="8" style="32" customWidth="1"/>
    <col min="14345" max="14345" width="9" style="32" customWidth="1"/>
    <col min="14346" max="14346" width="7.453125" style="32" customWidth="1"/>
    <col min="14347" max="14347" width="6.81640625" style="32" customWidth="1"/>
    <col min="14348" max="14348" width="2.1796875" style="32" customWidth="1"/>
    <col min="14349" max="14591" width="8.7265625" style="32"/>
    <col min="14592" max="14592" width="24.1796875" style="32" customWidth="1"/>
    <col min="14593" max="14593" width="7.81640625" style="32" customWidth="1"/>
    <col min="14594" max="14594" width="9.1796875" style="32" customWidth="1"/>
    <col min="14595" max="14595" width="7.1796875" style="32" customWidth="1"/>
    <col min="14596" max="14596" width="8.453125" style="32" customWidth="1"/>
    <col min="14597" max="14597" width="8.81640625" style="32" customWidth="1"/>
    <col min="14598" max="14598" width="7.1796875" style="32" customWidth="1"/>
    <col min="14599" max="14599" width="8.1796875" style="32" customWidth="1"/>
    <col min="14600" max="14600" width="8" style="32" customWidth="1"/>
    <col min="14601" max="14601" width="9" style="32" customWidth="1"/>
    <col min="14602" max="14602" width="7.453125" style="32" customWidth="1"/>
    <col min="14603" max="14603" width="6.81640625" style="32" customWidth="1"/>
    <col min="14604" max="14604" width="2.1796875" style="32" customWidth="1"/>
    <col min="14605" max="14847" width="8.7265625" style="32"/>
    <col min="14848" max="14848" width="24.1796875" style="32" customWidth="1"/>
    <col min="14849" max="14849" width="7.81640625" style="32" customWidth="1"/>
    <col min="14850" max="14850" width="9.1796875" style="32" customWidth="1"/>
    <col min="14851" max="14851" width="7.1796875" style="32" customWidth="1"/>
    <col min="14852" max="14852" width="8.453125" style="32" customWidth="1"/>
    <col min="14853" max="14853" width="8.81640625" style="32" customWidth="1"/>
    <col min="14854" max="14854" width="7.1796875" style="32" customWidth="1"/>
    <col min="14855" max="14855" width="8.1796875" style="32" customWidth="1"/>
    <col min="14856" max="14856" width="8" style="32" customWidth="1"/>
    <col min="14857" max="14857" width="9" style="32" customWidth="1"/>
    <col min="14858" max="14858" width="7.453125" style="32" customWidth="1"/>
    <col min="14859" max="14859" width="6.81640625" style="32" customWidth="1"/>
    <col min="14860" max="14860" width="2.1796875" style="32" customWidth="1"/>
    <col min="14861" max="15103" width="8.7265625" style="32"/>
    <col min="15104" max="15104" width="24.1796875" style="32" customWidth="1"/>
    <col min="15105" max="15105" width="7.81640625" style="32" customWidth="1"/>
    <col min="15106" max="15106" width="9.1796875" style="32" customWidth="1"/>
    <col min="15107" max="15107" width="7.1796875" style="32" customWidth="1"/>
    <col min="15108" max="15108" width="8.453125" style="32" customWidth="1"/>
    <col min="15109" max="15109" width="8.81640625" style="32" customWidth="1"/>
    <col min="15110" max="15110" width="7.1796875" style="32" customWidth="1"/>
    <col min="15111" max="15111" width="8.1796875" style="32" customWidth="1"/>
    <col min="15112" max="15112" width="8" style="32" customWidth="1"/>
    <col min="15113" max="15113" width="9" style="32" customWidth="1"/>
    <col min="15114" max="15114" width="7.453125" style="32" customWidth="1"/>
    <col min="15115" max="15115" width="6.81640625" style="32" customWidth="1"/>
    <col min="15116" max="15116" width="2.1796875" style="32" customWidth="1"/>
    <col min="15117" max="15359" width="8.7265625" style="32"/>
    <col min="15360" max="15360" width="24.1796875" style="32" customWidth="1"/>
    <col min="15361" max="15361" width="7.81640625" style="32" customWidth="1"/>
    <col min="15362" max="15362" width="9.1796875" style="32" customWidth="1"/>
    <col min="15363" max="15363" width="7.1796875" style="32" customWidth="1"/>
    <col min="15364" max="15364" width="8.453125" style="32" customWidth="1"/>
    <col min="15365" max="15365" width="8.81640625" style="32" customWidth="1"/>
    <col min="15366" max="15366" width="7.1796875" style="32" customWidth="1"/>
    <col min="15367" max="15367" width="8.1796875" style="32" customWidth="1"/>
    <col min="15368" max="15368" width="8" style="32" customWidth="1"/>
    <col min="15369" max="15369" width="9" style="32" customWidth="1"/>
    <col min="15370" max="15370" width="7.453125" style="32" customWidth="1"/>
    <col min="15371" max="15371" width="6.81640625" style="32" customWidth="1"/>
    <col min="15372" max="15372" width="2.1796875" style="32" customWidth="1"/>
    <col min="15373" max="15615" width="8.7265625" style="32"/>
    <col min="15616" max="15616" width="24.1796875" style="32" customWidth="1"/>
    <col min="15617" max="15617" width="7.81640625" style="32" customWidth="1"/>
    <col min="15618" max="15618" width="9.1796875" style="32" customWidth="1"/>
    <col min="15619" max="15619" width="7.1796875" style="32" customWidth="1"/>
    <col min="15620" max="15620" width="8.453125" style="32" customWidth="1"/>
    <col min="15621" max="15621" width="8.81640625" style="32" customWidth="1"/>
    <col min="15622" max="15622" width="7.1796875" style="32" customWidth="1"/>
    <col min="15623" max="15623" width="8.1796875" style="32" customWidth="1"/>
    <col min="15624" max="15624" width="8" style="32" customWidth="1"/>
    <col min="15625" max="15625" width="9" style="32" customWidth="1"/>
    <col min="15626" max="15626" width="7.453125" style="32" customWidth="1"/>
    <col min="15627" max="15627" width="6.81640625" style="32" customWidth="1"/>
    <col min="15628" max="15628" width="2.1796875" style="32" customWidth="1"/>
    <col min="15629" max="15871" width="8.7265625" style="32"/>
    <col min="15872" max="15872" width="24.1796875" style="32" customWidth="1"/>
    <col min="15873" max="15873" width="7.81640625" style="32" customWidth="1"/>
    <col min="15874" max="15874" width="9.1796875" style="32" customWidth="1"/>
    <col min="15875" max="15875" width="7.1796875" style="32" customWidth="1"/>
    <col min="15876" max="15876" width="8.453125" style="32" customWidth="1"/>
    <col min="15877" max="15877" width="8.81640625" style="32" customWidth="1"/>
    <col min="15878" max="15878" width="7.1796875" style="32" customWidth="1"/>
    <col min="15879" max="15879" width="8.1796875" style="32" customWidth="1"/>
    <col min="15880" max="15880" width="8" style="32" customWidth="1"/>
    <col min="15881" max="15881" width="9" style="32" customWidth="1"/>
    <col min="15882" max="15882" width="7.453125" style="32" customWidth="1"/>
    <col min="15883" max="15883" width="6.81640625" style="32" customWidth="1"/>
    <col min="15884" max="15884" width="2.1796875" style="32" customWidth="1"/>
    <col min="15885" max="16127" width="8.7265625" style="32"/>
    <col min="16128" max="16128" width="24.1796875" style="32" customWidth="1"/>
    <col min="16129" max="16129" width="7.81640625" style="32" customWidth="1"/>
    <col min="16130" max="16130" width="9.1796875" style="32" customWidth="1"/>
    <col min="16131" max="16131" width="7.1796875" style="32" customWidth="1"/>
    <col min="16132" max="16132" width="8.453125" style="32" customWidth="1"/>
    <col min="16133" max="16133" width="8.81640625" style="32" customWidth="1"/>
    <col min="16134" max="16134" width="7.1796875" style="32" customWidth="1"/>
    <col min="16135" max="16135" width="8.1796875" style="32" customWidth="1"/>
    <col min="16136" max="16136" width="8" style="32" customWidth="1"/>
    <col min="16137" max="16137" width="9" style="32" customWidth="1"/>
    <col min="16138" max="16138" width="7.453125" style="32" customWidth="1"/>
    <col min="16139" max="16139" width="6.81640625" style="32" customWidth="1"/>
    <col min="16140" max="16140" width="2.1796875" style="32" customWidth="1"/>
    <col min="16141" max="16384" width="8.7265625" style="32"/>
  </cols>
  <sheetData>
    <row r="1" spans="1:8" ht="13" x14ac:dyDescent="0.25">
      <c r="A1" s="31" t="s">
        <v>97</v>
      </c>
    </row>
    <row r="2" spans="1:8" ht="13" x14ac:dyDescent="0.25">
      <c r="A2" s="33" t="s">
        <v>98</v>
      </c>
    </row>
    <row r="4" spans="1:8" x14ac:dyDescent="0.25">
      <c r="A4" s="34"/>
      <c r="B4" s="34"/>
      <c r="C4" s="35" t="s">
        <v>99</v>
      </c>
      <c r="D4" s="35"/>
      <c r="E4" s="34"/>
      <c r="F4" s="34"/>
      <c r="G4" s="34"/>
    </row>
    <row r="5" spans="1:8" x14ac:dyDescent="0.25">
      <c r="A5" s="36" t="s">
        <v>100</v>
      </c>
      <c r="B5" s="36"/>
      <c r="C5" s="36"/>
      <c r="D5" s="37" t="s">
        <v>101</v>
      </c>
      <c r="E5" s="34"/>
      <c r="F5" s="34"/>
      <c r="G5" s="34"/>
    </row>
    <row r="6" spans="1:8" x14ac:dyDescent="0.25">
      <c r="A6" s="34"/>
      <c r="B6" s="34"/>
      <c r="C6" s="34"/>
      <c r="D6" s="38" t="s">
        <v>102</v>
      </c>
      <c r="E6" s="34"/>
      <c r="F6" s="37" t="s">
        <v>103</v>
      </c>
      <c r="G6" s="39" t="s">
        <v>104</v>
      </c>
    </row>
    <row r="7" spans="1:8" x14ac:dyDescent="0.25">
      <c r="A7" s="34"/>
      <c r="B7" s="34"/>
      <c r="C7" s="40" t="s">
        <v>105</v>
      </c>
      <c r="D7" s="37" t="s">
        <v>106</v>
      </c>
      <c r="E7" s="37" t="s">
        <v>107</v>
      </c>
      <c r="F7" s="37" t="s">
        <v>108</v>
      </c>
      <c r="G7" s="41" t="s">
        <v>109</v>
      </c>
    </row>
    <row r="8" spans="1:8" x14ac:dyDescent="0.25">
      <c r="A8" s="34"/>
      <c r="B8" s="39" t="s">
        <v>101</v>
      </c>
      <c r="C8" s="40" t="s">
        <v>110</v>
      </c>
      <c r="D8" s="37" t="s">
        <v>111</v>
      </c>
      <c r="E8" s="37" t="s">
        <v>112</v>
      </c>
      <c r="F8" s="38" t="s">
        <v>113</v>
      </c>
      <c r="G8" s="40" t="s">
        <v>114</v>
      </c>
      <c r="H8" s="42" t="s">
        <v>115</v>
      </c>
    </row>
    <row r="9" spans="1:8" x14ac:dyDescent="0.25">
      <c r="A9" s="39" t="s">
        <v>116</v>
      </c>
      <c r="B9" s="43">
        <v>3602</v>
      </c>
      <c r="C9" s="44">
        <v>296</v>
      </c>
      <c r="D9" s="45">
        <v>1217</v>
      </c>
      <c r="E9" s="38">
        <v>339</v>
      </c>
      <c r="F9" s="46">
        <v>28</v>
      </c>
      <c r="G9" s="47">
        <v>32</v>
      </c>
      <c r="H9" s="48">
        <f>G9/F9</f>
        <v>1.1428571428571428</v>
      </c>
    </row>
    <row r="10" spans="1:8" x14ac:dyDescent="0.25">
      <c r="A10" s="39" t="s">
        <v>117</v>
      </c>
      <c r="B10" s="43">
        <v>564</v>
      </c>
      <c r="C10" s="44">
        <v>168</v>
      </c>
      <c r="D10" s="38">
        <v>335</v>
      </c>
      <c r="E10" s="46">
        <v>281</v>
      </c>
      <c r="F10" s="37">
        <v>84</v>
      </c>
      <c r="G10" s="44">
        <v>61</v>
      </c>
      <c r="H10" s="48">
        <f t="shared" ref="H10:H38" si="0">G10/F10</f>
        <v>0.72619047619047616</v>
      </c>
    </row>
    <row r="11" spans="1:8" x14ac:dyDescent="0.25">
      <c r="A11" s="39" t="s">
        <v>118</v>
      </c>
      <c r="B11" s="43">
        <v>383</v>
      </c>
      <c r="C11" s="47">
        <v>132</v>
      </c>
      <c r="D11" s="46">
        <v>290</v>
      </c>
      <c r="E11" s="46">
        <v>302</v>
      </c>
      <c r="F11" s="46">
        <v>104</v>
      </c>
      <c r="G11" s="44">
        <v>138</v>
      </c>
      <c r="H11" s="48">
        <f t="shared" si="0"/>
        <v>1.3269230769230769</v>
      </c>
    </row>
    <row r="12" spans="1:8" x14ac:dyDescent="0.25">
      <c r="A12" s="39" t="s">
        <v>119</v>
      </c>
      <c r="B12" s="44">
        <v>326</v>
      </c>
      <c r="C12" s="44">
        <v>137</v>
      </c>
      <c r="D12" s="49">
        <v>238</v>
      </c>
      <c r="E12" s="49">
        <v>296</v>
      </c>
      <c r="F12" s="46">
        <v>125</v>
      </c>
      <c r="G12" s="43">
        <v>97</v>
      </c>
      <c r="H12" s="48">
        <f t="shared" si="0"/>
        <v>0.77600000000000002</v>
      </c>
    </row>
    <row r="13" spans="1:8" x14ac:dyDescent="0.25">
      <c r="A13" s="39" t="s">
        <v>120</v>
      </c>
      <c r="B13" s="44">
        <v>319</v>
      </c>
      <c r="C13" s="47">
        <v>102</v>
      </c>
      <c r="D13" s="46">
        <v>312</v>
      </c>
      <c r="E13" s="49">
        <v>275</v>
      </c>
      <c r="F13" s="38">
        <v>88</v>
      </c>
      <c r="G13" s="43">
        <v>65</v>
      </c>
      <c r="H13" s="48">
        <f t="shared" si="0"/>
        <v>0.73863636363636365</v>
      </c>
    </row>
    <row r="14" spans="1:8" x14ac:dyDescent="0.25">
      <c r="A14" s="39" t="s">
        <v>121</v>
      </c>
      <c r="B14" s="44">
        <v>306</v>
      </c>
      <c r="C14" s="44">
        <v>167</v>
      </c>
      <c r="D14" s="49">
        <v>183</v>
      </c>
      <c r="E14" s="49">
        <v>289</v>
      </c>
      <c r="F14" s="49">
        <v>158</v>
      </c>
      <c r="G14" s="44">
        <v>139</v>
      </c>
      <c r="H14" s="48">
        <f t="shared" si="0"/>
        <v>0.879746835443038</v>
      </c>
    </row>
    <row r="15" spans="1:8" x14ac:dyDescent="0.25">
      <c r="A15" s="39" t="s">
        <v>122</v>
      </c>
      <c r="B15" s="44">
        <v>296</v>
      </c>
      <c r="C15" s="47">
        <v>161</v>
      </c>
      <c r="D15" s="49">
        <v>184</v>
      </c>
      <c r="E15" s="49">
        <v>285</v>
      </c>
      <c r="F15" s="49">
        <v>155</v>
      </c>
      <c r="G15" s="44">
        <v>159</v>
      </c>
      <c r="H15" s="48">
        <f t="shared" si="0"/>
        <v>1.0258064516129033</v>
      </c>
    </row>
    <row r="16" spans="1:8" x14ac:dyDescent="0.25">
      <c r="A16" s="39" t="s">
        <v>123</v>
      </c>
      <c r="B16" s="44">
        <v>287</v>
      </c>
      <c r="C16" s="44">
        <v>144</v>
      </c>
      <c r="D16" s="46">
        <v>200</v>
      </c>
      <c r="E16" s="49">
        <v>318</v>
      </c>
      <c r="F16" s="49">
        <v>159</v>
      </c>
      <c r="G16" s="44"/>
      <c r="H16" s="48"/>
    </row>
    <row r="17" spans="1:8" x14ac:dyDescent="0.25">
      <c r="A17" s="39" t="s">
        <v>124</v>
      </c>
      <c r="B17" s="47">
        <v>240</v>
      </c>
      <c r="C17" s="47">
        <v>121</v>
      </c>
      <c r="D17" s="49">
        <v>198</v>
      </c>
      <c r="E17" s="49">
        <v>309</v>
      </c>
      <c r="F17" s="49">
        <v>157</v>
      </c>
      <c r="G17" s="43">
        <v>97</v>
      </c>
      <c r="H17" s="48">
        <f t="shared" si="0"/>
        <v>0.61783439490445857</v>
      </c>
    </row>
    <row r="18" spans="1:8" x14ac:dyDescent="0.25">
      <c r="A18" s="39" t="s">
        <v>125</v>
      </c>
      <c r="B18" s="47">
        <v>240</v>
      </c>
      <c r="C18" s="43">
        <v>88</v>
      </c>
      <c r="D18" s="38">
        <v>273</v>
      </c>
      <c r="E18" s="49">
        <v>294</v>
      </c>
      <c r="F18" s="46">
        <v>107</v>
      </c>
      <c r="G18" s="50">
        <v>147</v>
      </c>
      <c r="H18" s="48">
        <f t="shared" si="0"/>
        <v>1.3738317757009346</v>
      </c>
    </row>
    <row r="19" spans="1:8" x14ac:dyDescent="0.25">
      <c r="A19" s="39" t="s">
        <v>126</v>
      </c>
      <c r="B19" s="47">
        <v>225</v>
      </c>
      <c r="C19" s="43">
        <v>66</v>
      </c>
      <c r="D19" s="37">
        <v>341</v>
      </c>
      <c r="E19" s="51">
        <v>227</v>
      </c>
      <c r="F19" s="38">
        <v>67</v>
      </c>
      <c r="G19" s="43">
        <v>85</v>
      </c>
      <c r="H19" s="48">
        <f t="shared" si="0"/>
        <v>1.2686567164179106</v>
      </c>
    </row>
    <row r="20" spans="1:8" x14ac:dyDescent="0.25">
      <c r="A20" s="39" t="s">
        <v>127</v>
      </c>
      <c r="B20" s="47">
        <v>202</v>
      </c>
      <c r="C20" s="43">
        <v>79</v>
      </c>
      <c r="D20" s="49">
        <v>256</v>
      </c>
      <c r="E20" s="51">
        <v>292</v>
      </c>
      <c r="F20" s="46">
        <v>114</v>
      </c>
      <c r="G20" s="43"/>
      <c r="H20" s="48"/>
    </row>
    <row r="21" spans="1:8" x14ac:dyDescent="0.25">
      <c r="A21" s="39" t="s">
        <v>128</v>
      </c>
      <c r="B21" s="43">
        <v>173</v>
      </c>
      <c r="C21" s="47">
        <v>100</v>
      </c>
      <c r="D21" s="46">
        <v>172</v>
      </c>
      <c r="E21" s="38">
        <v>343</v>
      </c>
      <c r="F21" s="38">
        <v>199</v>
      </c>
      <c r="G21" s="43"/>
      <c r="H21" s="48"/>
    </row>
    <row r="22" spans="1:8" x14ac:dyDescent="0.25">
      <c r="A22" s="39" t="s">
        <v>129</v>
      </c>
      <c r="B22" s="47">
        <v>171</v>
      </c>
      <c r="C22" s="44">
        <v>146</v>
      </c>
      <c r="D22" s="46">
        <v>117</v>
      </c>
      <c r="E22" s="49">
        <v>258</v>
      </c>
      <c r="F22" s="46">
        <v>220</v>
      </c>
      <c r="G22" s="47">
        <v>170</v>
      </c>
      <c r="H22" s="48">
        <f t="shared" si="0"/>
        <v>0.77272727272727271</v>
      </c>
    </row>
    <row r="23" spans="1:8" x14ac:dyDescent="0.25">
      <c r="A23" s="39" t="s">
        <v>130</v>
      </c>
      <c r="B23" s="44">
        <v>163</v>
      </c>
      <c r="C23" s="44">
        <v>70</v>
      </c>
      <c r="D23" s="49">
        <v>234</v>
      </c>
      <c r="E23" s="49">
        <v>263</v>
      </c>
      <c r="F23" s="46">
        <v>112</v>
      </c>
      <c r="G23" s="47">
        <v>127</v>
      </c>
      <c r="H23" s="48">
        <f t="shared" si="0"/>
        <v>1.1339285714285714</v>
      </c>
    </row>
    <row r="24" spans="1:8" x14ac:dyDescent="0.25">
      <c r="A24" s="39" t="s">
        <v>131</v>
      </c>
      <c r="B24" s="44">
        <v>146</v>
      </c>
      <c r="C24" s="44">
        <v>72</v>
      </c>
      <c r="D24" s="51">
        <v>203</v>
      </c>
      <c r="E24" s="46">
        <v>310</v>
      </c>
      <c r="F24" s="49">
        <v>152</v>
      </c>
      <c r="G24" s="44">
        <v>168</v>
      </c>
      <c r="H24" s="48">
        <f t="shared" si="0"/>
        <v>1.1052631578947369</v>
      </c>
    </row>
    <row r="25" spans="1:8" x14ac:dyDescent="0.25">
      <c r="A25" s="39" t="s">
        <v>132</v>
      </c>
      <c r="B25" s="43">
        <v>143</v>
      </c>
      <c r="C25" s="43" t="s">
        <v>133</v>
      </c>
      <c r="D25" s="49">
        <v>125</v>
      </c>
      <c r="E25" s="46">
        <v>270</v>
      </c>
      <c r="F25" s="46">
        <v>216</v>
      </c>
      <c r="G25" s="44">
        <v>299</v>
      </c>
      <c r="H25" s="48">
        <f t="shared" si="0"/>
        <v>1.3842592592592593</v>
      </c>
    </row>
    <row r="26" spans="1:8" x14ac:dyDescent="0.25">
      <c r="A26" s="39" t="s">
        <v>134</v>
      </c>
      <c r="B26" s="47">
        <v>140</v>
      </c>
      <c r="C26" s="43">
        <v>83</v>
      </c>
      <c r="D26" s="49">
        <v>168</v>
      </c>
      <c r="E26" s="46">
        <v>213</v>
      </c>
      <c r="F26" s="46">
        <v>127</v>
      </c>
      <c r="G26" s="44">
        <v>193</v>
      </c>
      <c r="H26" s="48">
        <f t="shared" si="0"/>
        <v>1.5196850393700787</v>
      </c>
    </row>
    <row r="27" spans="1:8" x14ac:dyDescent="0.25">
      <c r="A27" s="39" t="s">
        <v>135</v>
      </c>
      <c r="B27" s="47">
        <v>130</v>
      </c>
      <c r="C27" s="47">
        <v>101</v>
      </c>
      <c r="D27" s="46">
        <v>131</v>
      </c>
      <c r="E27" s="46">
        <v>218</v>
      </c>
      <c r="F27" s="49">
        <v>167</v>
      </c>
      <c r="G27" s="47">
        <v>191</v>
      </c>
      <c r="H27" s="48">
        <f t="shared" si="0"/>
        <v>1.1437125748502994</v>
      </c>
    </row>
    <row r="28" spans="1:8" x14ac:dyDescent="0.25">
      <c r="A28" s="39" t="s">
        <v>136</v>
      </c>
      <c r="B28" s="47">
        <v>125</v>
      </c>
      <c r="C28" s="43">
        <v>79</v>
      </c>
      <c r="D28" s="49">
        <v>158</v>
      </c>
      <c r="E28" s="46">
        <v>281</v>
      </c>
      <c r="F28" s="52">
        <v>177</v>
      </c>
      <c r="G28" s="47">
        <v>128</v>
      </c>
      <c r="H28" s="48">
        <f t="shared" si="0"/>
        <v>0.7231638418079096</v>
      </c>
    </row>
    <row r="29" spans="1:8" x14ac:dyDescent="0.25">
      <c r="A29" s="39" t="s">
        <v>137</v>
      </c>
      <c r="B29" s="47">
        <v>122</v>
      </c>
      <c r="C29" s="43">
        <v>68</v>
      </c>
      <c r="D29" s="46">
        <v>180</v>
      </c>
      <c r="E29" s="49">
        <v>256</v>
      </c>
      <c r="F29" s="46">
        <v>142</v>
      </c>
      <c r="G29" s="47">
        <v>140</v>
      </c>
      <c r="H29" s="48">
        <f t="shared" si="0"/>
        <v>0.9859154929577465</v>
      </c>
    </row>
    <row r="30" spans="1:8" x14ac:dyDescent="0.25">
      <c r="A30" s="39" t="s">
        <v>138</v>
      </c>
      <c r="B30" s="44" t="s">
        <v>139</v>
      </c>
      <c r="C30" s="43">
        <v>55</v>
      </c>
      <c r="D30" s="46">
        <v>214</v>
      </c>
      <c r="E30" s="49">
        <v>295</v>
      </c>
      <c r="F30" s="38">
        <v>137</v>
      </c>
      <c r="G30" s="47">
        <v>151</v>
      </c>
      <c r="H30" s="48">
        <f t="shared" si="0"/>
        <v>1.1021897810218979</v>
      </c>
    </row>
    <row r="31" spans="1:8" x14ac:dyDescent="0.25">
      <c r="A31" s="39" t="s">
        <v>140</v>
      </c>
      <c r="B31" s="47">
        <v>108</v>
      </c>
      <c r="C31" s="43">
        <v>37</v>
      </c>
      <c r="D31" s="49">
        <v>289</v>
      </c>
      <c r="E31" s="37">
        <v>309</v>
      </c>
      <c r="F31" s="46">
        <v>107</v>
      </c>
      <c r="G31" s="47">
        <v>32</v>
      </c>
      <c r="H31" s="48">
        <f t="shared" si="0"/>
        <v>0.29906542056074764</v>
      </c>
    </row>
    <row r="32" spans="1:8" x14ac:dyDescent="0.25">
      <c r="A32" s="39" t="s">
        <v>141</v>
      </c>
      <c r="B32" s="47">
        <v>92</v>
      </c>
      <c r="C32" s="43">
        <v>56</v>
      </c>
      <c r="D32" s="49">
        <v>164</v>
      </c>
      <c r="E32" s="49">
        <v>278</v>
      </c>
      <c r="F32" s="49">
        <v>169</v>
      </c>
      <c r="G32" s="47">
        <v>181</v>
      </c>
      <c r="H32" s="48">
        <f t="shared" si="0"/>
        <v>1.0710059171597632</v>
      </c>
    </row>
    <row r="33" spans="1:8" x14ac:dyDescent="0.25">
      <c r="A33" s="39" t="s">
        <v>142</v>
      </c>
      <c r="B33" s="47">
        <v>90</v>
      </c>
      <c r="C33" s="44">
        <v>70</v>
      </c>
      <c r="D33" s="46">
        <v>130</v>
      </c>
      <c r="E33" s="49">
        <v>266</v>
      </c>
      <c r="F33" s="46">
        <v>205</v>
      </c>
      <c r="G33" s="50">
        <v>175</v>
      </c>
      <c r="H33" s="48">
        <f t="shared" si="0"/>
        <v>0.85365853658536583</v>
      </c>
    </row>
    <row r="34" spans="1:8" x14ac:dyDescent="0.25">
      <c r="A34" s="39" t="s">
        <v>143</v>
      </c>
      <c r="B34" s="43">
        <v>88</v>
      </c>
      <c r="C34" s="43">
        <v>53</v>
      </c>
      <c r="D34" s="49">
        <v>167</v>
      </c>
      <c r="E34" s="46">
        <v>252</v>
      </c>
      <c r="F34" s="46">
        <v>151</v>
      </c>
      <c r="G34" s="53">
        <v>171</v>
      </c>
      <c r="H34" s="48">
        <f t="shared" si="0"/>
        <v>1.1324503311258278</v>
      </c>
    </row>
    <row r="35" spans="1:8" x14ac:dyDescent="0.25">
      <c r="A35" s="39" t="s">
        <v>144</v>
      </c>
      <c r="B35" s="43">
        <v>79</v>
      </c>
      <c r="C35" s="47">
        <v>52</v>
      </c>
      <c r="D35" s="37">
        <v>154</v>
      </c>
      <c r="E35" s="46">
        <v>213</v>
      </c>
      <c r="F35" s="46">
        <v>138</v>
      </c>
      <c r="G35" s="44">
        <v>163</v>
      </c>
      <c r="H35" s="48">
        <f t="shared" si="0"/>
        <v>1.181159420289855</v>
      </c>
    </row>
    <row r="36" spans="1:8" x14ac:dyDescent="0.25">
      <c r="A36" s="54" t="s">
        <v>145</v>
      </c>
      <c r="B36" s="47">
        <v>171</v>
      </c>
      <c r="C36" s="43">
        <v>88</v>
      </c>
      <c r="D36" s="49">
        <v>198</v>
      </c>
      <c r="E36" s="46">
        <v>281</v>
      </c>
      <c r="F36" s="46">
        <v>142</v>
      </c>
      <c r="G36" s="44">
        <v>139</v>
      </c>
      <c r="H36" s="48">
        <f t="shared" si="0"/>
        <v>0.97887323943661975</v>
      </c>
    </row>
    <row r="37" spans="1:8" x14ac:dyDescent="0.25">
      <c r="A37" s="54" t="s">
        <v>146</v>
      </c>
      <c r="B37" s="44">
        <v>296</v>
      </c>
      <c r="C37" s="44">
        <v>137</v>
      </c>
      <c r="D37" s="49">
        <v>256</v>
      </c>
      <c r="E37" s="46">
        <v>302</v>
      </c>
      <c r="F37" s="46">
        <v>167</v>
      </c>
      <c r="G37" s="47">
        <v>171</v>
      </c>
      <c r="H37" s="48">
        <f t="shared" si="0"/>
        <v>1.0239520958083832</v>
      </c>
    </row>
    <row r="38" spans="1:8" x14ac:dyDescent="0.25">
      <c r="A38" s="54" t="s">
        <v>147</v>
      </c>
      <c r="B38" s="47">
        <v>122</v>
      </c>
      <c r="C38" s="43">
        <v>68</v>
      </c>
      <c r="D38" s="49">
        <v>164</v>
      </c>
      <c r="E38" s="49">
        <v>258</v>
      </c>
      <c r="F38" s="46">
        <v>107</v>
      </c>
      <c r="G38" s="43">
        <v>85</v>
      </c>
      <c r="H38" s="48">
        <f t="shared" si="0"/>
        <v>0.79439252336448596</v>
      </c>
    </row>
    <row r="40" spans="1:8" x14ac:dyDescent="0.25">
      <c r="A40" s="55" t="s">
        <v>148</v>
      </c>
    </row>
    <row r="41" spans="1:8" x14ac:dyDescent="0.25">
      <c r="A41" s="56" t="s">
        <v>149</v>
      </c>
    </row>
    <row r="43" spans="1:8" x14ac:dyDescent="0.25">
      <c r="A43" s="56" t="s">
        <v>150</v>
      </c>
    </row>
    <row r="45" spans="1:8" x14ac:dyDescent="0.25">
      <c r="A45" s="55" t="s">
        <v>151</v>
      </c>
    </row>
    <row r="46" spans="1:8" x14ac:dyDescent="0.25">
      <c r="A46" s="55" t="s">
        <v>152</v>
      </c>
    </row>
    <row r="48" spans="1:8" ht="13" x14ac:dyDescent="0.25">
      <c r="A48" s="31" t="s">
        <v>153</v>
      </c>
    </row>
    <row r="50" spans="1:13" x14ac:dyDescent="0.25">
      <c r="A50" s="57" t="s">
        <v>154</v>
      </c>
    </row>
    <row r="52" spans="1:13" x14ac:dyDescent="0.25">
      <c r="A52" s="34"/>
      <c r="B52" s="34"/>
      <c r="C52" s="34"/>
      <c r="D52" s="34"/>
      <c r="E52" s="34"/>
      <c r="F52" s="34"/>
      <c r="G52" s="34"/>
      <c r="H52" s="34"/>
      <c r="I52" s="43" t="s">
        <v>103</v>
      </c>
      <c r="J52" s="34"/>
      <c r="K52" s="34"/>
      <c r="L52" s="34"/>
    </row>
    <row r="53" spans="1:13" x14ac:dyDescent="0.25">
      <c r="A53" s="58" t="s">
        <v>155</v>
      </c>
      <c r="B53" s="34"/>
      <c r="C53" s="58" t="s">
        <v>156</v>
      </c>
      <c r="D53" s="38" t="s">
        <v>101</v>
      </c>
      <c r="E53" s="38" t="s">
        <v>101</v>
      </c>
      <c r="F53" s="38" t="s">
        <v>157</v>
      </c>
      <c r="G53" s="43" t="s">
        <v>103</v>
      </c>
      <c r="H53" s="59" t="s">
        <v>103</v>
      </c>
      <c r="I53" s="43" t="s">
        <v>158</v>
      </c>
      <c r="J53" s="58" t="s">
        <v>103</v>
      </c>
      <c r="K53" s="34"/>
      <c r="L53" s="34" t="s">
        <v>159</v>
      </c>
    </row>
    <row r="54" spans="1:13" x14ac:dyDescent="0.25">
      <c r="A54" s="60" t="s">
        <v>160</v>
      </c>
      <c r="B54" s="38" t="s">
        <v>161</v>
      </c>
      <c r="C54" s="61" t="s">
        <v>162</v>
      </c>
      <c r="D54" s="38" t="s">
        <v>102</v>
      </c>
      <c r="E54" s="49" t="s">
        <v>102</v>
      </c>
      <c r="F54" s="38" t="s">
        <v>102</v>
      </c>
      <c r="G54" s="43" t="s">
        <v>163</v>
      </c>
      <c r="H54" s="62" t="s">
        <v>108</v>
      </c>
      <c r="I54" s="58" t="s">
        <v>164</v>
      </c>
      <c r="J54" s="61" t="s">
        <v>165</v>
      </c>
      <c r="K54" s="49" t="s">
        <v>166</v>
      </c>
      <c r="L54" s="59" t="s">
        <v>161</v>
      </c>
    </row>
    <row r="55" spans="1:13" x14ac:dyDescent="0.25">
      <c r="A55" s="60" t="s">
        <v>167</v>
      </c>
      <c r="B55" s="38" t="s">
        <v>168</v>
      </c>
      <c r="C55" s="58" t="s">
        <v>169</v>
      </c>
      <c r="D55" s="38" t="s">
        <v>170</v>
      </c>
      <c r="E55" s="38" t="s">
        <v>171</v>
      </c>
      <c r="F55" s="38" t="s">
        <v>171</v>
      </c>
      <c r="G55" s="58" t="s">
        <v>113</v>
      </c>
      <c r="H55" s="62" t="s">
        <v>113</v>
      </c>
      <c r="I55" s="58" t="s">
        <v>113</v>
      </c>
      <c r="J55" s="58" t="s">
        <v>113</v>
      </c>
      <c r="K55" s="38" t="s">
        <v>114</v>
      </c>
      <c r="L55" s="59" t="s">
        <v>114</v>
      </c>
      <c r="M55" s="32" t="s">
        <v>115</v>
      </c>
    </row>
    <row r="56" spans="1:13" x14ac:dyDescent="0.25">
      <c r="A56" s="61" t="s">
        <v>172</v>
      </c>
      <c r="B56" s="38">
        <v>209.5</v>
      </c>
      <c r="C56" s="45">
        <v>118</v>
      </c>
      <c r="D56" s="38">
        <v>177.5</v>
      </c>
      <c r="E56" s="38">
        <v>179.8</v>
      </c>
      <c r="F56" s="38">
        <v>172.5</v>
      </c>
      <c r="G56" s="43">
        <v>95.9</v>
      </c>
      <c r="H56" s="59">
        <v>98.2</v>
      </c>
      <c r="I56" s="43">
        <v>163.6</v>
      </c>
      <c r="J56" s="44">
        <v>102</v>
      </c>
      <c r="K56" s="38">
        <v>136.5</v>
      </c>
      <c r="L56" s="59">
        <v>114.5</v>
      </c>
      <c r="M56" s="63">
        <f>H56/L56</f>
        <v>0.85764192139737994</v>
      </c>
    </row>
    <row r="57" spans="1:13" x14ac:dyDescent="0.25">
      <c r="A57" s="61" t="s">
        <v>173</v>
      </c>
      <c r="B57" s="38">
        <v>186.9</v>
      </c>
      <c r="C57" s="45">
        <v>117.2</v>
      </c>
      <c r="D57" s="38">
        <v>159.5</v>
      </c>
      <c r="E57" s="38">
        <v>171.9</v>
      </c>
      <c r="F57" s="38">
        <v>153.4</v>
      </c>
      <c r="G57" s="43">
        <v>89.2</v>
      </c>
      <c r="H57" s="59">
        <v>99.7</v>
      </c>
      <c r="I57" s="43">
        <v>140.5</v>
      </c>
      <c r="J57" s="44">
        <v>91.1</v>
      </c>
      <c r="K57" s="38">
        <v>123.8</v>
      </c>
      <c r="L57" s="59">
        <v>106.5</v>
      </c>
      <c r="M57" s="63">
        <f t="shared" ref="M57:M86" si="1">H57/L57</f>
        <v>0.93615023474178405</v>
      </c>
    </row>
    <row r="58" spans="1:13" x14ac:dyDescent="0.25">
      <c r="A58" s="61" t="s">
        <v>174</v>
      </c>
      <c r="B58" s="37">
        <v>155.30000000000001</v>
      </c>
      <c r="C58" s="58">
        <v>146.19999999999999</v>
      </c>
      <c r="D58" s="49">
        <v>106.2</v>
      </c>
      <c r="E58" s="49">
        <v>109.1</v>
      </c>
      <c r="F58" s="38">
        <v>159.69999999999999</v>
      </c>
      <c r="G58" s="43">
        <v>146.4</v>
      </c>
      <c r="H58" s="59">
        <v>149.80000000000001</v>
      </c>
      <c r="I58" s="43">
        <v>148.4</v>
      </c>
      <c r="J58" s="44">
        <v>121.6</v>
      </c>
      <c r="K58" s="38">
        <v>148.69999999999999</v>
      </c>
      <c r="L58" s="59">
        <v>139.30000000000001</v>
      </c>
      <c r="M58" s="63">
        <f t="shared" si="1"/>
        <v>1.0753768844221105</v>
      </c>
    </row>
    <row r="59" spans="1:13" x14ac:dyDescent="0.25">
      <c r="A59" s="61" t="s">
        <v>175</v>
      </c>
      <c r="B59" s="37">
        <v>154.30000000000001</v>
      </c>
      <c r="C59" s="45">
        <v>100.5</v>
      </c>
      <c r="D59" s="38">
        <v>153.5</v>
      </c>
      <c r="E59" s="38">
        <v>171.3</v>
      </c>
      <c r="F59" s="38">
        <v>164.2</v>
      </c>
      <c r="G59" s="43">
        <v>95.9</v>
      </c>
      <c r="H59" s="64">
        <v>110.8</v>
      </c>
      <c r="I59" s="43">
        <v>127.8</v>
      </c>
      <c r="J59" s="43">
        <v>93.7</v>
      </c>
      <c r="K59" s="49">
        <v>120.4</v>
      </c>
      <c r="L59" s="59">
        <v>101.9</v>
      </c>
      <c r="M59" s="63">
        <f t="shared" si="1"/>
        <v>1.087340529931305</v>
      </c>
    </row>
    <row r="60" spans="1:13" x14ac:dyDescent="0.25">
      <c r="A60" s="61" t="s">
        <v>176</v>
      </c>
      <c r="B60" s="38">
        <v>147.1</v>
      </c>
      <c r="C60" s="58">
        <v>109.3</v>
      </c>
      <c r="D60" s="38">
        <v>134.6</v>
      </c>
      <c r="E60" s="38" t="s">
        <v>177</v>
      </c>
      <c r="F60" s="38">
        <v>162.80000000000001</v>
      </c>
      <c r="G60" s="44">
        <v>117.1</v>
      </c>
      <c r="H60" s="59">
        <v>118.7</v>
      </c>
      <c r="I60" s="43">
        <v>136</v>
      </c>
      <c r="J60" s="43">
        <v>100.3</v>
      </c>
      <c r="K60" s="49">
        <v>127.1</v>
      </c>
      <c r="L60" s="59">
        <v>113</v>
      </c>
      <c r="M60" s="63">
        <f t="shared" si="1"/>
        <v>1.0504424778761061</v>
      </c>
    </row>
    <row r="61" spans="1:13" x14ac:dyDescent="0.25">
      <c r="A61" s="61" t="s">
        <v>178</v>
      </c>
      <c r="B61" s="38">
        <v>146.80000000000001</v>
      </c>
      <c r="C61" s="65">
        <v>111</v>
      </c>
      <c r="D61" s="38">
        <v>132.30000000000001</v>
      </c>
      <c r="E61" s="38">
        <v>140.6</v>
      </c>
      <c r="F61" s="49">
        <v>160.1</v>
      </c>
      <c r="G61" s="44">
        <v>113.8</v>
      </c>
      <c r="H61" s="66">
        <v>124</v>
      </c>
      <c r="I61" s="43">
        <v>128.30000000000001</v>
      </c>
      <c r="J61" s="67">
        <v>115.7</v>
      </c>
      <c r="K61" s="38">
        <v>125.8</v>
      </c>
      <c r="L61" s="59">
        <v>119.5</v>
      </c>
      <c r="M61" s="63">
        <f t="shared" si="1"/>
        <v>1.0376569037656904</v>
      </c>
    </row>
    <row r="62" spans="1:13" x14ac:dyDescent="0.25">
      <c r="A62" s="61" t="s">
        <v>179</v>
      </c>
      <c r="B62" s="38">
        <v>139.4</v>
      </c>
      <c r="C62" s="45">
        <v>120.5</v>
      </c>
      <c r="D62" s="37">
        <v>115.7</v>
      </c>
      <c r="E62" s="46">
        <v>121.1</v>
      </c>
      <c r="F62" s="38">
        <v>156.30000000000001</v>
      </c>
      <c r="G62" s="44">
        <v>129.1</v>
      </c>
      <c r="H62" s="59">
        <v>133.9</v>
      </c>
      <c r="I62" s="43">
        <v>87.1</v>
      </c>
      <c r="J62" s="43">
        <v>99.5</v>
      </c>
      <c r="K62" s="49">
        <v>105</v>
      </c>
      <c r="L62" s="59">
        <v>103.9</v>
      </c>
      <c r="M62" s="63">
        <f t="shared" si="1"/>
        <v>1.2887391722810395</v>
      </c>
    </row>
    <row r="63" spans="1:13" x14ac:dyDescent="0.25">
      <c r="A63" s="61" t="s">
        <v>180</v>
      </c>
      <c r="B63" s="38">
        <v>136</v>
      </c>
      <c r="C63" s="58">
        <v>98.6</v>
      </c>
      <c r="D63" s="38">
        <v>137.9</v>
      </c>
      <c r="E63" s="49">
        <v>142</v>
      </c>
      <c r="F63" s="38">
        <v>145.9</v>
      </c>
      <c r="G63" s="44">
        <v>102.8</v>
      </c>
      <c r="H63" s="66">
        <v>105.4</v>
      </c>
      <c r="I63" s="44">
        <v>101.1</v>
      </c>
      <c r="J63" s="44">
        <v>870</v>
      </c>
      <c r="K63" s="49">
        <v>103.5</v>
      </c>
      <c r="L63" s="59">
        <v>94.7</v>
      </c>
      <c r="M63" s="63">
        <f t="shared" si="1"/>
        <v>1.1129883843717001</v>
      </c>
    </row>
    <row r="64" spans="1:13" x14ac:dyDescent="0.25">
      <c r="A64" s="61" t="s">
        <v>181</v>
      </c>
      <c r="B64" s="38">
        <v>135.9</v>
      </c>
      <c r="C64" s="45">
        <v>120.5</v>
      </c>
      <c r="D64" s="49">
        <v>112.8</v>
      </c>
      <c r="E64" s="38">
        <v>123.3</v>
      </c>
      <c r="F64" s="38">
        <v>167.5</v>
      </c>
      <c r="G64" s="43">
        <v>135.80000000000001</v>
      </c>
      <c r="H64" s="66">
        <v>141.19999999999999</v>
      </c>
      <c r="I64" s="43">
        <v>183.4</v>
      </c>
      <c r="J64" s="43">
        <v>107</v>
      </c>
      <c r="K64" s="38">
        <v>161.9</v>
      </c>
      <c r="L64" s="59">
        <v>126.9</v>
      </c>
      <c r="M64" s="63">
        <f t="shared" si="1"/>
        <v>1.1126871552403466</v>
      </c>
    </row>
    <row r="65" spans="1:13" x14ac:dyDescent="0.25">
      <c r="A65" s="61" t="s">
        <v>182</v>
      </c>
      <c r="B65" s="38">
        <v>132.9</v>
      </c>
      <c r="C65" s="45">
        <v>112.2</v>
      </c>
      <c r="D65" s="38">
        <v>118.4</v>
      </c>
      <c r="E65" s="49">
        <v>122</v>
      </c>
      <c r="F65" s="38">
        <v>163.4</v>
      </c>
      <c r="G65" s="43">
        <v>133.9</v>
      </c>
      <c r="H65" s="59">
        <v>136.9</v>
      </c>
      <c r="I65" s="44">
        <v>130.19999999999999</v>
      </c>
      <c r="J65" s="43">
        <v>110.5</v>
      </c>
      <c r="K65" s="38">
        <v>133.9</v>
      </c>
      <c r="L65" s="59">
        <v>117.8</v>
      </c>
      <c r="M65" s="63">
        <f t="shared" si="1"/>
        <v>1.1621392190152802</v>
      </c>
    </row>
    <row r="66" spans="1:13" x14ac:dyDescent="0.25">
      <c r="A66" s="61" t="s">
        <v>183</v>
      </c>
      <c r="B66" s="38">
        <v>126.5</v>
      </c>
      <c r="C66" s="58">
        <v>108.7</v>
      </c>
      <c r="D66" s="38">
        <v>116.4</v>
      </c>
      <c r="E66" s="38">
        <v>124.6</v>
      </c>
      <c r="F66" s="38">
        <v>170.7</v>
      </c>
      <c r="G66" s="43">
        <v>137</v>
      </c>
      <c r="H66" s="59">
        <v>145.69999999999999</v>
      </c>
      <c r="I66" s="44">
        <v>151.30000000000001</v>
      </c>
      <c r="J66" s="44">
        <v>102.1</v>
      </c>
      <c r="K66" s="38">
        <v>148.30000000000001</v>
      </c>
      <c r="L66" s="66">
        <v>124</v>
      </c>
      <c r="M66" s="63">
        <f t="shared" si="1"/>
        <v>1.1749999999999998</v>
      </c>
    </row>
    <row r="67" spans="1:13" x14ac:dyDescent="0.25">
      <c r="A67" s="61" t="s">
        <v>184</v>
      </c>
      <c r="B67" s="38">
        <v>125.9</v>
      </c>
      <c r="C67" s="45">
        <v>102.6</v>
      </c>
      <c r="D67" s="38">
        <v>122.7</v>
      </c>
      <c r="E67" s="38">
        <v>125.8</v>
      </c>
      <c r="F67" s="38">
        <v>155.4</v>
      </c>
      <c r="G67" s="43">
        <v>123.6</v>
      </c>
      <c r="H67" s="59">
        <v>129.80000000000001</v>
      </c>
      <c r="I67" s="43">
        <v>131.30000000000001</v>
      </c>
      <c r="J67" s="43">
        <v>94.8</v>
      </c>
      <c r="K67" s="38">
        <v>130.4</v>
      </c>
      <c r="L67" s="59">
        <v>103.8</v>
      </c>
      <c r="M67" s="63">
        <f t="shared" si="1"/>
        <v>1.2504816955684008</v>
      </c>
    </row>
    <row r="68" spans="1:13" ht="13.25" customHeight="1" x14ac:dyDescent="0.25">
      <c r="A68" s="61" t="s">
        <v>185</v>
      </c>
      <c r="B68" s="38">
        <v>125.7</v>
      </c>
      <c r="C68" s="58">
        <v>119.3</v>
      </c>
      <c r="D68" s="38">
        <v>105.4</v>
      </c>
      <c r="E68" s="38">
        <v>107.5</v>
      </c>
      <c r="F68" s="38">
        <v>153</v>
      </c>
      <c r="G68" s="43">
        <v>142.30000000000001</v>
      </c>
      <c r="H68" s="59">
        <v>147.5</v>
      </c>
      <c r="I68" s="44">
        <v>142.19999999999999</v>
      </c>
      <c r="J68" s="43">
        <v>130.30000000000001</v>
      </c>
      <c r="K68" s="38">
        <v>145</v>
      </c>
      <c r="L68" s="59">
        <v>134.1</v>
      </c>
      <c r="M68" s="63">
        <f t="shared" si="1"/>
        <v>1.0999254287844893</v>
      </c>
    </row>
    <row r="69" spans="1:13" ht="13.25" customHeight="1" x14ac:dyDescent="0.25">
      <c r="A69" s="61" t="s">
        <v>186</v>
      </c>
      <c r="B69" s="38">
        <v>123.4</v>
      </c>
      <c r="C69" s="45">
        <v>111.1</v>
      </c>
      <c r="D69" s="46">
        <v>111.1</v>
      </c>
      <c r="E69" s="49">
        <v>112.6</v>
      </c>
      <c r="F69" s="38">
        <v>179.9</v>
      </c>
      <c r="G69" s="43">
        <v>159.80000000000001</v>
      </c>
      <c r="H69" s="59">
        <v>154.6</v>
      </c>
      <c r="I69" s="44">
        <v>160.19999999999999</v>
      </c>
      <c r="J69" s="43">
        <v>119.3</v>
      </c>
      <c r="K69" s="38">
        <v>158.5</v>
      </c>
      <c r="L69" s="59">
        <v>136.5</v>
      </c>
      <c r="M69" s="63">
        <f t="shared" si="1"/>
        <v>1.1326007326007326</v>
      </c>
    </row>
    <row r="70" spans="1:13" x14ac:dyDescent="0.25">
      <c r="A70" s="61" t="s">
        <v>187</v>
      </c>
      <c r="B70" s="49">
        <v>122.8</v>
      </c>
      <c r="C70" s="58">
        <v>94.4</v>
      </c>
      <c r="D70" s="38">
        <v>130.1</v>
      </c>
      <c r="E70" s="49">
        <v>140.19999999999999</v>
      </c>
      <c r="F70" s="38">
        <v>157.30000000000001</v>
      </c>
      <c r="G70" s="47">
        <v>112.2</v>
      </c>
      <c r="H70" s="66">
        <v>171</v>
      </c>
      <c r="I70" s="44">
        <v>115</v>
      </c>
      <c r="J70" s="43">
        <v>93.2</v>
      </c>
      <c r="K70" s="37">
        <v>115.9</v>
      </c>
      <c r="L70" s="66">
        <v>103.2</v>
      </c>
      <c r="M70" s="63">
        <f t="shared" si="1"/>
        <v>1.6569767441860466</v>
      </c>
    </row>
    <row r="71" spans="1:13" x14ac:dyDescent="0.25">
      <c r="A71" s="61" t="s">
        <v>188</v>
      </c>
      <c r="B71" s="49">
        <v>117.2</v>
      </c>
      <c r="C71" s="58">
        <v>111.9</v>
      </c>
      <c r="D71" s="38">
        <v>104.7</v>
      </c>
      <c r="E71" s="38">
        <v>108.7</v>
      </c>
      <c r="F71" s="38">
        <v>160.4</v>
      </c>
      <c r="G71" s="43">
        <v>147.5</v>
      </c>
      <c r="H71" s="59">
        <v>154.30000000000001</v>
      </c>
      <c r="I71" s="43">
        <v>133.6</v>
      </c>
      <c r="J71" s="43">
        <v>111.3</v>
      </c>
      <c r="K71" s="49">
        <v>140.19999999999999</v>
      </c>
      <c r="L71" s="59">
        <v>123.8</v>
      </c>
      <c r="M71" s="63">
        <f t="shared" si="1"/>
        <v>1.2463651050080777</v>
      </c>
    </row>
    <row r="72" spans="1:13" x14ac:dyDescent="0.25">
      <c r="A72" s="61" t="s">
        <v>189</v>
      </c>
      <c r="B72" s="49">
        <v>113.2</v>
      </c>
      <c r="C72" s="58" t="s">
        <v>190</v>
      </c>
      <c r="D72" s="38">
        <v>133.5</v>
      </c>
      <c r="E72" s="38">
        <v>135.69999999999999</v>
      </c>
      <c r="F72" s="38">
        <v>159.5</v>
      </c>
      <c r="G72" s="43">
        <v>117.5</v>
      </c>
      <c r="H72" s="59">
        <v>118.6</v>
      </c>
      <c r="I72" s="43">
        <v>128.4</v>
      </c>
      <c r="J72" s="43">
        <v>88.2</v>
      </c>
      <c r="K72" s="49">
        <v>122.3</v>
      </c>
      <c r="L72" s="66">
        <v>102.6</v>
      </c>
      <c r="M72" s="63">
        <f t="shared" si="1"/>
        <v>1.1559454191033138</v>
      </c>
    </row>
    <row r="73" spans="1:13" x14ac:dyDescent="0.25">
      <c r="A73" s="61" t="s">
        <v>191</v>
      </c>
      <c r="B73" s="38">
        <v>109.6</v>
      </c>
      <c r="C73" s="58">
        <v>103.7</v>
      </c>
      <c r="D73" s="38">
        <v>105.7</v>
      </c>
      <c r="E73" s="46">
        <v>112.1</v>
      </c>
      <c r="F73" s="38">
        <v>155.69999999999999</v>
      </c>
      <c r="G73" s="43">
        <v>139</v>
      </c>
      <c r="H73" s="59">
        <v>148.1</v>
      </c>
      <c r="I73" s="43">
        <v>116.4</v>
      </c>
      <c r="J73" s="43">
        <v>128.69999999999999</v>
      </c>
      <c r="K73" s="38">
        <v>132.4</v>
      </c>
      <c r="L73" s="59">
        <v>128.6</v>
      </c>
      <c r="M73" s="63">
        <f t="shared" si="1"/>
        <v>1.1516329704510109</v>
      </c>
    </row>
    <row r="74" spans="1:13" x14ac:dyDescent="0.25">
      <c r="A74" s="61" t="s">
        <v>192</v>
      </c>
      <c r="B74" s="49">
        <v>106.1</v>
      </c>
      <c r="C74" s="58">
        <v>84.6</v>
      </c>
      <c r="D74" s="38">
        <v>125.4</v>
      </c>
      <c r="E74" s="49">
        <v>128</v>
      </c>
      <c r="F74" s="34"/>
      <c r="G74" s="43">
        <v>118.2</v>
      </c>
      <c r="H74" s="66">
        <v>122.1</v>
      </c>
      <c r="I74" s="43">
        <v>147.9</v>
      </c>
      <c r="J74" s="43">
        <v>114.6</v>
      </c>
      <c r="K74" s="49">
        <v>131</v>
      </c>
      <c r="L74" s="59">
        <v>121.9</v>
      </c>
      <c r="M74" s="63">
        <f t="shared" si="1"/>
        <v>1.0016406890894174</v>
      </c>
    </row>
    <row r="75" spans="1:13" x14ac:dyDescent="0.25">
      <c r="A75" s="61" t="s">
        <v>193</v>
      </c>
      <c r="B75" s="38">
        <v>105.6</v>
      </c>
      <c r="C75" s="58">
        <v>83.8</v>
      </c>
      <c r="D75" s="49">
        <v>126</v>
      </c>
      <c r="E75" s="38">
        <v>129.9</v>
      </c>
      <c r="F75" s="38">
        <v>153.30000000000001</v>
      </c>
      <c r="G75" s="43">
        <v>118</v>
      </c>
      <c r="H75" s="66">
        <v>120.1</v>
      </c>
      <c r="I75" s="43">
        <v>130.69999999999999</v>
      </c>
      <c r="J75" s="43">
        <v>88.9</v>
      </c>
      <c r="K75" s="38">
        <v>125.5</v>
      </c>
      <c r="L75" s="59">
        <v>104.7</v>
      </c>
      <c r="M75" s="63">
        <f t="shared" si="1"/>
        <v>1.1470869149952243</v>
      </c>
    </row>
    <row r="76" spans="1:13" x14ac:dyDescent="0.25">
      <c r="A76" s="61" t="s">
        <v>194</v>
      </c>
      <c r="B76" s="38">
        <v>103.6</v>
      </c>
      <c r="C76" s="58">
        <v>95.2</v>
      </c>
      <c r="D76" s="38">
        <v>108.8</v>
      </c>
      <c r="E76" s="38">
        <v>115.8</v>
      </c>
      <c r="F76" s="49">
        <v>160</v>
      </c>
      <c r="G76" s="43">
        <v>138.19999999999999</v>
      </c>
      <c r="H76" s="59">
        <v>149.69999999999999</v>
      </c>
      <c r="I76" s="43">
        <v>87.4</v>
      </c>
      <c r="J76" s="43">
        <v>110.5</v>
      </c>
      <c r="K76" s="38">
        <v>108.6</v>
      </c>
      <c r="L76" s="66">
        <v>110.4</v>
      </c>
      <c r="M76" s="63">
        <f t="shared" si="1"/>
        <v>1.355978260869565</v>
      </c>
    </row>
    <row r="77" spans="1:13" x14ac:dyDescent="0.25">
      <c r="A77" s="61" t="s">
        <v>195</v>
      </c>
      <c r="B77" s="49">
        <v>101</v>
      </c>
      <c r="C77" s="58">
        <v>89.8</v>
      </c>
      <c r="D77" s="38">
        <v>112.5</v>
      </c>
      <c r="E77" s="37">
        <v>114.9</v>
      </c>
      <c r="F77" s="49">
        <v>157.69999999999999</v>
      </c>
      <c r="G77" s="43">
        <v>137.19999999999999</v>
      </c>
      <c r="H77" s="66">
        <v>141.69999999999999</v>
      </c>
      <c r="I77" s="43">
        <v>108.7</v>
      </c>
      <c r="J77" s="43">
        <v>95</v>
      </c>
      <c r="K77" s="38">
        <v>127.1</v>
      </c>
      <c r="L77" s="66">
        <v>110.7</v>
      </c>
      <c r="M77" s="63">
        <f t="shared" si="1"/>
        <v>1.2800361336946702</v>
      </c>
    </row>
    <row r="78" spans="1:13" x14ac:dyDescent="0.25">
      <c r="A78" s="61" t="s">
        <v>196</v>
      </c>
      <c r="B78" s="38">
        <v>97.5</v>
      </c>
      <c r="C78" s="58" t="s">
        <v>197</v>
      </c>
      <c r="D78" s="38">
        <v>104.1</v>
      </c>
      <c r="E78" s="38">
        <v>108.6</v>
      </c>
      <c r="F78" s="38">
        <v>164.9</v>
      </c>
      <c r="G78" s="43">
        <v>151.9</v>
      </c>
      <c r="H78" s="59">
        <v>155.30000000000001</v>
      </c>
      <c r="I78" s="43">
        <v>126.3</v>
      </c>
      <c r="J78" s="43">
        <v>82.1</v>
      </c>
      <c r="K78" s="38">
        <v>138.80000000000001</v>
      </c>
      <c r="L78" s="59">
        <v>106.7</v>
      </c>
      <c r="M78" s="63">
        <f t="shared" si="1"/>
        <v>1.4554826616682288</v>
      </c>
    </row>
    <row r="79" spans="1:13" x14ac:dyDescent="0.25">
      <c r="A79" s="61" t="s">
        <v>198</v>
      </c>
      <c r="B79" s="38">
        <v>93.3</v>
      </c>
      <c r="C79" s="58">
        <v>79.3</v>
      </c>
      <c r="D79" s="38">
        <v>117.7</v>
      </c>
      <c r="E79" s="38">
        <v>128.5</v>
      </c>
      <c r="F79" s="49">
        <v>162</v>
      </c>
      <c r="G79" s="44">
        <v>126</v>
      </c>
      <c r="H79" s="59">
        <v>133.4</v>
      </c>
      <c r="I79" s="43">
        <v>144.80000000000001</v>
      </c>
      <c r="J79" s="43">
        <v>124.4</v>
      </c>
      <c r="K79" s="38">
        <v>138.4</v>
      </c>
      <c r="L79" s="59">
        <v>133.4</v>
      </c>
      <c r="M79" s="63">
        <f t="shared" si="1"/>
        <v>1</v>
      </c>
    </row>
    <row r="80" spans="1:13" x14ac:dyDescent="0.25">
      <c r="A80" s="61" t="s">
        <v>199</v>
      </c>
      <c r="B80" s="38">
        <v>86.9</v>
      </c>
      <c r="C80" s="58">
        <v>77.400000000000006</v>
      </c>
      <c r="D80" s="49">
        <v>112.3</v>
      </c>
      <c r="E80" s="38">
        <v>114.8</v>
      </c>
      <c r="F80" s="38">
        <v>139.19999999999999</v>
      </c>
      <c r="G80" s="44">
        <v>121.3</v>
      </c>
      <c r="H80" s="59">
        <v>125.8</v>
      </c>
      <c r="I80" s="43">
        <v>253.3</v>
      </c>
      <c r="J80" s="43">
        <v>153</v>
      </c>
      <c r="K80" s="38">
        <v>146.69999999999999</v>
      </c>
      <c r="L80" s="59">
        <v>150.4</v>
      </c>
      <c r="M80" s="63">
        <f t="shared" si="1"/>
        <v>0.83643617021276595</v>
      </c>
    </row>
    <row r="81" spans="1:13" x14ac:dyDescent="0.25">
      <c r="A81" s="61" t="s">
        <v>200</v>
      </c>
      <c r="B81" s="38">
        <v>86.4</v>
      </c>
      <c r="C81" s="58" t="s">
        <v>201</v>
      </c>
      <c r="D81" s="38">
        <v>95.5</v>
      </c>
      <c r="E81" s="38">
        <v>98.9</v>
      </c>
      <c r="F81" s="38">
        <v>159.69999999999999</v>
      </c>
      <c r="G81" s="43">
        <v>161.6</v>
      </c>
      <c r="H81" s="59">
        <v>165.6</v>
      </c>
      <c r="I81" s="44">
        <v>123</v>
      </c>
      <c r="J81" s="43">
        <v>169.9</v>
      </c>
      <c r="K81" s="38">
        <v>142.6</v>
      </c>
      <c r="L81" s="68">
        <v>163</v>
      </c>
      <c r="M81" s="63">
        <f t="shared" si="1"/>
        <v>1.0159509202453987</v>
      </c>
    </row>
    <row r="82" spans="1:13" x14ac:dyDescent="0.25">
      <c r="A82" s="61" t="s">
        <v>202</v>
      </c>
      <c r="B82" s="38">
        <v>85.9</v>
      </c>
      <c r="C82" s="58">
        <v>71.8</v>
      </c>
      <c r="D82" s="38">
        <v>119.6</v>
      </c>
      <c r="E82" s="38">
        <v>118.3</v>
      </c>
      <c r="F82" s="38">
        <v>150.30000000000001</v>
      </c>
      <c r="G82" s="44">
        <v>127</v>
      </c>
      <c r="H82" s="66">
        <v>122.9</v>
      </c>
      <c r="I82" s="43">
        <v>154.1</v>
      </c>
      <c r="J82" s="43">
        <v>105.5</v>
      </c>
      <c r="K82" s="38">
        <v>135.30000000000001</v>
      </c>
      <c r="L82" s="66">
        <v>112.3</v>
      </c>
      <c r="M82" s="63">
        <f t="shared" si="1"/>
        <v>1.0943900267141586</v>
      </c>
    </row>
    <row r="83" spans="1:13" x14ac:dyDescent="0.25">
      <c r="A83" s="61" t="s">
        <v>203</v>
      </c>
      <c r="B83" s="38">
        <v>69.2</v>
      </c>
      <c r="C83" s="69">
        <v>55</v>
      </c>
      <c r="D83" s="38">
        <v>125.8</v>
      </c>
      <c r="E83" s="49">
        <v>129.1</v>
      </c>
      <c r="F83" s="38">
        <v>150.69999999999999</v>
      </c>
      <c r="G83" s="41">
        <v>116.8</v>
      </c>
      <c r="H83" s="66">
        <v>121.5</v>
      </c>
      <c r="I83" s="43">
        <v>92.2</v>
      </c>
      <c r="J83" s="43">
        <v>90.2</v>
      </c>
      <c r="K83" s="49">
        <v>110.1</v>
      </c>
      <c r="L83" s="59">
        <v>98.3</v>
      </c>
      <c r="M83" s="63">
        <f t="shared" si="1"/>
        <v>1.2360122075279756</v>
      </c>
    </row>
    <row r="84" spans="1:13" x14ac:dyDescent="0.25">
      <c r="A84" s="60" t="s">
        <v>145</v>
      </c>
      <c r="B84" s="49">
        <v>122.7</v>
      </c>
      <c r="C84" s="58">
        <v>101.6</v>
      </c>
      <c r="D84" s="38">
        <v>118.1</v>
      </c>
      <c r="E84" s="49">
        <v>124</v>
      </c>
      <c r="F84" s="38">
        <v>159.6</v>
      </c>
      <c r="G84" s="43">
        <v>126.5</v>
      </c>
      <c r="H84" s="59">
        <v>133.69999999999999</v>
      </c>
      <c r="I84" s="44">
        <v>131</v>
      </c>
      <c r="J84" s="43">
        <v>103.8</v>
      </c>
      <c r="K84" s="38">
        <v>131.69999999999999</v>
      </c>
      <c r="L84" s="59">
        <v>113.8</v>
      </c>
      <c r="M84" s="63">
        <f t="shared" si="1"/>
        <v>1.1748681898066784</v>
      </c>
    </row>
    <row r="85" spans="1:13" x14ac:dyDescent="0.25">
      <c r="A85" s="60" t="s">
        <v>146</v>
      </c>
      <c r="B85" s="38">
        <v>143.1</v>
      </c>
      <c r="C85" s="58">
        <v>114.7</v>
      </c>
      <c r="D85" s="38">
        <v>132.9</v>
      </c>
      <c r="E85" s="38">
        <v>139.6</v>
      </c>
      <c r="F85" s="38">
        <v>163.80000000000001</v>
      </c>
      <c r="G85" s="43">
        <v>140.69999999999999</v>
      </c>
      <c r="H85" s="59">
        <v>149.80000000000001</v>
      </c>
      <c r="I85" s="43">
        <v>149.9</v>
      </c>
      <c r="J85" s="44">
        <v>120.5</v>
      </c>
      <c r="K85" s="38">
        <v>143.80000000000001</v>
      </c>
      <c r="L85" s="66">
        <v>131</v>
      </c>
      <c r="M85" s="63">
        <f t="shared" si="1"/>
        <v>1.1435114503816795</v>
      </c>
    </row>
    <row r="86" spans="1:13" x14ac:dyDescent="0.25">
      <c r="A86" s="60" t="s">
        <v>147</v>
      </c>
      <c r="B86" s="38">
        <v>102.3</v>
      </c>
      <c r="C86" s="58">
        <v>87.3</v>
      </c>
      <c r="D86" s="34"/>
      <c r="E86" s="38">
        <v>113.7</v>
      </c>
      <c r="F86" s="38">
        <v>153.4</v>
      </c>
      <c r="G86" s="44">
        <v>117</v>
      </c>
      <c r="H86" s="66">
        <v>120.8</v>
      </c>
      <c r="I86" s="43">
        <v>119.7</v>
      </c>
      <c r="J86" s="43">
        <v>93.5</v>
      </c>
      <c r="K86" s="38">
        <v>123.1</v>
      </c>
      <c r="L86" s="59">
        <v>104.3</v>
      </c>
      <c r="M86" s="63">
        <f t="shared" si="1"/>
        <v>1.1581975071907957</v>
      </c>
    </row>
    <row r="88" spans="1:13" x14ac:dyDescent="0.25">
      <c r="A88" s="70" t="s">
        <v>204</v>
      </c>
    </row>
    <row r="90" spans="1:13" x14ac:dyDescent="0.25">
      <c r="A90" s="57" t="s">
        <v>205</v>
      </c>
    </row>
  </sheetData>
  <mergeCells count="2">
    <mergeCell ref="C4:D4"/>
    <mergeCell ref="A5:C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43"/>
  <sheetViews>
    <sheetView topLeftCell="A16" workbookViewId="0">
      <selection activeCell="B48" sqref="B48"/>
    </sheetView>
  </sheetViews>
  <sheetFormatPr defaultRowHeight="12.5" x14ac:dyDescent="0.25"/>
  <cols>
    <col min="1" max="1" width="13.1796875" customWidth="1"/>
    <col min="13" max="13" width="9.6328125" customWidth="1"/>
    <col min="33" max="33" width="9.6328125" customWidth="1"/>
  </cols>
  <sheetData>
    <row r="1" spans="1:33" ht="13" x14ac:dyDescent="0.3">
      <c r="A1" s="12" t="s">
        <v>0</v>
      </c>
      <c r="B1" s="1"/>
      <c r="C1" s="1"/>
      <c r="D1" s="1"/>
    </row>
    <row r="2" spans="1:33" ht="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s="2" t="s">
        <v>32</v>
      </c>
    </row>
    <row r="3" spans="1:33" ht="13.25" x14ac:dyDescent="0.25">
      <c r="A3" s="3">
        <v>1987</v>
      </c>
      <c r="B3" s="4">
        <v>7.701013284937637E-2</v>
      </c>
      <c r="C3" s="4">
        <v>0.11132510793576238</v>
      </c>
      <c r="D3" s="4">
        <v>0.19723440975953341</v>
      </c>
      <c r="E3" s="4">
        <v>9.7180184370982817E-2</v>
      </c>
      <c r="F3" s="4">
        <v>0.20125030036548741</v>
      </c>
      <c r="G3" s="4">
        <v>0.19731803465080916</v>
      </c>
      <c r="H3" s="4">
        <v>0.14860899385139303</v>
      </c>
      <c r="I3" s="4">
        <v>0.16490082540155265</v>
      </c>
      <c r="J3" s="4">
        <v>9.2659004144480375E-2</v>
      </c>
      <c r="K3" s="4">
        <v>0.34289111026155578</v>
      </c>
      <c r="L3" s="4">
        <v>0.46601085481682492</v>
      </c>
      <c r="M3" s="4">
        <v>2.8630146538169438E-2</v>
      </c>
      <c r="N3" s="4">
        <v>9.9093974527354634E-2</v>
      </c>
      <c r="O3" s="4">
        <v>6.9330293245706484E-2</v>
      </c>
      <c r="P3" s="4">
        <v>3.0127941714827144E-2</v>
      </c>
      <c r="Q3" s="4">
        <v>0.23337519830777367</v>
      </c>
      <c r="R3" s="4">
        <v>6.3663213241500843E-2</v>
      </c>
      <c r="S3" s="4">
        <v>8.1829169583479081E-3</v>
      </c>
      <c r="T3" s="4">
        <v>1.7280294493276237E-2</v>
      </c>
      <c r="U3" s="4">
        <v>0.10155139607174829</v>
      </c>
      <c r="V3" s="4">
        <v>5.933287180518676E-2</v>
      </c>
      <c r="W3" s="4">
        <v>0.17992966114369044</v>
      </c>
      <c r="X3" s="4">
        <v>-1.6532178916840199E-2</v>
      </c>
      <c r="Y3" s="4">
        <v>0.24862703858406612</v>
      </c>
      <c r="Z3" s="4">
        <v>8.8791770982895257E-2</v>
      </c>
      <c r="AA3" s="4">
        <v>0.53607148484098222</v>
      </c>
      <c r="AB3" s="4">
        <v>3.5791105747980376E-2</v>
      </c>
      <c r="AC3" s="4">
        <v>0.11576588828863259</v>
      </c>
      <c r="AD3" s="4">
        <v>0.10295193574118386</v>
      </c>
      <c r="AE3" s="4">
        <v>4.1550603148640369E-2</v>
      </c>
      <c r="AF3" s="4">
        <v>0.18082135106479405</v>
      </c>
      <c r="AG3" s="5">
        <v>9.4849589085595806E-2</v>
      </c>
    </row>
    <row r="4" spans="1:33" ht="13.25" x14ac:dyDescent="0.25">
      <c r="A4">
        <v>1988</v>
      </c>
      <c r="B4" s="4">
        <v>5.9100769901771183E-2</v>
      </c>
      <c r="C4" s="4">
        <v>0.11452364230582017</v>
      </c>
      <c r="D4" s="4">
        <v>0.16710020814141854</v>
      </c>
      <c r="E4" s="4">
        <v>9.1919075766536101E-2</v>
      </c>
      <c r="F4" s="4">
        <v>0.22871368319537078</v>
      </c>
      <c r="G4" s="4">
        <v>0.2494707122939992</v>
      </c>
      <c r="H4" s="4">
        <v>0.15677327732899332</v>
      </c>
      <c r="I4" s="4">
        <v>0.17174571561201907</v>
      </c>
      <c r="J4" s="4">
        <v>9.5345788556552791E-2</v>
      </c>
      <c r="K4" s="4">
        <v>0.2614734673311262</v>
      </c>
      <c r="L4" s="4">
        <v>0.47910490405117268</v>
      </c>
      <c r="M4" s="4">
        <v>0.13799113723273795</v>
      </c>
      <c r="N4" s="4">
        <v>0.16399202900342577</v>
      </c>
      <c r="O4" s="4">
        <v>0.10990427901154257</v>
      </c>
      <c r="P4" s="4">
        <v>2.1081235854048221E-2</v>
      </c>
      <c r="Q4" s="4">
        <v>0.22193632691850793</v>
      </c>
      <c r="R4" s="4">
        <v>4.0189158611102435E-2</v>
      </c>
      <c r="S4" s="4">
        <v>1.8876967423133155E-3</v>
      </c>
      <c r="T4" s="4">
        <v>1.8542319440338947E-2</v>
      </c>
      <c r="U4" s="4">
        <v>0.14349175618528762</v>
      </c>
      <c r="V4" s="4">
        <v>0.14977535090948724</v>
      </c>
      <c r="W4" s="4">
        <v>0.15840006860450331</v>
      </c>
      <c r="X4" s="4">
        <v>2.3246293950673187E-2</v>
      </c>
      <c r="Y4" s="4">
        <v>0.21137728385326759</v>
      </c>
      <c r="Z4" s="4">
        <v>8.9120479500090485E-2</v>
      </c>
      <c r="AA4" s="4">
        <v>0.57767977497180278</v>
      </c>
      <c r="AB4" s="4">
        <v>2.4594717929046082E-2</v>
      </c>
      <c r="AC4" s="4">
        <v>0.12199587514433471</v>
      </c>
      <c r="AD4" s="4">
        <v>0.10536975717439291</v>
      </c>
      <c r="AE4" s="4">
        <v>3.8473108159921929E-2</v>
      </c>
      <c r="AF4" s="4">
        <v>0.14771090299132084</v>
      </c>
      <c r="AG4" s="5">
        <v>9.5685011242984008E-2</v>
      </c>
    </row>
    <row r="5" spans="1:33" ht="13.25" x14ac:dyDescent="0.25">
      <c r="A5">
        <v>1989</v>
      </c>
      <c r="B5" s="4">
        <v>5.7277692402040371E-2</v>
      </c>
      <c r="C5" s="4">
        <v>0.15388339754294877</v>
      </c>
      <c r="D5" s="4">
        <v>0.15572717346241782</v>
      </c>
      <c r="E5" s="4">
        <v>9.6567512026093955E-2</v>
      </c>
      <c r="F5" s="4">
        <v>0.24966539933220697</v>
      </c>
      <c r="G5" s="4">
        <v>0.29281623731863388</v>
      </c>
      <c r="H5" s="4">
        <v>0.16161926726428469</v>
      </c>
      <c r="I5" s="4">
        <v>0.18919052587926583</v>
      </c>
      <c r="J5" s="4">
        <v>9.2295061164408013E-2</v>
      </c>
      <c r="K5" s="4">
        <v>0.2852848241506426</v>
      </c>
      <c r="L5" s="4">
        <v>0.49355581784952779</v>
      </c>
      <c r="M5" s="4">
        <v>0.1777234264635438</v>
      </c>
      <c r="N5" s="4">
        <v>0.19293252939280911</v>
      </c>
      <c r="O5" s="4">
        <v>0.12936101372153072</v>
      </c>
      <c r="P5" s="4">
        <v>3.2794444040016239E-2</v>
      </c>
      <c r="Q5" s="4">
        <v>0.31291193778898696</v>
      </c>
      <c r="R5" s="4">
        <v>6.0814015991816642E-2</v>
      </c>
      <c r="S5" s="4">
        <v>1.0200142238451082E-2</v>
      </c>
      <c r="T5" s="4">
        <v>2.1105522402197579E-2</v>
      </c>
      <c r="U5" s="4">
        <v>0.13785058210090081</v>
      </c>
      <c r="V5" s="4">
        <v>0.1304269740385762</v>
      </c>
      <c r="W5" s="4">
        <v>0.20747719505172446</v>
      </c>
      <c r="X5" s="4">
        <v>3.8313721714295645E-2</v>
      </c>
      <c r="Y5" s="4">
        <v>0.2572842850798242</v>
      </c>
      <c r="Z5" s="4">
        <v>8.9821201516248714E-2</v>
      </c>
      <c r="AA5" s="4">
        <v>0.57715644957114398</v>
      </c>
      <c r="AB5" s="4">
        <v>2.4600837621569997E-2</v>
      </c>
      <c r="AC5" s="4">
        <v>0.14439891294662749</v>
      </c>
      <c r="AD5" s="4">
        <v>0.11528035320088298</v>
      </c>
      <c r="AE5" s="4">
        <v>4.2463518216942886E-2</v>
      </c>
      <c r="AF5" s="4">
        <v>0.16726474440936678</v>
      </c>
      <c r="AG5" s="5">
        <v>0.10156134136352093</v>
      </c>
    </row>
    <row r="6" spans="1:33" ht="13.25" x14ac:dyDescent="0.25">
      <c r="A6">
        <v>1990</v>
      </c>
      <c r="B6" s="4">
        <v>4.9455425327724921E-2</v>
      </c>
      <c r="C6" s="4">
        <v>0.1951963036884537</v>
      </c>
      <c r="D6" s="4">
        <v>0.15829511195345608</v>
      </c>
      <c r="E6" s="4">
        <v>0.10298905124904502</v>
      </c>
      <c r="F6" s="4">
        <v>0.2522589426028341</v>
      </c>
      <c r="G6" s="4">
        <v>0.25890057887039292</v>
      </c>
      <c r="H6" s="4">
        <v>0.14875508765626327</v>
      </c>
      <c r="I6" s="4">
        <v>0.22946612438885447</v>
      </c>
      <c r="J6" s="4">
        <v>9.4246862728945349E-2</v>
      </c>
      <c r="K6" s="4">
        <v>0.21274760471521967</v>
      </c>
      <c r="L6" s="4">
        <v>0.50778629892014571</v>
      </c>
      <c r="M6" s="4">
        <v>0.18144962239740786</v>
      </c>
      <c r="N6" s="4">
        <v>0.18270850544963071</v>
      </c>
      <c r="O6" s="4">
        <v>0.17787825537503332</v>
      </c>
      <c r="P6" s="4">
        <v>2.1889156031078889E-2</v>
      </c>
      <c r="Q6" s="4">
        <v>0.19480374707259954</v>
      </c>
      <c r="R6" s="4">
        <v>6.0478529648127326E-2</v>
      </c>
      <c r="S6" s="4">
        <v>2.6805403930130998E-2</v>
      </c>
      <c r="T6" s="4">
        <v>1.7424271577789974E-2</v>
      </c>
      <c r="U6" s="4">
        <v>9.9851934919902588E-2</v>
      </c>
      <c r="V6" s="4">
        <v>0.13206105562981005</v>
      </c>
      <c r="W6" s="4">
        <v>0.15354027757400993</v>
      </c>
      <c r="X6" s="4">
        <v>1.36023106077453E-2</v>
      </c>
      <c r="Y6" s="4">
        <v>0.21664195574000519</v>
      </c>
      <c r="Z6" s="4">
        <v>9.0390488694175861E-2</v>
      </c>
      <c r="AA6" s="4">
        <v>0.59379297575138135</v>
      </c>
      <c r="AB6" s="4">
        <v>3.9566506220532274E-2</v>
      </c>
      <c r="AC6" s="4">
        <v>0.12870227583633875</v>
      </c>
      <c r="AD6" s="4">
        <v>0.10580917341182235</v>
      </c>
      <c r="AE6" s="4">
        <v>3.9350987406567194E-2</v>
      </c>
      <c r="AF6" s="4">
        <v>0.13132345161002487</v>
      </c>
      <c r="AG6" s="5">
        <v>9.9268539500598538E-2</v>
      </c>
    </row>
    <row r="7" spans="1:33" ht="13.25" x14ac:dyDescent="0.25">
      <c r="A7">
        <v>1991</v>
      </c>
      <c r="B7" s="4">
        <v>5.5123063014884718E-2</v>
      </c>
      <c r="C7" s="4">
        <v>0.19762103189635574</v>
      </c>
      <c r="D7" s="4">
        <v>0.18515508103708428</v>
      </c>
      <c r="E7" s="4">
        <v>0.10562679700414054</v>
      </c>
      <c r="F7" s="4">
        <v>0.23290459156615617</v>
      </c>
      <c r="G7" s="4">
        <v>0.23861194380345005</v>
      </c>
      <c r="H7" s="4">
        <v>0.1104590254309365</v>
      </c>
      <c r="I7" s="4">
        <v>0.2226417409711807</v>
      </c>
      <c r="J7" s="4">
        <v>8.4391897180607162E-2</v>
      </c>
      <c r="K7" s="4">
        <v>0.20640515081350089</v>
      </c>
      <c r="L7" s="4">
        <v>0.44684887252051436</v>
      </c>
      <c r="M7" s="4">
        <v>0.19630009792671438</v>
      </c>
      <c r="N7" s="4">
        <v>0.10442240611421083</v>
      </c>
      <c r="O7" s="4">
        <v>0.18094285933176213</v>
      </c>
      <c r="P7" s="4">
        <v>1.770346238986072E-2</v>
      </c>
      <c r="Q7" s="4">
        <v>0.1689283865401208</v>
      </c>
      <c r="R7" s="4">
        <v>4.0383040728868787E-2</v>
      </c>
      <c r="S7" s="4">
        <v>-4.0185016299285909E-3</v>
      </c>
      <c r="T7" s="4">
        <v>2.4400631057020481E-2</v>
      </c>
      <c r="U7" s="4">
        <v>7.3563435359993448E-2</v>
      </c>
      <c r="V7" s="4">
        <v>8.3472253757590487E-2</v>
      </c>
      <c r="W7" s="4">
        <v>0.18042678732344741</v>
      </c>
      <c r="X7" s="4">
        <v>-3.0960384498414295E-3</v>
      </c>
      <c r="Y7" s="4">
        <v>0.2005155765049485</v>
      </c>
      <c r="Z7" s="4">
        <v>8.7989183424915768E-2</v>
      </c>
      <c r="AA7" s="4">
        <v>0.55219946431384914</v>
      </c>
      <c r="AB7" s="4">
        <v>4.1333977943096692E-2</v>
      </c>
      <c r="AC7" s="4">
        <v>0.16531760321807387</v>
      </c>
      <c r="AD7" s="4">
        <v>0.10761891149332184</v>
      </c>
      <c r="AE7" s="4">
        <v>3.5179607287780169E-2</v>
      </c>
      <c r="AF7" s="4">
        <v>0.11057628717209435</v>
      </c>
      <c r="AG7" s="5">
        <v>9.452772598576481E-2</v>
      </c>
    </row>
    <row r="8" spans="1:33" ht="13.25" x14ac:dyDescent="0.25">
      <c r="A8">
        <v>1992</v>
      </c>
      <c r="B8" s="4">
        <v>6.2639044419559545E-2</v>
      </c>
      <c r="C8" s="4">
        <v>0.25946955798972893</v>
      </c>
      <c r="D8" s="4">
        <v>0.20101274831894184</v>
      </c>
      <c r="E8" s="4">
        <v>0.11553439527692261</v>
      </c>
      <c r="F8" s="4">
        <v>0.22473269044981853</v>
      </c>
      <c r="G8" s="4">
        <v>0.24434685259797101</v>
      </c>
      <c r="H8" s="4">
        <v>0.11699927158469645</v>
      </c>
      <c r="I8" s="4">
        <v>0.21893626700266455</v>
      </c>
      <c r="J8" s="4">
        <v>7.182467782119234E-2</v>
      </c>
      <c r="K8" s="4">
        <v>0.2422386632967034</v>
      </c>
      <c r="L8" s="4">
        <v>0.50876456228175893</v>
      </c>
      <c r="M8" s="4">
        <v>0.20115547467299338</v>
      </c>
      <c r="N8" s="4">
        <v>0.11848940565428254</v>
      </c>
      <c r="O8" s="4">
        <v>0.16354936338359863</v>
      </c>
      <c r="P8" s="4">
        <v>2.9811285998974184E-2</v>
      </c>
      <c r="Q8" s="4">
        <v>0.16645950574993884</v>
      </c>
      <c r="R8" s="4">
        <v>8.6908288038494722E-2</v>
      </c>
      <c r="S8" s="4">
        <v>-1.0287740787269684E-2</v>
      </c>
      <c r="T8" s="4">
        <v>3.0762517204810567E-2</v>
      </c>
      <c r="U8" s="4">
        <v>6.1783215687446241E-2</v>
      </c>
      <c r="V8" s="4">
        <v>6.6243100918266795E-2</v>
      </c>
      <c r="W8" s="4">
        <v>0.17663824791657293</v>
      </c>
      <c r="X8" s="4">
        <v>-1.1666576353600759E-2</v>
      </c>
      <c r="Y8" s="4">
        <v>0.22584188122806759</v>
      </c>
      <c r="Z8" s="4">
        <v>9.7559736182402712E-2</v>
      </c>
      <c r="AA8" s="4">
        <v>0.58142320242801226</v>
      </c>
      <c r="AB8" s="4">
        <v>7.8527554846140601E-2</v>
      </c>
      <c r="AC8" s="4">
        <v>0.19409511790044748</v>
      </c>
      <c r="AD8" s="4">
        <v>0.12189120151371804</v>
      </c>
      <c r="AE8" s="4">
        <v>3.8466196156049785E-2</v>
      </c>
      <c r="AF8" s="4">
        <v>0.12214872326684593</v>
      </c>
      <c r="AG8" s="5">
        <v>0.10105362869305587</v>
      </c>
    </row>
    <row r="9" spans="1:33" ht="13.25" x14ac:dyDescent="0.25">
      <c r="A9">
        <v>1993</v>
      </c>
      <c r="B9" s="4">
        <v>7.8657999105046686E-2</v>
      </c>
      <c r="C9" s="4">
        <v>0.19143539000500456</v>
      </c>
      <c r="D9" s="4">
        <v>0.18816110122437041</v>
      </c>
      <c r="E9" s="4">
        <v>0.13128877424434346</v>
      </c>
      <c r="F9" s="4">
        <v>0.22069874552752317</v>
      </c>
      <c r="G9" s="4">
        <v>0.26321826814153793</v>
      </c>
      <c r="H9" s="4">
        <v>0.13583805555698861</v>
      </c>
      <c r="I9" s="4">
        <v>0.19740694867161435</v>
      </c>
      <c r="J9" s="4">
        <v>0.10020023091531083</v>
      </c>
      <c r="K9" s="4">
        <v>0.30104176319339859</v>
      </c>
      <c r="L9" s="4">
        <v>0.4803528634493528</v>
      </c>
      <c r="M9" s="4">
        <v>0.19264696109311982</v>
      </c>
      <c r="N9" s="4">
        <v>0.10480165564315637</v>
      </c>
      <c r="O9" s="4">
        <v>0.15275426323327451</v>
      </c>
      <c r="P9" s="4">
        <v>2.1715177748450835E-2</v>
      </c>
      <c r="Q9" s="4">
        <v>0.20483568433091878</v>
      </c>
      <c r="R9" s="4">
        <v>8.8590707483863093E-2</v>
      </c>
      <c r="S9" s="4">
        <v>-5.5664654156849583E-3</v>
      </c>
      <c r="T9" s="4">
        <v>4.4276552287581677E-2</v>
      </c>
      <c r="U9" s="4">
        <v>6.5870094492581063E-2</v>
      </c>
      <c r="V9" s="4">
        <v>9.0705081554194156E-2</v>
      </c>
      <c r="W9" s="4">
        <v>0.21384393247799194</v>
      </c>
      <c r="X9" s="4">
        <v>-1.8035510418112359E-3</v>
      </c>
      <c r="Y9" s="4">
        <v>0.19286226876699036</v>
      </c>
      <c r="Z9" s="4">
        <v>0.10016611776319709</v>
      </c>
      <c r="AA9" s="4">
        <v>0.5871069401057909</v>
      </c>
      <c r="AB9" s="4">
        <v>6.8658471343012978E-2</v>
      </c>
      <c r="AC9" s="4">
        <v>0.24406398790339331</v>
      </c>
      <c r="AD9" s="4">
        <v>0.14407704505176749</v>
      </c>
      <c r="AE9" s="4">
        <v>4.4634620624736811E-2</v>
      </c>
      <c r="AF9" s="4">
        <v>0.16220391214246821</v>
      </c>
      <c r="AG9" s="5">
        <v>0.10853683054385972</v>
      </c>
    </row>
    <row r="10" spans="1:33" ht="13.25" x14ac:dyDescent="0.25">
      <c r="A10">
        <v>1994</v>
      </c>
      <c r="B10" s="4">
        <v>9.1749585406301834E-2</v>
      </c>
      <c r="C10" s="4">
        <v>0.16480510530012854</v>
      </c>
      <c r="D10" s="4">
        <v>0.15326329795669491</v>
      </c>
      <c r="E10" s="4">
        <v>0.13222403139193822</v>
      </c>
      <c r="F10" s="4">
        <v>0.26974940419511206</v>
      </c>
      <c r="G10" s="4">
        <v>0.30841706604069996</v>
      </c>
      <c r="H10" s="4">
        <v>0.18328494677688709</v>
      </c>
      <c r="I10" s="4">
        <v>0.18979271557100813</v>
      </c>
      <c r="J10" s="4">
        <v>0.10611789403553108</v>
      </c>
      <c r="K10" s="4">
        <v>0.29190871211073771</v>
      </c>
      <c r="L10" s="4">
        <v>0.49262933453035562</v>
      </c>
      <c r="M10" s="4">
        <v>0.21879952961128329</v>
      </c>
      <c r="N10" s="4">
        <v>0.10538437608428654</v>
      </c>
      <c r="O10" s="4">
        <v>0.14640673321025374</v>
      </c>
      <c r="P10" s="4">
        <v>4.267478766077578E-2</v>
      </c>
      <c r="Q10" s="4">
        <v>0.11244340359094457</v>
      </c>
      <c r="R10" s="4">
        <v>0.15374170878791596</v>
      </c>
      <c r="S10" s="4">
        <v>-8.9793430444887155E-3</v>
      </c>
      <c r="T10" s="4">
        <v>4.4763868693544817E-2</v>
      </c>
      <c r="U10" s="4">
        <v>8.5473469227301174E-2</v>
      </c>
      <c r="V10" s="4">
        <v>6.3683066011137504E-2</v>
      </c>
      <c r="W10" s="4">
        <v>0.22523789597337973</v>
      </c>
      <c r="X10" s="4">
        <v>1.4950107811480451E-2</v>
      </c>
      <c r="Y10" s="4">
        <v>0.21858416416996362</v>
      </c>
      <c r="Z10" s="4">
        <v>9.7266671134878885E-2</v>
      </c>
      <c r="AA10" s="4">
        <v>0.5330539234335151</v>
      </c>
      <c r="AB10" s="4">
        <v>5.2502281712438412E-2</v>
      </c>
      <c r="AC10" s="4">
        <v>0.25923279789019427</v>
      </c>
      <c r="AD10" s="4">
        <v>0.15453634875583785</v>
      </c>
      <c r="AE10" s="4">
        <v>5.2303275759380589E-2</v>
      </c>
      <c r="AF10" s="4">
        <v>0.19463303003031604</v>
      </c>
      <c r="AG10" s="5">
        <v>0.11269630342597473</v>
      </c>
    </row>
    <row r="11" spans="1:33" ht="13.25" x14ac:dyDescent="0.25">
      <c r="A11">
        <v>1995</v>
      </c>
      <c r="B11" s="4">
        <v>0.10647570556698251</v>
      </c>
      <c r="C11" s="4">
        <v>0.16241221650168197</v>
      </c>
      <c r="D11" s="4">
        <v>0.16526054126531489</v>
      </c>
      <c r="E11" s="4">
        <v>0.12737996519964537</v>
      </c>
      <c r="F11" s="4">
        <v>0.28711948675661175</v>
      </c>
      <c r="G11" s="4">
        <v>0.27336104502685582</v>
      </c>
      <c r="H11" s="4">
        <v>0.19320282310395143</v>
      </c>
      <c r="I11" s="4">
        <v>0.23995352343804208</v>
      </c>
      <c r="J11" s="4">
        <v>8.4105073215065745E-2</v>
      </c>
      <c r="K11" s="4">
        <v>0.29311822456873415</v>
      </c>
      <c r="L11" s="4">
        <v>0.49750026652452017</v>
      </c>
      <c r="M11" s="4">
        <v>0.24024004597708343</v>
      </c>
      <c r="N11" s="4">
        <v>0.13453076111487985</v>
      </c>
      <c r="O11" s="4">
        <v>0.1525354838280284</v>
      </c>
      <c r="P11" s="4">
        <v>3.0218050859885055E-2</v>
      </c>
      <c r="Q11" s="4">
        <v>8.8037304763134164E-2</v>
      </c>
      <c r="R11" s="4">
        <v>0.1795796898852807</v>
      </c>
      <c r="S11" s="4">
        <v>-1.0234676640926636E-2</v>
      </c>
      <c r="T11" s="4">
        <v>3.3884936263922388E-2</v>
      </c>
      <c r="U11" s="4">
        <v>0.16143042585714928</v>
      </c>
      <c r="V11" s="4">
        <v>3.6991386105700373E-2</v>
      </c>
      <c r="W11" s="4">
        <v>0.20721898088250976</v>
      </c>
      <c r="X11" s="4">
        <v>5.1559632620193072E-2</v>
      </c>
      <c r="Y11" s="4">
        <v>0.16770835311336271</v>
      </c>
      <c r="Z11" s="4">
        <v>0.10224849981992422</v>
      </c>
      <c r="AA11" s="4">
        <v>0.45219158475909482</v>
      </c>
      <c r="AB11" s="4">
        <v>3.7575105371668097E-2</v>
      </c>
      <c r="AC11" s="4">
        <v>0.18121263339707613</v>
      </c>
      <c r="AD11" s="4">
        <v>0.14038852097130239</v>
      </c>
      <c r="AE11" s="4">
        <v>5.3948059360730619E-2</v>
      </c>
      <c r="AF11" s="4">
        <v>0.20211735374698245</v>
      </c>
      <c r="AG11" s="5">
        <v>0.11330639454249469</v>
      </c>
    </row>
    <row r="12" spans="1:33" ht="13.25" x14ac:dyDescent="0.25">
      <c r="A12">
        <v>1996</v>
      </c>
      <c r="B12" s="4">
        <v>0.12508402067702679</v>
      </c>
      <c r="C12" s="4">
        <v>0.15717511024225522</v>
      </c>
      <c r="D12" s="4">
        <v>0.16975852207271785</v>
      </c>
      <c r="E12" s="4">
        <v>0.12894901364346387</v>
      </c>
      <c r="F12" s="4">
        <v>0.26818951351826525</v>
      </c>
      <c r="G12" s="4">
        <v>0.25232763202741149</v>
      </c>
      <c r="H12" s="4">
        <v>0.22095503605920933</v>
      </c>
      <c r="I12" s="4">
        <v>0.20795869460601155</v>
      </c>
      <c r="J12" s="4">
        <v>9.0990909292599939E-2</v>
      </c>
      <c r="K12" s="4">
        <v>0.3215284787441392</v>
      </c>
      <c r="L12" s="4">
        <v>0.49865353037766824</v>
      </c>
      <c r="M12" s="4">
        <v>0.2253098876165861</v>
      </c>
      <c r="N12" s="4">
        <v>0.12422855858584274</v>
      </c>
      <c r="O12" s="4">
        <v>0.21857100058013368</v>
      </c>
      <c r="P12" s="4">
        <v>2.7749708219800058E-2</v>
      </c>
      <c r="Q12" s="4">
        <v>9.5430853299705728E-2</v>
      </c>
      <c r="R12" s="4">
        <v>0.16794881492318778</v>
      </c>
      <c r="S12" s="4">
        <v>2.0780171443577421E-2</v>
      </c>
      <c r="T12" s="4">
        <v>3.9665677187455804E-2</v>
      </c>
      <c r="U12" s="4">
        <v>0.11331954944042205</v>
      </c>
      <c r="V12" s="4">
        <v>4.7119685034674216E-2</v>
      </c>
      <c r="W12" s="4">
        <v>0.24392302551990924</v>
      </c>
      <c r="X12" s="4">
        <v>3.7544498174571013E-2</v>
      </c>
      <c r="Y12" s="4">
        <v>0.22832215408966403</v>
      </c>
      <c r="Z12" s="4">
        <v>0.10461898538578134</v>
      </c>
      <c r="AA12" s="4">
        <v>0.41624126269843686</v>
      </c>
      <c r="AB12" s="4">
        <v>5.1551209772837149E-2</v>
      </c>
      <c r="AC12" s="4">
        <v>0.15040606267302059</v>
      </c>
      <c r="AD12" s="4">
        <v>0.14810206466692633</v>
      </c>
      <c r="AE12" s="4">
        <v>5.6470736740428525E-2</v>
      </c>
      <c r="AF12" s="4">
        <v>0.14273686628127588</v>
      </c>
      <c r="AG12" s="5">
        <v>0.11987613632670591</v>
      </c>
    </row>
    <row r="13" spans="1:33" ht="13.25" x14ac:dyDescent="0.25">
      <c r="A13">
        <v>1997</v>
      </c>
      <c r="B13" s="4">
        <v>0.14111216964821288</v>
      </c>
      <c r="C13" s="4">
        <v>0.18945763923643377</v>
      </c>
      <c r="D13" s="4">
        <v>0.19280071621071718</v>
      </c>
      <c r="E13" s="4">
        <v>9.937623874059924E-2</v>
      </c>
      <c r="F13" s="4">
        <v>0.28139471737493821</v>
      </c>
      <c r="G13" s="4">
        <v>0.27220332481575177</v>
      </c>
      <c r="H13" s="4">
        <v>0.22833745344634529</v>
      </c>
      <c r="I13" s="4">
        <v>0.2153100235393299</v>
      </c>
      <c r="J13" s="4">
        <v>0.10308076637753198</v>
      </c>
      <c r="K13" s="4">
        <v>0.34763258322171198</v>
      </c>
      <c r="L13" s="4">
        <v>0.46801636976408273</v>
      </c>
      <c r="M13" s="4">
        <v>0.25398534521515276</v>
      </c>
      <c r="N13" s="4">
        <v>0.11136583539780705</v>
      </c>
      <c r="O13" s="4">
        <v>0.21858301298438471</v>
      </c>
      <c r="P13" s="4">
        <v>2.8271667310294648E-2</v>
      </c>
      <c r="Q13" s="4">
        <v>4.8705964422741575E-2</v>
      </c>
      <c r="R13" s="4">
        <v>0.25509113843181769</v>
      </c>
      <c r="S13" s="4">
        <v>1.3060588193253281E-2</v>
      </c>
      <c r="T13" s="4">
        <v>4.6617306227194344E-2</v>
      </c>
      <c r="U13" s="4">
        <v>8.9058097655200494E-2</v>
      </c>
      <c r="V13" s="4">
        <v>8.897831569971501E-2</v>
      </c>
      <c r="W13" s="4">
        <v>0.25143911445738309</v>
      </c>
      <c r="X13" s="4">
        <v>4.459622383840537E-2</v>
      </c>
      <c r="Y13" s="4">
        <v>0.20207313709535829</v>
      </c>
      <c r="Z13" s="4">
        <v>0.108097546456426</v>
      </c>
      <c r="AA13" s="4">
        <v>0.35426186118621855</v>
      </c>
      <c r="AB13" s="4">
        <v>5.3159590560756829E-2</v>
      </c>
      <c r="AC13" s="4">
        <v>0.18125131027445762</v>
      </c>
      <c r="AD13" s="4">
        <v>0.16784911637420333</v>
      </c>
      <c r="AE13" s="4">
        <v>6.0597008444955816E-2</v>
      </c>
      <c r="AF13" s="4">
        <v>0.13484564584027584</v>
      </c>
      <c r="AG13" s="5">
        <v>0.12302270742897593</v>
      </c>
    </row>
    <row r="14" spans="1:33" ht="13.25" x14ac:dyDescent="0.25">
      <c r="A14">
        <v>1998</v>
      </c>
      <c r="B14" s="4">
        <v>0.12840711393350063</v>
      </c>
      <c r="C14" s="4">
        <v>0.15285641106543302</v>
      </c>
      <c r="D14" s="4">
        <v>0.18212241615090916</v>
      </c>
      <c r="E14" s="4">
        <v>0.11226971242195961</v>
      </c>
      <c r="F14" s="4">
        <v>0.2605766466198996</v>
      </c>
      <c r="G14" s="4">
        <v>0.23573517221602244</v>
      </c>
      <c r="H14" s="4">
        <v>0.21987296200435333</v>
      </c>
      <c r="I14" s="4">
        <v>0.20563220528173395</v>
      </c>
      <c r="J14" s="4">
        <v>0.10670066677151287</v>
      </c>
      <c r="K14" s="4">
        <v>0.32064675773220463</v>
      </c>
      <c r="L14" s="4">
        <v>0.24724403588526359</v>
      </c>
      <c r="M14" s="4">
        <v>0.24207833783313332</v>
      </c>
      <c r="N14" s="4">
        <v>0.16129582477401569</v>
      </c>
      <c r="O14" s="4">
        <v>0.21285270915304483</v>
      </c>
      <c r="P14" s="4">
        <v>3.3732776627644866E-2</v>
      </c>
      <c r="Q14" s="4">
        <v>2.6083097795364614E-2</v>
      </c>
      <c r="R14" s="4">
        <v>0.24637989547757225</v>
      </c>
      <c r="S14" s="4">
        <v>-3.885968701996928E-2</v>
      </c>
      <c r="T14" s="4">
        <v>3.7381077634305739E-2</v>
      </c>
      <c r="U14" s="4">
        <v>8.8983624715627929E-2</v>
      </c>
      <c r="V14" s="4">
        <v>0.11671847174865436</v>
      </c>
      <c r="W14" s="4">
        <v>0.24815620279425274</v>
      </c>
      <c r="X14" s="4">
        <v>4.6717355881238778E-2</v>
      </c>
      <c r="Y14" s="4">
        <v>0.18632375592876638</v>
      </c>
      <c r="Z14" s="4">
        <v>0.10446445956519966</v>
      </c>
      <c r="AA14" s="4">
        <v>0.27365728346573137</v>
      </c>
      <c r="AB14" s="4">
        <v>4.7316616592067637E-2</v>
      </c>
      <c r="AC14" s="4">
        <v>0.17168250211191347</v>
      </c>
      <c r="AD14" s="4">
        <v>0.16808922969675844</v>
      </c>
      <c r="AE14" s="4">
        <v>6.1652638811353973E-2</v>
      </c>
      <c r="AF14" s="4">
        <v>0.12780662255230971</v>
      </c>
      <c r="AG14" s="5">
        <v>0.11408751883493809</v>
      </c>
    </row>
    <row r="15" spans="1:33" ht="13.25" x14ac:dyDescent="0.25">
      <c r="A15">
        <v>1999</v>
      </c>
      <c r="B15" s="4">
        <v>0.13081953433605914</v>
      </c>
      <c r="C15" s="4">
        <v>0.15894765984729259</v>
      </c>
      <c r="D15" s="4">
        <v>0.2030674043851397</v>
      </c>
      <c r="E15" s="4">
        <v>0.11124450182504156</v>
      </c>
      <c r="F15" s="4">
        <v>0.24896554079218328</v>
      </c>
      <c r="G15" s="4">
        <v>0.26466725358356324</v>
      </c>
      <c r="H15" s="4">
        <v>0.22179770352246661</v>
      </c>
      <c r="I15" s="4">
        <v>0.26290108998802458</v>
      </c>
      <c r="J15" s="4">
        <v>0.10836119351133858</v>
      </c>
      <c r="K15" s="4">
        <v>0.31189052393275785</v>
      </c>
      <c r="L15" s="4">
        <v>0.10083114610673694</v>
      </c>
      <c r="M15" s="4">
        <v>0.19629935454386252</v>
      </c>
      <c r="N15" s="4">
        <v>9.810442235910917E-2</v>
      </c>
      <c r="O15" s="4">
        <v>0.21637631675195296</v>
      </c>
      <c r="P15" s="4">
        <v>3.9705233460144589E-2</v>
      </c>
      <c r="Q15" s="4">
        <v>0.17825259497558588</v>
      </c>
      <c r="R15" s="4">
        <v>0.25709040659655247</v>
      </c>
      <c r="S15" s="4">
        <v>-4.9455823139792476E-3</v>
      </c>
      <c r="T15" s="4">
        <v>4.2335491275747095E-2</v>
      </c>
      <c r="U15" s="4">
        <v>9.7287207288202254E-2</v>
      </c>
      <c r="V15" s="4">
        <v>4.2886065706986873E-2</v>
      </c>
      <c r="W15" s="4">
        <v>0.24848865548759788</v>
      </c>
      <c r="X15" s="4">
        <v>2.7382935408363913E-2</v>
      </c>
      <c r="Y15" s="4">
        <v>0.19190687307651025</v>
      </c>
      <c r="Z15" s="4">
        <v>0.1057344919713656</v>
      </c>
      <c r="AA15" s="4">
        <v>0.24617374881403001</v>
      </c>
      <c r="AB15" s="4">
        <v>3.5507920801556313E-2</v>
      </c>
      <c r="AC15" s="4">
        <v>0.16295888655951554</v>
      </c>
      <c r="AD15" s="4">
        <v>0.20729227761485822</v>
      </c>
      <c r="AE15" s="4">
        <v>7.5808923456480354E-2</v>
      </c>
      <c r="AF15" s="4">
        <v>0.15689904609948335</v>
      </c>
      <c r="AG15" s="5">
        <v>0.11234292786963594</v>
      </c>
    </row>
    <row r="16" spans="1:33" ht="13.25" x14ac:dyDescent="0.25">
      <c r="A16">
        <v>2000</v>
      </c>
      <c r="B16" s="4">
        <v>0.12968486041709018</v>
      </c>
      <c r="C16" s="4">
        <v>0.12247886324032442</v>
      </c>
      <c r="D16" s="4">
        <v>0.1953020134593515</v>
      </c>
      <c r="E16" s="4">
        <v>9.7950869356605866E-2</v>
      </c>
      <c r="F16" s="4">
        <v>0.22107070826007577</v>
      </c>
      <c r="G16" s="4">
        <v>0.25271062448364723</v>
      </c>
      <c r="H16" s="4">
        <v>0.21047688267790585</v>
      </c>
      <c r="I16" s="4">
        <v>0.22671356641503232</v>
      </c>
      <c r="J16" s="4">
        <v>0.11025431666920543</v>
      </c>
      <c r="K16" s="4">
        <v>0.27366917857591022</v>
      </c>
      <c r="L16" s="4">
        <v>-0.50728162737537219</v>
      </c>
      <c r="M16" s="4">
        <v>0.22039102563375076</v>
      </c>
      <c r="N16" s="4">
        <v>7.4224933916902047E-2</v>
      </c>
      <c r="O16" s="4">
        <v>0.24903550098032903</v>
      </c>
      <c r="P16" s="4">
        <v>3.3969264216001015E-2</v>
      </c>
      <c r="Q16" s="4">
        <v>0.1850705939629991</v>
      </c>
      <c r="R16" s="4">
        <v>0.21868663022525436</v>
      </c>
      <c r="S16" s="4">
        <v>6.9496785947984974E-2</v>
      </c>
      <c r="T16" s="4">
        <v>5.0381947072327724E-2</v>
      </c>
      <c r="U16" s="4">
        <v>0.10336084527586838</v>
      </c>
      <c r="V16" s="4">
        <v>7.9856060636641635E-2</v>
      </c>
      <c r="W16" s="4">
        <v>0.21286594568088135</v>
      </c>
      <c r="X16" s="4">
        <v>2.5240131327520864E-2</v>
      </c>
      <c r="Y16" s="4">
        <v>0.15881325901632873</v>
      </c>
      <c r="Z16" s="4">
        <v>0.10502427290294027</v>
      </c>
      <c r="AA16" s="4">
        <v>0.18816668244462703</v>
      </c>
      <c r="AB16" s="4">
        <v>2.5934414158247533E-2</v>
      </c>
      <c r="AC16" s="4">
        <v>0.13625818466610207</v>
      </c>
      <c r="AD16" s="4">
        <v>0.19116472003098312</v>
      </c>
      <c r="AE16" s="4">
        <v>7.7187961557916032E-2</v>
      </c>
      <c r="AF16" s="4">
        <v>0.11925267663771802</v>
      </c>
      <c r="AG16" s="5">
        <v>0.10620992334990514</v>
      </c>
    </row>
    <row r="17" spans="1:33" ht="13.25" x14ac:dyDescent="0.25">
      <c r="A17">
        <v>2001</v>
      </c>
      <c r="B17" s="4">
        <v>0.10410266239197102</v>
      </c>
      <c r="C17" s="4">
        <v>0.12798739090857555</v>
      </c>
      <c r="D17" s="4">
        <v>0.22395357201611191</v>
      </c>
      <c r="E17" s="4">
        <v>9.0711556783279343E-2</v>
      </c>
      <c r="F17" s="4">
        <v>0.21744015282214568</v>
      </c>
      <c r="G17" s="4">
        <v>0.25744280871211872</v>
      </c>
      <c r="H17" s="4">
        <v>0.15715652216218309</v>
      </c>
      <c r="I17" s="4">
        <v>0.26545273024268884</v>
      </c>
      <c r="J17" s="4">
        <v>0.10776570787024199</v>
      </c>
      <c r="K17" s="4">
        <v>0.16579681140680969</v>
      </c>
      <c r="L17" s="4">
        <v>-0.18604804164702507</v>
      </c>
      <c r="M17" s="4">
        <v>0.16410090860358773</v>
      </c>
      <c r="N17" s="4">
        <v>5.9186998032545478E-2</v>
      </c>
      <c r="O17" s="4">
        <v>0.22520448574809565</v>
      </c>
      <c r="P17" s="4">
        <v>2.8725262624300703E-2</v>
      </c>
      <c r="Q17" s="4">
        <v>0.24177746429201202</v>
      </c>
      <c r="R17" s="4">
        <v>0.19560500442379217</v>
      </c>
      <c r="S17" s="4">
        <v>2.5344170987555485E-2</v>
      </c>
      <c r="T17" s="4">
        <v>5.0149529070542091E-2</v>
      </c>
      <c r="U17" s="4">
        <v>4.8386672440519009E-2</v>
      </c>
      <c r="V17" s="4">
        <v>0.13910963275006158</v>
      </c>
      <c r="W17" s="4">
        <v>0.18665091276866455</v>
      </c>
      <c r="X17" s="4">
        <v>-7.2617869991286497E-3</v>
      </c>
      <c r="Y17" s="4">
        <v>0.1272884640949897</v>
      </c>
      <c r="Z17" s="4">
        <v>0.10848379514660507</v>
      </c>
      <c r="AA17" s="4">
        <v>0.13640929951769215</v>
      </c>
      <c r="AB17" s="4">
        <v>-9.8088972806226176E-3</v>
      </c>
      <c r="AC17" s="4">
        <v>0.14326109452147953</v>
      </c>
      <c r="AD17" s="4">
        <v>0.16962060995546532</v>
      </c>
      <c r="AE17" s="4">
        <v>6.2303960659223813E-2</v>
      </c>
      <c r="AF17" s="4">
        <v>0.12630211019796311</v>
      </c>
      <c r="AG17" s="5">
        <v>9.9803768706205859E-2</v>
      </c>
    </row>
    <row r="18" spans="1:33" ht="13.25" x14ac:dyDescent="0.25">
      <c r="A18">
        <v>2002</v>
      </c>
      <c r="B18" s="4">
        <v>0.10922405789186239</v>
      </c>
      <c r="C18" s="4">
        <v>0.12198914862914868</v>
      </c>
      <c r="D18" s="4">
        <v>0.28183750299669935</v>
      </c>
      <c r="E18" s="4">
        <v>8.860840304145004E-2</v>
      </c>
      <c r="F18" s="4">
        <v>0.24847606482791187</v>
      </c>
      <c r="G18" s="4">
        <v>0.26322765434999423</v>
      </c>
      <c r="H18" s="4">
        <v>0.13773416921445666</v>
      </c>
      <c r="I18" s="4">
        <v>0.25564954756151437</v>
      </c>
      <c r="J18" s="4">
        <v>0.1224712872352248</v>
      </c>
      <c r="K18" s="4">
        <v>0.21889487084687648</v>
      </c>
      <c r="L18" s="4">
        <v>0.34443015466049137</v>
      </c>
      <c r="M18" s="4">
        <v>0.14321349157613375</v>
      </c>
      <c r="N18" s="4">
        <v>4.0418858540891368E-2</v>
      </c>
      <c r="O18" s="4">
        <v>0.25810339899334478</v>
      </c>
      <c r="P18" s="4">
        <v>3.0894779891735093E-2</v>
      </c>
      <c r="Q18" s="4">
        <v>0.35130367867867873</v>
      </c>
      <c r="R18" s="4">
        <v>0.20756607080118294</v>
      </c>
      <c r="S18" s="4">
        <v>4.7959927140255043E-3</v>
      </c>
      <c r="T18" s="4">
        <v>5.8868830981047712E-2</v>
      </c>
      <c r="U18" s="4">
        <v>5.4775033727761782E-2</v>
      </c>
      <c r="V18" s="4">
        <v>5.1154217705242019E-2</v>
      </c>
      <c r="W18" s="4">
        <v>0.20494969250892145</v>
      </c>
      <c r="X18" s="4">
        <v>1.7549020254304149E-2</v>
      </c>
      <c r="Y18" s="4">
        <v>0.13357548967596483</v>
      </c>
      <c r="Z18" s="4">
        <v>0.10771544323362665</v>
      </c>
      <c r="AA18" s="4">
        <v>0.10671582986701039</v>
      </c>
      <c r="AB18" s="4">
        <v>-8.8237411518703388E-3</v>
      </c>
      <c r="AC18" s="4">
        <v>0.16458112542763639</v>
      </c>
      <c r="AD18" s="4">
        <v>0.20318829220831866</v>
      </c>
      <c r="AE18" s="4">
        <v>6.5905834852826223E-2</v>
      </c>
      <c r="AF18" s="4">
        <v>0.11232219275139774</v>
      </c>
      <c r="AG18" s="5">
        <v>0.10162344492170416</v>
      </c>
    </row>
    <row r="19" spans="1:33" ht="13.25" x14ac:dyDescent="0.25">
      <c r="A19">
        <v>2003</v>
      </c>
      <c r="B19" s="4">
        <v>9.7573116182294292E-2</v>
      </c>
      <c r="C19" s="4">
        <v>0.10424772107539937</v>
      </c>
      <c r="D19" s="4">
        <v>0.29296422263308319</v>
      </c>
      <c r="E19" s="4">
        <v>9.4164218669582606E-2</v>
      </c>
      <c r="F19" s="4">
        <v>0.25609243200970239</v>
      </c>
      <c r="G19" s="4">
        <v>0.26152474619716654</v>
      </c>
      <c r="H19" s="4">
        <v>0.13964650902985487</v>
      </c>
      <c r="I19" s="4">
        <v>0.23629620523353997</v>
      </c>
      <c r="J19" s="4">
        <v>0.12870980175948907</v>
      </c>
      <c r="K19" s="4">
        <v>0.16636853116094083</v>
      </c>
      <c r="L19" s="4">
        <v>0.39864172419460875</v>
      </c>
      <c r="M19" s="4">
        <v>0.15132028039766598</v>
      </c>
      <c r="N19" s="4">
        <v>2.8368157499733353E-2</v>
      </c>
      <c r="O19" s="4">
        <v>0.27808851255837752</v>
      </c>
      <c r="P19" s="4">
        <v>3.0426198688002306E-2</v>
      </c>
      <c r="Q19" s="4">
        <v>0.31230466489176989</v>
      </c>
      <c r="R19" s="4">
        <v>0.19334515352188159</v>
      </c>
      <c r="S19" s="4">
        <v>5.7101026027124364E-2</v>
      </c>
      <c r="T19" s="4">
        <v>7.7697880585598594E-2</v>
      </c>
      <c r="U19" s="4">
        <v>3.3219466367305064E-2</v>
      </c>
      <c r="V19" s="4">
        <v>0.17953722654013896</v>
      </c>
      <c r="W19" s="4">
        <v>0.18329184290451292</v>
      </c>
      <c r="X19" s="4">
        <v>-8.7780214826505155E-3</v>
      </c>
      <c r="Y19" s="4">
        <v>0.11119833719204868</v>
      </c>
      <c r="Z19" s="4">
        <v>0.1133055723415186</v>
      </c>
      <c r="AA19" s="4">
        <v>0.10196402346697458</v>
      </c>
      <c r="AB19" s="4">
        <v>3.7245790654433716E-2</v>
      </c>
      <c r="AC19" s="4">
        <v>0.22427295685691068</v>
      </c>
      <c r="AD19" s="4">
        <v>0.18025825427731057</v>
      </c>
      <c r="AE19" s="4">
        <v>9.2534989727786329E-2</v>
      </c>
      <c r="AF19" s="4">
        <v>0.15407897702824885</v>
      </c>
      <c r="AG19" s="5">
        <v>0.10902810465029539</v>
      </c>
    </row>
    <row r="20" spans="1:33" ht="13.25" x14ac:dyDescent="0.25">
      <c r="A20">
        <v>2004</v>
      </c>
      <c r="B20" s="4">
        <v>0.11158958211603805</v>
      </c>
      <c r="C20" s="4">
        <v>8.7002371087107483E-2</v>
      </c>
      <c r="D20" s="4">
        <v>0.26851499285264413</v>
      </c>
      <c r="E20" s="4">
        <v>0.12207706420212402</v>
      </c>
      <c r="F20" s="4">
        <v>0.30663928990872119</v>
      </c>
      <c r="G20" s="4">
        <v>0.20247459133761594</v>
      </c>
      <c r="H20" s="4">
        <v>0.19309068201277174</v>
      </c>
      <c r="I20" s="4">
        <v>0.1727797171949676</v>
      </c>
      <c r="J20" s="4">
        <v>0.12928939377486978</v>
      </c>
      <c r="K20" s="4">
        <v>0.17003917379644903</v>
      </c>
      <c r="L20" s="4">
        <v>0.41073629651361782</v>
      </c>
      <c r="M20" s="4">
        <v>0.20714344113360603</v>
      </c>
      <c r="N20" s="4">
        <v>5.6778239761402331E-2</v>
      </c>
      <c r="O20" s="4">
        <v>0.31473139205307121</v>
      </c>
      <c r="P20" s="4">
        <v>3.181113955257335E-2</v>
      </c>
      <c r="Q20" s="4">
        <v>0.32647932162185628</v>
      </c>
      <c r="R20" s="4">
        <v>0.23829594869876661</v>
      </c>
      <c r="S20" s="4">
        <v>8.2003726209409294E-2</v>
      </c>
      <c r="T20" s="4">
        <v>9.3331834728795013E-2</v>
      </c>
      <c r="U20" s="4">
        <v>7.1126152425792288E-2</v>
      </c>
      <c r="V20" s="4">
        <v>0.27515224939642047</v>
      </c>
      <c r="W20" s="4">
        <v>0.20427972665105293</v>
      </c>
      <c r="X20" s="4">
        <v>8.932841678446922E-2</v>
      </c>
      <c r="Y20" s="4">
        <v>0.1194667562067824</v>
      </c>
      <c r="Z20" s="4">
        <v>0.11998657146760185</v>
      </c>
      <c r="AA20" s="4">
        <v>7.9293975069252107E-2</v>
      </c>
      <c r="AB20" s="4">
        <v>4.8569074098367575E-2</v>
      </c>
      <c r="AC20" s="4">
        <v>0.26170108968008859</v>
      </c>
      <c r="AD20" s="4">
        <v>0.15996044441419152</v>
      </c>
      <c r="AE20" s="4">
        <v>8.5580246913580238E-2</v>
      </c>
      <c r="AF20" s="4">
        <v>0.25666931194163706</v>
      </c>
      <c r="AG20" s="5">
        <v>0.12077839618684046</v>
      </c>
    </row>
    <row r="21" spans="1:33" ht="13.25" x14ac:dyDescent="0.25">
      <c r="A21">
        <v>2005</v>
      </c>
      <c r="B21" s="4">
        <v>0.10661754378354547</v>
      </c>
      <c r="C21" s="4">
        <v>7.998844372450932E-2</v>
      </c>
      <c r="D21" s="4">
        <v>0.27162997321195226</v>
      </c>
      <c r="E21" s="4">
        <v>0.11890665016727466</v>
      </c>
      <c r="F21" s="4">
        <v>0.31471470192838058</v>
      </c>
      <c r="G21" s="4">
        <v>0.20386148671992854</v>
      </c>
      <c r="H21" s="4">
        <v>0.22833649036472317</v>
      </c>
      <c r="I21" s="4">
        <v>0.22853857140847134</v>
      </c>
      <c r="J21" s="4">
        <v>0.12430598212826451</v>
      </c>
      <c r="K21" s="4">
        <v>0.21018878714530395</v>
      </c>
      <c r="L21" s="4">
        <v>0.54772933258252232</v>
      </c>
      <c r="M21" s="4">
        <v>0.17121686349838769</v>
      </c>
      <c r="N21" s="4">
        <v>7.0668420891542821E-2</v>
      </c>
      <c r="O21" s="4">
        <v>0.3713060502201066</v>
      </c>
      <c r="P21" s="4">
        <v>2.2244057435734009E-2</v>
      </c>
      <c r="Q21" s="4">
        <v>0.3268107758421514</v>
      </c>
      <c r="R21" s="4">
        <v>0.25866133198547692</v>
      </c>
      <c r="S21" s="4">
        <v>0.10807172298215419</v>
      </c>
      <c r="T21" s="4">
        <v>0.12759741544141895</v>
      </c>
      <c r="U21" s="4">
        <v>8.4764893539908376E-2</v>
      </c>
      <c r="V21" s="4">
        <v>0.31142649827922286</v>
      </c>
      <c r="W21" s="4">
        <v>0.1959300946020614</v>
      </c>
      <c r="X21" s="4">
        <v>0.13180301557098112</v>
      </c>
      <c r="Y21" s="4">
        <v>0.1012751748515507</v>
      </c>
      <c r="Z21" s="4">
        <v>0.11600421847310212</v>
      </c>
      <c r="AA21" s="4">
        <v>6.6152411988141813E-2</v>
      </c>
      <c r="AB21" s="4">
        <v>6.8858231650489474E-2</v>
      </c>
      <c r="AC21" s="4">
        <v>0.25633281653746781</v>
      </c>
      <c r="AD21" s="4">
        <v>0.16043372839473466</v>
      </c>
      <c r="AE21" s="4">
        <v>7.469540057866908E-2</v>
      </c>
      <c r="AF21" s="4">
        <v>0.2185161618787847</v>
      </c>
      <c r="AG21" s="5">
        <v>0.12249752999348669</v>
      </c>
    </row>
    <row r="22" spans="1:33" ht="13.25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33" ht="13" x14ac:dyDescent="0.3">
      <c r="A23" s="11" t="s">
        <v>33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33" ht="13" x14ac:dyDescent="0.3"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15</v>
      </c>
      <c r="Q24" t="s">
        <v>16</v>
      </c>
      <c r="R24" t="s">
        <v>17</v>
      </c>
      <c r="S24" t="s">
        <v>18</v>
      </c>
      <c r="T24" t="s">
        <v>19</v>
      </c>
      <c r="U24" t="s">
        <v>20</v>
      </c>
      <c r="V24" t="s">
        <v>21</v>
      </c>
      <c r="W24" t="s">
        <v>22</v>
      </c>
      <c r="X24" t="s">
        <v>23</v>
      </c>
      <c r="Y24" t="s">
        <v>24</v>
      </c>
      <c r="Z24" t="s">
        <v>25</v>
      </c>
      <c r="AA24" t="s">
        <v>26</v>
      </c>
      <c r="AB24" t="s">
        <v>27</v>
      </c>
      <c r="AC24" t="s">
        <v>28</v>
      </c>
      <c r="AD24" t="s">
        <v>29</v>
      </c>
      <c r="AE24" t="s">
        <v>30</v>
      </c>
      <c r="AF24" t="s">
        <v>31</v>
      </c>
      <c r="AG24" s="2" t="s">
        <v>32</v>
      </c>
    </row>
    <row r="25" spans="1:33" ht="13.25" x14ac:dyDescent="0.25">
      <c r="A25" s="3">
        <v>1987</v>
      </c>
      <c r="B25" s="4">
        <f>B3-$AG3</f>
        <v>-1.7839456236219436E-2</v>
      </c>
      <c r="C25" s="4">
        <f t="shared" ref="C25:AG25" si="0">C3-$AG3</f>
        <v>1.6475518850166571E-2</v>
      </c>
      <c r="D25" s="4">
        <f t="shared" si="0"/>
        <v>0.1023848206739376</v>
      </c>
      <c r="E25" s="4">
        <f t="shared" si="0"/>
        <v>2.3305952853870104E-3</v>
      </c>
      <c r="F25" s="4">
        <f t="shared" si="0"/>
        <v>0.1064007112798916</v>
      </c>
      <c r="G25" s="4">
        <f t="shared" si="0"/>
        <v>0.10246844556521335</v>
      </c>
      <c r="H25" s="4">
        <f t="shared" si="0"/>
        <v>5.3759404765797228E-2</v>
      </c>
      <c r="I25" s="4">
        <f t="shared" si="0"/>
        <v>7.0051236315956847E-2</v>
      </c>
      <c r="J25" s="4">
        <f t="shared" si="0"/>
        <v>-2.190584941115431E-3</v>
      </c>
      <c r="K25" s="4">
        <f t="shared" si="0"/>
        <v>0.24804152117595996</v>
      </c>
      <c r="L25" s="4">
        <f t="shared" si="0"/>
        <v>0.3711612657312291</v>
      </c>
      <c r="M25" s="4">
        <f t="shared" si="0"/>
        <v>-6.6219442547426371E-2</v>
      </c>
      <c r="N25" s="4">
        <f t="shared" si="0"/>
        <v>4.2443854417588273E-3</v>
      </c>
      <c r="O25" s="4">
        <f t="shared" si="0"/>
        <v>-2.5519295839889322E-2</v>
      </c>
      <c r="P25" s="4">
        <f t="shared" si="0"/>
        <v>-6.4721647370768659E-2</v>
      </c>
      <c r="Q25" s="4">
        <f t="shared" si="0"/>
        <v>0.13852560922217788</v>
      </c>
      <c r="R25" s="4">
        <f t="shared" si="0"/>
        <v>-3.1186375844094963E-2</v>
      </c>
      <c r="S25" s="4">
        <f t="shared" si="0"/>
        <v>-8.6666672127247893E-2</v>
      </c>
      <c r="T25" s="4">
        <f t="shared" si="0"/>
        <v>-7.7569294592319565E-2</v>
      </c>
      <c r="U25" s="4">
        <f t="shared" si="0"/>
        <v>6.7018069861524837E-3</v>
      </c>
      <c r="V25" s="4">
        <f t="shared" si="0"/>
        <v>-3.5516717280409046E-2</v>
      </c>
      <c r="W25" s="4">
        <f t="shared" si="0"/>
        <v>8.5080072058094633E-2</v>
      </c>
      <c r="X25" s="4">
        <f t="shared" si="0"/>
        <v>-0.111381768002436</v>
      </c>
      <c r="Y25" s="4">
        <f t="shared" si="0"/>
        <v>0.15377744949847033</v>
      </c>
      <c r="Z25" s="4">
        <f t="shared" si="0"/>
        <v>-6.057818102700549E-3</v>
      </c>
      <c r="AA25" s="4">
        <f t="shared" si="0"/>
        <v>0.4412218957553864</v>
      </c>
      <c r="AB25" s="4">
        <f t="shared" si="0"/>
        <v>-5.9058483337615431E-2</v>
      </c>
      <c r="AC25" s="4">
        <f t="shared" si="0"/>
        <v>2.0916299203036781E-2</v>
      </c>
      <c r="AD25" s="4">
        <f t="shared" si="0"/>
        <v>8.1023466555880524E-3</v>
      </c>
      <c r="AE25" s="4">
        <f t="shared" si="0"/>
        <v>-5.3298985936955437E-2</v>
      </c>
      <c r="AF25" s="4">
        <f t="shared" si="0"/>
        <v>8.5971761979198244E-2</v>
      </c>
      <c r="AG25" s="4">
        <f t="shared" si="0"/>
        <v>0</v>
      </c>
    </row>
    <row r="26" spans="1:33" ht="13.25" x14ac:dyDescent="0.25">
      <c r="A26">
        <v>1988</v>
      </c>
      <c r="B26" s="4">
        <f t="shared" ref="B26:AG33" si="1">B4-$AG4</f>
        <v>-3.6584241341212825E-2</v>
      </c>
      <c r="C26" s="4">
        <f t="shared" si="1"/>
        <v>1.8838631062836161E-2</v>
      </c>
      <c r="D26" s="4">
        <f t="shared" si="1"/>
        <v>7.1415196898434535E-2</v>
      </c>
      <c r="E26" s="4">
        <f t="shared" si="1"/>
        <v>-3.7659354764479069E-3</v>
      </c>
      <c r="F26" s="4">
        <f t="shared" si="1"/>
        <v>0.13302867195238677</v>
      </c>
      <c r="G26" s="4">
        <f t="shared" si="1"/>
        <v>0.15378570105101519</v>
      </c>
      <c r="H26" s="4">
        <f t="shared" si="1"/>
        <v>6.1088266086009313E-2</v>
      </c>
      <c r="I26" s="4">
        <f t="shared" si="1"/>
        <v>7.6060704369035059E-2</v>
      </c>
      <c r="J26" s="4">
        <f t="shared" si="1"/>
        <v>-3.3922268643121756E-4</v>
      </c>
      <c r="K26" s="4">
        <f t="shared" si="1"/>
        <v>0.16578845608814219</v>
      </c>
      <c r="L26" s="4">
        <f t="shared" si="1"/>
        <v>0.38341989280818867</v>
      </c>
      <c r="M26" s="4">
        <f t="shared" si="1"/>
        <v>4.2306125989753945E-2</v>
      </c>
      <c r="N26" s="4">
        <f t="shared" si="1"/>
        <v>6.8307017760441763E-2</v>
      </c>
      <c r="O26" s="4">
        <f t="shared" si="1"/>
        <v>1.4219267768558558E-2</v>
      </c>
      <c r="P26" s="4">
        <f t="shared" si="1"/>
        <v>-7.4603775388935784E-2</v>
      </c>
      <c r="Q26" s="4">
        <f t="shared" si="1"/>
        <v>0.12625131567552392</v>
      </c>
      <c r="R26" s="4">
        <f t="shared" si="1"/>
        <v>-5.5495852631881573E-2</v>
      </c>
      <c r="S26" s="4">
        <f t="shared" si="1"/>
        <v>-9.3797314500670692E-2</v>
      </c>
      <c r="T26" s="4">
        <f t="shared" si="1"/>
        <v>-7.7142691802645061E-2</v>
      </c>
      <c r="U26" s="4">
        <f t="shared" si="1"/>
        <v>4.7806744942303608E-2</v>
      </c>
      <c r="V26" s="4">
        <f t="shared" si="1"/>
        <v>5.4090339666503229E-2</v>
      </c>
      <c r="W26" s="4">
        <f t="shared" si="1"/>
        <v>6.2715057361519305E-2</v>
      </c>
      <c r="X26" s="4">
        <f t="shared" si="1"/>
        <v>-7.2438717292310828E-2</v>
      </c>
      <c r="Y26" s="4">
        <f t="shared" si="1"/>
        <v>0.11569227261028359</v>
      </c>
      <c r="Z26" s="4">
        <f t="shared" si="1"/>
        <v>-6.5645317428935229E-3</v>
      </c>
      <c r="AA26" s="4">
        <f t="shared" si="1"/>
        <v>0.48199476372881878</v>
      </c>
      <c r="AB26" s="4">
        <f t="shared" si="1"/>
        <v>-7.109029331393793E-2</v>
      </c>
      <c r="AC26" s="4">
        <f t="shared" si="1"/>
        <v>2.6310863901350706E-2</v>
      </c>
      <c r="AD26" s="4">
        <f t="shared" si="1"/>
        <v>9.6847459314089029E-3</v>
      </c>
      <c r="AE26" s="4">
        <f t="shared" si="1"/>
        <v>-5.721190308306208E-2</v>
      </c>
      <c r="AF26" s="4">
        <f t="shared" si="1"/>
        <v>5.2025891748336828E-2</v>
      </c>
      <c r="AG26" s="4">
        <f t="shared" si="1"/>
        <v>0</v>
      </c>
    </row>
    <row r="27" spans="1:33" ht="13.25" x14ac:dyDescent="0.25">
      <c r="A27">
        <v>1989</v>
      </c>
      <c r="B27" s="4">
        <f t="shared" si="1"/>
        <v>-4.4283648961480564E-2</v>
      </c>
      <c r="C27" s="4">
        <f t="shared" si="1"/>
        <v>5.2322056179427839E-2</v>
      </c>
      <c r="D27" s="4">
        <f t="shared" si="1"/>
        <v>5.4165832098896888E-2</v>
      </c>
      <c r="E27" s="4">
        <f t="shared" si="1"/>
        <v>-4.9938293374269804E-3</v>
      </c>
      <c r="F27" s="4">
        <f t="shared" si="1"/>
        <v>0.14810405796868603</v>
      </c>
      <c r="G27" s="4">
        <f t="shared" si="1"/>
        <v>0.19125489595511294</v>
      </c>
      <c r="H27" s="4">
        <f t="shared" si="1"/>
        <v>6.0057925900763753E-2</v>
      </c>
      <c r="I27" s="4">
        <f t="shared" si="1"/>
        <v>8.762918451574489E-2</v>
      </c>
      <c r="J27" s="4">
        <f t="shared" si="1"/>
        <v>-9.2662801991129223E-3</v>
      </c>
      <c r="K27" s="4">
        <f t="shared" si="1"/>
        <v>0.18372348278712167</v>
      </c>
      <c r="L27" s="4">
        <f t="shared" si="1"/>
        <v>0.39199447648600683</v>
      </c>
      <c r="M27" s="4">
        <f t="shared" si="1"/>
        <v>7.6162085100022869E-2</v>
      </c>
      <c r="N27" s="4">
        <f t="shared" si="1"/>
        <v>9.1371188029288175E-2</v>
      </c>
      <c r="O27" s="4">
        <f t="shared" si="1"/>
        <v>2.7799672358009786E-2</v>
      </c>
      <c r="P27" s="4">
        <f t="shared" si="1"/>
        <v>-6.8766897323504689E-2</v>
      </c>
      <c r="Q27" s="4">
        <f t="shared" si="1"/>
        <v>0.21135059642546603</v>
      </c>
      <c r="R27" s="4">
        <f t="shared" si="1"/>
        <v>-4.0747325371704293E-2</v>
      </c>
      <c r="S27" s="4">
        <f t="shared" si="1"/>
        <v>-9.1361199125069847E-2</v>
      </c>
      <c r="T27" s="4">
        <f t="shared" si="1"/>
        <v>-8.0455818961323353E-2</v>
      </c>
      <c r="U27" s="4">
        <f t="shared" si="1"/>
        <v>3.628924073737988E-2</v>
      </c>
      <c r="V27" s="4">
        <f t="shared" si="1"/>
        <v>2.8865632675055264E-2</v>
      </c>
      <c r="W27" s="4">
        <f t="shared" si="1"/>
        <v>0.10591585368820353</v>
      </c>
      <c r="X27" s="4">
        <f t="shared" si="1"/>
        <v>-6.324761964922529E-2</v>
      </c>
      <c r="Y27" s="4">
        <f t="shared" si="1"/>
        <v>0.15572294371630327</v>
      </c>
      <c r="Z27" s="4">
        <f t="shared" si="1"/>
        <v>-1.1740139847272221E-2</v>
      </c>
      <c r="AA27" s="4">
        <f t="shared" si="1"/>
        <v>0.47559510820762307</v>
      </c>
      <c r="AB27" s="4">
        <f t="shared" si="1"/>
        <v>-7.6960503741950931E-2</v>
      </c>
      <c r="AC27" s="4">
        <f t="shared" si="1"/>
        <v>4.2837571583106554E-2</v>
      </c>
      <c r="AD27" s="4">
        <f t="shared" si="1"/>
        <v>1.3719011837362044E-2</v>
      </c>
      <c r="AE27" s="4">
        <f t="shared" si="1"/>
        <v>-5.9097823146578049E-2</v>
      </c>
      <c r="AF27" s="4">
        <f t="shared" si="1"/>
        <v>6.5703403045845848E-2</v>
      </c>
      <c r="AG27" s="4">
        <f t="shared" si="1"/>
        <v>0</v>
      </c>
    </row>
    <row r="28" spans="1:33" ht="13.25" x14ac:dyDescent="0.25">
      <c r="A28">
        <v>1990</v>
      </c>
      <c r="B28" s="4">
        <f t="shared" si="1"/>
        <v>-4.9813114172873617E-2</v>
      </c>
      <c r="C28" s="4">
        <f t="shared" si="1"/>
        <v>9.5927764187855161E-2</v>
      </c>
      <c r="D28" s="4">
        <f t="shared" si="1"/>
        <v>5.9026572452857543E-2</v>
      </c>
      <c r="E28" s="4">
        <f t="shared" si="1"/>
        <v>3.7205117484464811E-3</v>
      </c>
      <c r="F28" s="4">
        <f t="shared" si="1"/>
        <v>0.15299040310223555</v>
      </c>
      <c r="G28" s="4">
        <f t="shared" si="1"/>
        <v>0.15963203936979437</v>
      </c>
      <c r="H28" s="4">
        <f t="shared" si="1"/>
        <v>4.9486548155664736E-2</v>
      </c>
      <c r="I28" s="4">
        <f t="shared" si="1"/>
        <v>0.13019758488825595</v>
      </c>
      <c r="J28" s="4">
        <f t="shared" si="1"/>
        <v>-5.0216767716531885E-3</v>
      </c>
      <c r="K28" s="4">
        <f t="shared" si="1"/>
        <v>0.11347906521462113</v>
      </c>
      <c r="L28" s="4">
        <f t="shared" si="1"/>
        <v>0.40851775941954716</v>
      </c>
      <c r="M28" s="4">
        <f t="shared" si="1"/>
        <v>8.2181082896809324E-2</v>
      </c>
      <c r="N28" s="4">
        <f t="shared" si="1"/>
        <v>8.3439965949032177E-2</v>
      </c>
      <c r="O28" s="4">
        <f t="shared" si="1"/>
        <v>7.8609715874434785E-2</v>
      </c>
      <c r="P28" s="4">
        <f t="shared" si="1"/>
        <v>-7.7379383469519641E-2</v>
      </c>
      <c r="Q28" s="4">
        <f t="shared" si="1"/>
        <v>9.5535207572000999E-2</v>
      </c>
      <c r="R28" s="4">
        <f t="shared" si="1"/>
        <v>-3.8790009852471212E-2</v>
      </c>
      <c r="S28" s="4">
        <f t="shared" si="1"/>
        <v>-7.2463135570467546E-2</v>
      </c>
      <c r="T28" s="4">
        <f t="shared" si="1"/>
        <v>-8.1844267922808564E-2</v>
      </c>
      <c r="U28" s="4">
        <f t="shared" si="1"/>
        <v>5.8339541930405026E-4</v>
      </c>
      <c r="V28" s="4">
        <f t="shared" si="1"/>
        <v>3.279251612921151E-2</v>
      </c>
      <c r="W28" s="4">
        <f t="shared" si="1"/>
        <v>5.4271738073411388E-2</v>
      </c>
      <c r="X28" s="4">
        <f t="shared" si="1"/>
        <v>-8.5666228892853233E-2</v>
      </c>
      <c r="Y28" s="4">
        <f t="shared" si="1"/>
        <v>0.11737341623940666</v>
      </c>
      <c r="Z28" s="4">
        <f t="shared" si="1"/>
        <v>-8.8780508064226771E-3</v>
      </c>
      <c r="AA28" s="4">
        <f t="shared" si="1"/>
        <v>0.4945244362507828</v>
      </c>
      <c r="AB28" s="4">
        <f t="shared" si="1"/>
        <v>-5.9702033280066263E-2</v>
      </c>
      <c r="AC28" s="4">
        <f t="shared" si="1"/>
        <v>2.9433736335740215E-2</v>
      </c>
      <c r="AD28" s="4">
        <f t="shared" si="1"/>
        <v>6.5406339112238088E-3</v>
      </c>
      <c r="AE28" s="4">
        <f t="shared" si="1"/>
        <v>-5.9917552094031344E-2</v>
      </c>
      <c r="AF28" s="4">
        <f t="shared" si="1"/>
        <v>3.2054912109426334E-2</v>
      </c>
      <c r="AG28" s="4">
        <f t="shared" si="1"/>
        <v>0</v>
      </c>
    </row>
    <row r="29" spans="1:33" ht="13.25" x14ac:dyDescent="0.25">
      <c r="A29">
        <v>1991</v>
      </c>
      <c r="B29" s="4">
        <f t="shared" si="1"/>
        <v>-3.9404662970880092E-2</v>
      </c>
      <c r="C29" s="4">
        <f t="shared" si="1"/>
        <v>0.10309330591059093</v>
      </c>
      <c r="D29" s="4">
        <f t="shared" si="1"/>
        <v>9.0627355051319469E-2</v>
      </c>
      <c r="E29" s="4">
        <f t="shared" si="1"/>
        <v>1.1099071018375734E-2</v>
      </c>
      <c r="F29" s="4">
        <f t="shared" si="1"/>
        <v>0.13837686558039136</v>
      </c>
      <c r="G29" s="4">
        <f t="shared" si="1"/>
        <v>0.14408421781768524</v>
      </c>
      <c r="H29" s="4">
        <f t="shared" si="1"/>
        <v>1.5931299445171687E-2</v>
      </c>
      <c r="I29" s="4">
        <f t="shared" si="1"/>
        <v>0.12811401498541589</v>
      </c>
      <c r="J29" s="4">
        <f t="shared" si="1"/>
        <v>-1.0135828805157648E-2</v>
      </c>
      <c r="K29" s="4">
        <f t="shared" si="1"/>
        <v>0.11187742482773608</v>
      </c>
      <c r="L29" s="4">
        <f t="shared" si="1"/>
        <v>0.35232114653474955</v>
      </c>
      <c r="M29" s="4">
        <f t="shared" si="1"/>
        <v>0.10177237194094957</v>
      </c>
      <c r="N29" s="4">
        <f t="shared" si="1"/>
        <v>9.8946801284460206E-3</v>
      </c>
      <c r="O29" s="4">
        <f t="shared" si="1"/>
        <v>8.6415133345997319E-2</v>
      </c>
      <c r="P29" s="4">
        <f t="shared" si="1"/>
        <v>-7.6824263595904094E-2</v>
      </c>
      <c r="Q29" s="4">
        <f t="shared" si="1"/>
        <v>7.4400660554355985E-2</v>
      </c>
      <c r="R29" s="4">
        <f t="shared" si="1"/>
        <v>-5.4144685256896023E-2</v>
      </c>
      <c r="S29" s="4">
        <f t="shared" si="1"/>
        <v>-9.8546227615693399E-2</v>
      </c>
      <c r="T29" s="4">
        <f t="shared" si="1"/>
        <v>-7.0127094928744332E-2</v>
      </c>
      <c r="U29" s="4">
        <f t="shared" si="1"/>
        <v>-2.0964290625771362E-2</v>
      </c>
      <c r="V29" s="4">
        <f t="shared" si="1"/>
        <v>-1.1055472228174323E-2</v>
      </c>
      <c r="W29" s="4">
        <f t="shared" si="1"/>
        <v>8.5899061337682603E-2</v>
      </c>
      <c r="X29" s="4">
        <f t="shared" si="1"/>
        <v>-9.7623764435606233E-2</v>
      </c>
      <c r="Y29" s="4">
        <f t="shared" si="1"/>
        <v>0.10598785051918369</v>
      </c>
      <c r="Z29" s="4">
        <f t="shared" si="1"/>
        <v>-6.5385425608490422E-3</v>
      </c>
      <c r="AA29" s="4">
        <f t="shared" si="1"/>
        <v>0.45767173832808433</v>
      </c>
      <c r="AB29" s="4">
        <f t="shared" si="1"/>
        <v>-5.3193748042668118E-2</v>
      </c>
      <c r="AC29" s="4">
        <f t="shared" si="1"/>
        <v>7.0789877232309062E-2</v>
      </c>
      <c r="AD29" s="4">
        <f t="shared" si="1"/>
        <v>1.3091185507557029E-2</v>
      </c>
      <c r="AE29" s="4">
        <f t="shared" si="1"/>
        <v>-5.9348118697984641E-2</v>
      </c>
      <c r="AF29" s="4">
        <f t="shared" si="1"/>
        <v>1.6048561186329538E-2</v>
      </c>
      <c r="AG29" s="4">
        <f t="shared" si="1"/>
        <v>0</v>
      </c>
    </row>
    <row r="30" spans="1:33" ht="13.25" x14ac:dyDescent="0.25">
      <c r="A30">
        <v>1992</v>
      </c>
      <c r="B30" s="4">
        <f t="shared" si="1"/>
        <v>-3.8414584273496324E-2</v>
      </c>
      <c r="C30" s="4">
        <f t="shared" si="1"/>
        <v>0.15841592929667306</v>
      </c>
      <c r="D30" s="4">
        <f t="shared" si="1"/>
        <v>9.9959119625885967E-2</v>
      </c>
      <c r="E30" s="4">
        <f t="shared" si="1"/>
        <v>1.4480766583866739E-2</v>
      </c>
      <c r="F30" s="4">
        <f t="shared" si="1"/>
        <v>0.12367906175676266</v>
      </c>
      <c r="G30" s="4">
        <f t="shared" si="1"/>
        <v>0.14329322390491514</v>
      </c>
      <c r="H30" s="4">
        <f t="shared" si="1"/>
        <v>1.5945642891640577E-2</v>
      </c>
      <c r="I30" s="4">
        <f t="shared" si="1"/>
        <v>0.11788263830960868</v>
      </c>
      <c r="J30" s="4">
        <f t="shared" si="1"/>
        <v>-2.9228950871863529E-2</v>
      </c>
      <c r="K30" s="4">
        <f t="shared" si="1"/>
        <v>0.14118503460364754</v>
      </c>
      <c r="L30" s="4">
        <f t="shared" si="1"/>
        <v>0.40771093358870303</v>
      </c>
      <c r="M30" s="4">
        <f t="shared" si="1"/>
        <v>0.10010184597993751</v>
      </c>
      <c r="N30" s="4">
        <f t="shared" si="1"/>
        <v>1.7435776961226668E-2</v>
      </c>
      <c r="O30" s="4">
        <f t="shared" si="1"/>
        <v>6.2495734690542759E-2</v>
      </c>
      <c r="P30" s="4">
        <f t="shared" si="1"/>
        <v>-7.1242342694081681E-2</v>
      </c>
      <c r="Q30" s="4">
        <f t="shared" si="1"/>
        <v>6.5405877056882972E-2</v>
      </c>
      <c r="R30" s="4">
        <f t="shared" si="1"/>
        <v>-1.4145340654561148E-2</v>
      </c>
      <c r="S30" s="4">
        <f t="shared" si="1"/>
        <v>-0.11134136948032555</v>
      </c>
      <c r="T30" s="4">
        <f t="shared" si="1"/>
        <v>-7.0291111488245295E-2</v>
      </c>
      <c r="U30" s="4">
        <f t="shared" si="1"/>
        <v>-3.9270413005609628E-2</v>
      </c>
      <c r="V30" s="4">
        <f t="shared" si="1"/>
        <v>-3.4810527774789074E-2</v>
      </c>
      <c r="W30" s="4">
        <f t="shared" si="1"/>
        <v>7.5584619223517058E-2</v>
      </c>
      <c r="X30" s="4">
        <f t="shared" si="1"/>
        <v>-0.11272020504665663</v>
      </c>
      <c r="Y30" s="4">
        <f t="shared" si="1"/>
        <v>0.12478825253501172</v>
      </c>
      <c r="Z30" s="4">
        <f t="shared" si="1"/>
        <v>-3.4938925106531571E-3</v>
      </c>
      <c r="AA30" s="4">
        <f t="shared" si="1"/>
        <v>0.48036957373495637</v>
      </c>
      <c r="AB30" s="4">
        <f t="shared" si="1"/>
        <v>-2.2526073846915268E-2</v>
      </c>
      <c r="AC30" s="4">
        <f t="shared" si="1"/>
        <v>9.3041489207391609E-2</v>
      </c>
      <c r="AD30" s="4">
        <f t="shared" si="1"/>
        <v>2.0837572820662176E-2</v>
      </c>
      <c r="AE30" s="4">
        <f t="shared" si="1"/>
        <v>-6.2587432537006077E-2</v>
      </c>
      <c r="AF30" s="4">
        <f t="shared" si="1"/>
        <v>2.1095094573790066E-2</v>
      </c>
      <c r="AG30" s="4">
        <f t="shared" si="1"/>
        <v>0</v>
      </c>
    </row>
    <row r="31" spans="1:33" ht="13.25" x14ac:dyDescent="0.25">
      <c r="A31">
        <v>1993</v>
      </c>
      <c r="B31" s="4">
        <f t="shared" si="1"/>
        <v>-2.9878831438813036E-2</v>
      </c>
      <c r="C31" s="4">
        <f t="shared" si="1"/>
        <v>8.2898559461144841E-2</v>
      </c>
      <c r="D31" s="4">
        <f t="shared" si="1"/>
        <v>7.9624270680510686E-2</v>
      </c>
      <c r="E31" s="4">
        <f t="shared" si="1"/>
        <v>2.2751943700483737E-2</v>
      </c>
      <c r="F31" s="4">
        <f t="shared" si="1"/>
        <v>0.11216191498366344</v>
      </c>
      <c r="G31" s="4">
        <f t="shared" si="1"/>
        <v>0.15468143759767822</v>
      </c>
      <c r="H31" s="4">
        <f t="shared" si="1"/>
        <v>2.7301225013128885E-2</v>
      </c>
      <c r="I31" s="4">
        <f t="shared" si="1"/>
        <v>8.8870118127754624E-2</v>
      </c>
      <c r="J31" s="4">
        <f t="shared" si="1"/>
        <v>-8.3365996285488936E-3</v>
      </c>
      <c r="K31" s="4">
        <f t="shared" si="1"/>
        <v>0.19250493264953888</v>
      </c>
      <c r="L31" s="4">
        <f t="shared" si="1"/>
        <v>0.37181603290549309</v>
      </c>
      <c r="M31" s="4">
        <f t="shared" si="1"/>
        <v>8.4110130549260101E-2</v>
      </c>
      <c r="N31" s="4">
        <f t="shared" si="1"/>
        <v>-3.735174900703353E-3</v>
      </c>
      <c r="O31" s="4">
        <f t="shared" si="1"/>
        <v>4.421743268941479E-2</v>
      </c>
      <c r="P31" s="4">
        <f t="shared" si="1"/>
        <v>-8.6821652795408891E-2</v>
      </c>
      <c r="Q31" s="4">
        <f t="shared" si="1"/>
        <v>9.6298853787059061E-2</v>
      </c>
      <c r="R31" s="4">
        <f t="shared" si="1"/>
        <v>-1.9946123059996629E-2</v>
      </c>
      <c r="S31" s="4">
        <f t="shared" si="1"/>
        <v>-0.11410329595954469</v>
      </c>
      <c r="T31" s="4">
        <f t="shared" si="1"/>
        <v>-6.4260278256278044E-2</v>
      </c>
      <c r="U31" s="4">
        <f t="shared" si="1"/>
        <v>-4.2666736051278659E-2</v>
      </c>
      <c r="V31" s="4">
        <f t="shared" si="1"/>
        <v>-1.7831748989665566E-2</v>
      </c>
      <c r="W31" s="4">
        <f t="shared" si="1"/>
        <v>0.10530710193413222</v>
      </c>
      <c r="X31" s="4">
        <f t="shared" si="1"/>
        <v>-0.11034038158567096</v>
      </c>
      <c r="Y31" s="4">
        <f t="shared" si="1"/>
        <v>8.4325438223130642E-2</v>
      </c>
      <c r="Z31" s="4">
        <f t="shared" si="1"/>
        <v>-8.3707127806626341E-3</v>
      </c>
      <c r="AA31" s="4">
        <f t="shared" si="1"/>
        <v>0.47857010956193119</v>
      </c>
      <c r="AB31" s="4">
        <f t="shared" si="1"/>
        <v>-3.9878359200846744E-2</v>
      </c>
      <c r="AC31" s="4">
        <f t="shared" si="1"/>
        <v>0.13552715735953358</v>
      </c>
      <c r="AD31" s="4">
        <f t="shared" si="1"/>
        <v>3.5540214507907772E-2</v>
      </c>
      <c r="AE31" s="4">
        <f t="shared" si="1"/>
        <v>-6.3902209919122904E-2</v>
      </c>
      <c r="AF31" s="4">
        <f t="shared" si="1"/>
        <v>5.3667081598608488E-2</v>
      </c>
      <c r="AG31" s="4">
        <f t="shared" si="1"/>
        <v>0</v>
      </c>
    </row>
    <row r="32" spans="1:33" ht="13.25" x14ac:dyDescent="0.25">
      <c r="A32">
        <v>1994</v>
      </c>
      <c r="B32" s="4">
        <f t="shared" si="1"/>
        <v>-2.0946718019672891E-2</v>
      </c>
      <c r="C32" s="4">
        <f t="shared" si="1"/>
        <v>5.2108801874153815E-2</v>
      </c>
      <c r="D32" s="4">
        <f t="shared" si="1"/>
        <v>4.0566994530720185E-2</v>
      </c>
      <c r="E32" s="4">
        <f t="shared" si="1"/>
        <v>1.9527727965963498E-2</v>
      </c>
      <c r="F32" s="4">
        <f t="shared" si="1"/>
        <v>0.15705310076913734</v>
      </c>
      <c r="G32" s="4">
        <f t="shared" si="1"/>
        <v>0.19572076261472524</v>
      </c>
      <c r="H32" s="4">
        <f t="shared" si="1"/>
        <v>7.0588643350912361E-2</v>
      </c>
      <c r="I32" s="4">
        <f t="shared" si="1"/>
        <v>7.7096412145033405E-2</v>
      </c>
      <c r="J32" s="4">
        <f t="shared" si="1"/>
        <v>-6.578409390443643E-3</v>
      </c>
      <c r="K32" s="4">
        <f t="shared" si="1"/>
        <v>0.17921240868476299</v>
      </c>
      <c r="L32" s="4">
        <f t="shared" si="1"/>
        <v>0.37993303110438092</v>
      </c>
      <c r="M32" s="4">
        <f t="shared" si="1"/>
        <v>0.10610322618530857</v>
      </c>
      <c r="N32" s="4">
        <f t="shared" si="1"/>
        <v>-7.3119273416881875E-3</v>
      </c>
      <c r="O32" s="4">
        <f t="shared" si="1"/>
        <v>3.3710429784279017E-2</v>
      </c>
      <c r="P32" s="4">
        <f t="shared" si="1"/>
        <v>-7.0021515765198938E-2</v>
      </c>
      <c r="Q32" s="4">
        <f t="shared" si="1"/>
        <v>-2.5289983503015701E-4</v>
      </c>
      <c r="R32" s="4">
        <f t="shared" si="1"/>
        <v>4.1045405361941234E-2</v>
      </c>
      <c r="S32" s="4">
        <f t="shared" si="1"/>
        <v>-0.12167564647046344</v>
      </c>
      <c r="T32" s="4">
        <f t="shared" si="1"/>
        <v>-6.7932434732429908E-2</v>
      </c>
      <c r="U32" s="4">
        <f t="shared" si="1"/>
        <v>-2.7222834198673551E-2</v>
      </c>
      <c r="V32" s="4">
        <f t="shared" si="1"/>
        <v>-4.9013237414837221E-2</v>
      </c>
      <c r="W32" s="4">
        <f t="shared" si="1"/>
        <v>0.11254159254740501</v>
      </c>
      <c r="X32" s="4">
        <f t="shared" si="1"/>
        <v>-9.7746195614494269E-2</v>
      </c>
      <c r="Y32" s="4">
        <f t="shared" si="1"/>
        <v>0.1058878607439889</v>
      </c>
      <c r="Z32" s="4">
        <f t="shared" si="1"/>
        <v>-1.5429632291095841E-2</v>
      </c>
      <c r="AA32" s="4">
        <f t="shared" si="1"/>
        <v>0.4203576200075404</v>
      </c>
      <c r="AB32" s="4">
        <f t="shared" si="1"/>
        <v>-6.0194021713536314E-2</v>
      </c>
      <c r="AC32" s="4">
        <f t="shared" si="1"/>
        <v>0.14653649446421954</v>
      </c>
      <c r="AD32" s="4">
        <f t="shared" si="1"/>
        <v>4.1840045329863129E-2</v>
      </c>
      <c r="AE32" s="4">
        <f t="shared" si="1"/>
        <v>-6.0393027666594136E-2</v>
      </c>
      <c r="AF32" s="4">
        <f t="shared" si="1"/>
        <v>8.1936726604341314E-2</v>
      </c>
      <c r="AG32" s="4">
        <f t="shared" si="1"/>
        <v>0</v>
      </c>
    </row>
    <row r="33" spans="1:33" ht="13.25" x14ac:dyDescent="0.25">
      <c r="A33">
        <v>1995</v>
      </c>
      <c r="B33" s="4">
        <f t="shared" si="1"/>
        <v>-6.8306889755121863E-3</v>
      </c>
      <c r="C33" s="4">
        <f t="shared" si="1"/>
        <v>4.9105821959187279E-2</v>
      </c>
      <c r="D33" s="4">
        <f t="shared" si="1"/>
        <v>5.1954146722820199E-2</v>
      </c>
      <c r="E33" s="4">
        <f t="shared" si="1"/>
        <v>1.4073570657150675E-2</v>
      </c>
      <c r="F33" s="4">
        <f t="shared" si="1"/>
        <v>0.17381309221411706</v>
      </c>
      <c r="G33" s="4">
        <f t="shared" si="1"/>
        <v>0.16005465048436113</v>
      </c>
      <c r="H33" s="4">
        <f t="shared" si="1"/>
        <v>7.9896428561456734E-2</v>
      </c>
      <c r="I33" s="4">
        <f t="shared" si="1"/>
        <v>0.12664712889554738</v>
      </c>
      <c r="J33" s="4">
        <f t="shared" si="1"/>
        <v>-2.9201321327428947E-2</v>
      </c>
      <c r="K33" s="4">
        <f t="shared" si="1"/>
        <v>0.17981183002623946</v>
      </c>
      <c r="L33" s="4">
        <f t="shared" si="1"/>
        <v>0.38419387198202548</v>
      </c>
      <c r="M33" s="4">
        <f t="shared" si="1"/>
        <v>0.12693365143458873</v>
      </c>
      <c r="N33" s="4">
        <f t="shared" si="1"/>
        <v>2.1224366572385162E-2</v>
      </c>
      <c r="O33" s="4">
        <f t="shared" si="1"/>
        <v>3.9229089285533703E-2</v>
      </c>
      <c r="P33" s="4">
        <f t="shared" si="1"/>
        <v>-8.3088343682609644E-2</v>
      </c>
      <c r="Q33" s="4">
        <f t="shared" si="1"/>
        <v>-2.5269089779360529E-2</v>
      </c>
      <c r="R33" s="4">
        <f t="shared" si="1"/>
        <v>6.6273295342786004E-2</v>
      </c>
      <c r="S33" s="4">
        <f t="shared" si="1"/>
        <v>-0.12354107118342134</v>
      </c>
      <c r="T33" s="4">
        <f t="shared" si="1"/>
        <v>-7.9421458278572304E-2</v>
      </c>
      <c r="U33" s="4">
        <f t="shared" si="1"/>
        <v>4.8124031314654592E-2</v>
      </c>
      <c r="V33" s="4">
        <f t="shared" si="1"/>
        <v>-7.6315008436794313E-2</v>
      </c>
      <c r="W33" s="4">
        <f t="shared" si="1"/>
        <v>9.3912586340015064E-2</v>
      </c>
      <c r="X33" s="4">
        <f t="shared" si="1"/>
        <v>-6.1746761922301621E-2</v>
      </c>
      <c r="Y33" s="4">
        <f t="shared" si="1"/>
        <v>5.440195857086802E-2</v>
      </c>
      <c r="Z33" s="4">
        <f t="shared" si="1"/>
        <v>-1.1057894722570474E-2</v>
      </c>
      <c r="AA33" s="4">
        <f t="shared" si="1"/>
        <v>0.33888519021660013</v>
      </c>
      <c r="AB33" s="4">
        <f t="shared" si="1"/>
        <v>-7.5731289170826596E-2</v>
      </c>
      <c r="AC33" s="4">
        <f t="shared" si="1"/>
        <v>6.7906238854581441E-2</v>
      </c>
      <c r="AD33" s="4">
        <f t="shared" si="1"/>
        <v>2.7082126428807696E-2</v>
      </c>
      <c r="AE33" s="4">
        <f t="shared" si="1"/>
        <v>-5.9358335181764074E-2</v>
      </c>
      <c r="AF33" s="4">
        <f t="shared" si="1"/>
        <v>8.8810959204487755E-2</v>
      </c>
      <c r="AG33" s="4">
        <f t="shared" ref="AG33" si="2">AG11-$AG11</f>
        <v>0</v>
      </c>
    </row>
    <row r="34" spans="1:33" ht="13.25" x14ac:dyDescent="0.25">
      <c r="A34">
        <v>1996</v>
      </c>
      <c r="B34" s="4">
        <f t="shared" ref="B34:AG41" si="3">B12-$AG12</f>
        <v>5.2078843503208794E-3</v>
      </c>
      <c r="C34" s="4">
        <f t="shared" si="3"/>
        <v>3.7298973915549316E-2</v>
      </c>
      <c r="D34" s="4">
        <f t="shared" si="3"/>
        <v>4.9882385746011948E-2</v>
      </c>
      <c r="E34" s="4">
        <f t="shared" si="3"/>
        <v>9.0728773167579602E-3</v>
      </c>
      <c r="F34" s="4">
        <f t="shared" si="3"/>
        <v>0.14831337719155935</v>
      </c>
      <c r="G34" s="4">
        <f t="shared" si="3"/>
        <v>0.13245149570070558</v>
      </c>
      <c r="H34" s="4">
        <f t="shared" si="3"/>
        <v>0.10107889973250342</v>
      </c>
      <c r="I34" s="4">
        <f t="shared" si="3"/>
        <v>8.8082558279305639E-2</v>
      </c>
      <c r="J34" s="4">
        <f t="shared" si="3"/>
        <v>-2.8885227034105967E-2</v>
      </c>
      <c r="K34" s="4">
        <f t="shared" si="3"/>
        <v>0.20165234241743329</v>
      </c>
      <c r="L34" s="4">
        <f t="shared" si="3"/>
        <v>0.37877739405096233</v>
      </c>
      <c r="M34" s="4">
        <f t="shared" si="3"/>
        <v>0.1054337512898802</v>
      </c>
      <c r="N34" s="4">
        <f t="shared" si="3"/>
        <v>4.3524222591368317E-3</v>
      </c>
      <c r="O34" s="4">
        <f t="shared" si="3"/>
        <v>9.8694864253427772E-2</v>
      </c>
      <c r="P34" s="4">
        <f t="shared" si="3"/>
        <v>-9.2126428106905855E-2</v>
      </c>
      <c r="Q34" s="4">
        <f t="shared" si="3"/>
        <v>-2.4445283027000178E-2</v>
      </c>
      <c r="R34" s="4">
        <f t="shared" si="3"/>
        <v>4.8072678596481871E-2</v>
      </c>
      <c r="S34" s="4">
        <f t="shared" si="3"/>
        <v>-9.9095964883128482E-2</v>
      </c>
      <c r="T34" s="4">
        <f t="shared" si="3"/>
        <v>-8.0210459139250095E-2</v>
      </c>
      <c r="U34" s="4">
        <f t="shared" si="3"/>
        <v>-6.556586886283855E-3</v>
      </c>
      <c r="V34" s="4">
        <f t="shared" si="3"/>
        <v>-7.275645129203169E-2</v>
      </c>
      <c r="W34" s="4">
        <f t="shared" si="3"/>
        <v>0.12404688919320334</v>
      </c>
      <c r="X34" s="4">
        <f t="shared" si="3"/>
        <v>-8.2331638152134901E-2</v>
      </c>
      <c r="Y34" s="4">
        <f t="shared" si="3"/>
        <v>0.10844601776295812</v>
      </c>
      <c r="Z34" s="4">
        <f t="shared" si="3"/>
        <v>-1.5257150940924571E-2</v>
      </c>
      <c r="AA34" s="4">
        <f t="shared" si="3"/>
        <v>0.29636512637173096</v>
      </c>
      <c r="AB34" s="4">
        <f t="shared" si="3"/>
        <v>-6.8324926553868764E-2</v>
      </c>
      <c r="AC34" s="4">
        <f t="shared" si="3"/>
        <v>3.0529926346314684E-2</v>
      </c>
      <c r="AD34" s="4">
        <f t="shared" si="3"/>
        <v>2.8225928340220419E-2</v>
      </c>
      <c r="AE34" s="4">
        <f t="shared" si="3"/>
        <v>-6.3405399586277389E-2</v>
      </c>
      <c r="AF34" s="4">
        <f t="shared" si="3"/>
        <v>2.2860729954569975E-2</v>
      </c>
      <c r="AG34" s="4">
        <f t="shared" si="3"/>
        <v>0</v>
      </c>
    </row>
    <row r="35" spans="1:33" ht="13.25" x14ac:dyDescent="0.25">
      <c r="A35">
        <v>1997</v>
      </c>
      <c r="B35" s="4">
        <f t="shared" si="3"/>
        <v>1.8089462219236949E-2</v>
      </c>
      <c r="C35" s="4">
        <f t="shared" si="3"/>
        <v>6.6434931807457839E-2</v>
      </c>
      <c r="D35" s="4">
        <f t="shared" si="3"/>
        <v>6.9778008781741244E-2</v>
      </c>
      <c r="E35" s="4">
        <f t="shared" si="3"/>
        <v>-2.3646468688376693E-2</v>
      </c>
      <c r="F35" s="4">
        <f t="shared" si="3"/>
        <v>0.15837200994596229</v>
      </c>
      <c r="G35" s="4">
        <f t="shared" si="3"/>
        <v>0.14918061738677585</v>
      </c>
      <c r="H35" s="4">
        <f t="shared" si="3"/>
        <v>0.10531474601736936</v>
      </c>
      <c r="I35" s="4">
        <f t="shared" si="3"/>
        <v>9.228731611035397E-2</v>
      </c>
      <c r="J35" s="4">
        <f t="shared" si="3"/>
        <v>-1.9941941051443951E-2</v>
      </c>
      <c r="K35" s="4">
        <f t="shared" si="3"/>
        <v>0.22460987579273606</v>
      </c>
      <c r="L35" s="4">
        <f t="shared" si="3"/>
        <v>0.34499366233510681</v>
      </c>
      <c r="M35" s="4">
        <f t="shared" si="3"/>
        <v>0.13096263778617684</v>
      </c>
      <c r="N35" s="4">
        <f t="shared" si="3"/>
        <v>-1.1656872031168886E-2</v>
      </c>
      <c r="O35" s="4">
        <f t="shared" si="3"/>
        <v>9.5560305555408773E-2</v>
      </c>
      <c r="P35" s="4">
        <f t="shared" si="3"/>
        <v>-9.4751040118681282E-2</v>
      </c>
      <c r="Q35" s="4">
        <f t="shared" si="3"/>
        <v>-7.4316743006234365E-2</v>
      </c>
      <c r="R35" s="4">
        <f t="shared" si="3"/>
        <v>0.13206843100284177</v>
      </c>
      <c r="S35" s="4">
        <f t="shared" si="3"/>
        <v>-0.10996211923572265</v>
      </c>
      <c r="T35" s="4">
        <f t="shared" si="3"/>
        <v>-7.6405401201781589E-2</v>
      </c>
      <c r="U35" s="4">
        <f t="shared" si="3"/>
        <v>-3.3964609773775439E-2</v>
      </c>
      <c r="V35" s="4">
        <f t="shared" si="3"/>
        <v>-3.4044391729260923E-2</v>
      </c>
      <c r="W35" s="4">
        <f t="shared" si="3"/>
        <v>0.12841640702840718</v>
      </c>
      <c r="X35" s="4">
        <f t="shared" si="3"/>
        <v>-7.8426483590570556E-2</v>
      </c>
      <c r="Y35" s="4">
        <f t="shared" si="3"/>
        <v>7.9050429666382357E-2</v>
      </c>
      <c r="Z35" s="4">
        <f t="shared" si="3"/>
        <v>-1.4925160972549936E-2</v>
      </c>
      <c r="AA35" s="4">
        <f t="shared" si="3"/>
        <v>0.23123915375724263</v>
      </c>
      <c r="AB35" s="4">
        <f t="shared" si="3"/>
        <v>-6.9863116868219111E-2</v>
      </c>
      <c r="AC35" s="4">
        <f t="shared" si="3"/>
        <v>5.8228602845481689E-2</v>
      </c>
      <c r="AD35" s="4">
        <f t="shared" si="3"/>
        <v>4.4826408945227394E-2</v>
      </c>
      <c r="AE35" s="4">
        <f t="shared" si="3"/>
        <v>-6.2425698984020117E-2</v>
      </c>
      <c r="AF35" s="4">
        <f t="shared" si="3"/>
        <v>1.1822938411299902E-2</v>
      </c>
      <c r="AG35" s="4">
        <f t="shared" si="3"/>
        <v>0</v>
      </c>
    </row>
    <row r="36" spans="1:33" ht="13.25" x14ac:dyDescent="0.25">
      <c r="A36">
        <v>1998</v>
      </c>
      <c r="B36" s="4">
        <f t="shared" si="3"/>
        <v>1.4319595098562538E-2</v>
      </c>
      <c r="C36" s="4">
        <f t="shared" si="3"/>
        <v>3.8768892230494928E-2</v>
      </c>
      <c r="D36" s="4">
        <f t="shared" si="3"/>
        <v>6.8034897315971066E-2</v>
      </c>
      <c r="E36" s="4">
        <f t="shared" si="3"/>
        <v>-1.817806412978476E-3</v>
      </c>
      <c r="F36" s="4">
        <f t="shared" si="3"/>
        <v>0.14648912778496151</v>
      </c>
      <c r="G36" s="4">
        <f t="shared" si="3"/>
        <v>0.12164765338108435</v>
      </c>
      <c r="H36" s="4">
        <f t="shared" si="3"/>
        <v>0.10578544316941524</v>
      </c>
      <c r="I36" s="4">
        <f t="shared" si="3"/>
        <v>9.1544686446795864E-2</v>
      </c>
      <c r="J36" s="4">
        <f t="shared" si="3"/>
        <v>-7.3868520634252227E-3</v>
      </c>
      <c r="K36" s="4">
        <f t="shared" si="3"/>
        <v>0.20655923889726654</v>
      </c>
      <c r="L36" s="4">
        <f t="shared" si="3"/>
        <v>0.1331565170503255</v>
      </c>
      <c r="M36" s="4">
        <f t="shared" si="3"/>
        <v>0.12799081899819523</v>
      </c>
      <c r="N36" s="4">
        <f t="shared" si="3"/>
        <v>4.7208305939077599E-2</v>
      </c>
      <c r="O36" s="4">
        <f t="shared" si="3"/>
        <v>9.8765190318106738E-2</v>
      </c>
      <c r="P36" s="4">
        <f t="shared" si="3"/>
        <v>-8.0354742207293217E-2</v>
      </c>
      <c r="Q36" s="4">
        <f t="shared" si="3"/>
        <v>-8.8004421039573483E-2</v>
      </c>
      <c r="R36" s="4">
        <f t="shared" si="3"/>
        <v>0.13229237664263416</v>
      </c>
      <c r="S36" s="4">
        <f t="shared" si="3"/>
        <v>-0.15294720585490737</v>
      </c>
      <c r="T36" s="4">
        <f t="shared" si="3"/>
        <v>-7.6706441200632358E-2</v>
      </c>
      <c r="U36" s="4">
        <f t="shared" si="3"/>
        <v>-2.5103894119310161E-2</v>
      </c>
      <c r="V36" s="4">
        <f t="shared" si="3"/>
        <v>2.6309529137162752E-3</v>
      </c>
      <c r="W36" s="4">
        <f t="shared" si="3"/>
        <v>0.13406868395931465</v>
      </c>
      <c r="X36" s="4">
        <f t="shared" si="3"/>
        <v>-6.7370162953699311E-2</v>
      </c>
      <c r="Y36" s="4">
        <f t="shared" si="3"/>
        <v>7.2236237093828287E-2</v>
      </c>
      <c r="Z36" s="4">
        <f t="shared" si="3"/>
        <v>-9.6230592697384293E-3</v>
      </c>
      <c r="AA36" s="4">
        <f t="shared" si="3"/>
        <v>0.15956976463079328</v>
      </c>
      <c r="AB36" s="4">
        <f t="shared" si="3"/>
        <v>-6.6770902242870453E-2</v>
      </c>
      <c r="AC36" s="4">
        <f t="shared" si="3"/>
        <v>5.7594983276975376E-2</v>
      </c>
      <c r="AD36" s="4">
        <f t="shared" si="3"/>
        <v>5.4001710861820346E-2</v>
      </c>
      <c r="AE36" s="4">
        <f t="shared" si="3"/>
        <v>-5.2434880023584117E-2</v>
      </c>
      <c r="AF36" s="4">
        <f t="shared" si="3"/>
        <v>1.3719103717371617E-2</v>
      </c>
      <c r="AG36" s="4">
        <f t="shared" si="3"/>
        <v>0</v>
      </c>
    </row>
    <row r="37" spans="1:33" ht="13.25" x14ac:dyDescent="0.25">
      <c r="A37">
        <v>1999</v>
      </c>
      <c r="B37" s="4">
        <f t="shared" si="3"/>
        <v>1.8476606466423198E-2</v>
      </c>
      <c r="C37" s="4">
        <f t="shared" si="3"/>
        <v>4.6604731977656647E-2</v>
      </c>
      <c r="D37" s="4">
        <f t="shared" si="3"/>
        <v>9.0724476515503763E-2</v>
      </c>
      <c r="E37" s="4">
        <f t="shared" si="3"/>
        <v>-1.0984260445943833E-3</v>
      </c>
      <c r="F37" s="4">
        <f t="shared" si="3"/>
        <v>0.13662261292254735</v>
      </c>
      <c r="G37" s="4">
        <f t="shared" si="3"/>
        <v>0.15232432571392729</v>
      </c>
      <c r="H37" s="4">
        <f t="shared" si="3"/>
        <v>0.10945477565283067</v>
      </c>
      <c r="I37" s="4">
        <f t="shared" si="3"/>
        <v>0.15055816211838863</v>
      </c>
      <c r="J37" s="4">
        <f t="shared" si="3"/>
        <v>-3.9817343582973647E-3</v>
      </c>
      <c r="K37" s="4">
        <f t="shared" si="3"/>
        <v>0.19954759606312189</v>
      </c>
      <c r="L37" s="4">
        <f t="shared" si="3"/>
        <v>-1.1511781762899007E-2</v>
      </c>
      <c r="M37" s="4">
        <f t="shared" si="3"/>
        <v>8.3956426674226578E-2</v>
      </c>
      <c r="N37" s="4">
        <f t="shared" si="3"/>
        <v>-1.4238505510526772E-2</v>
      </c>
      <c r="O37" s="4">
        <f t="shared" si="3"/>
        <v>0.10403338888231702</v>
      </c>
      <c r="P37" s="4">
        <f t="shared" si="3"/>
        <v>-7.263769440949136E-2</v>
      </c>
      <c r="Q37" s="4">
        <f t="shared" si="3"/>
        <v>6.5909667105949934E-2</v>
      </c>
      <c r="R37" s="4">
        <f t="shared" si="3"/>
        <v>0.14474747872691651</v>
      </c>
      <c r="S37" s="4">
        <f t="shared" si="3"/>
        <v>-0.11728851018361519</v>
      </c>
      <c r="T37" s="4">
        <f t="shared" si="3"/>
        <v>-7.0007436593888847E-2</v>
      </c>
      <c r="U37" s="4">
        <f t="shared" si="3"/>
        <v>-1.5055720581433688E-2</v>
      </c>
      <c r="V37" s="4">
        <f t="shared" si="3"/>
        <v>-6.9456862162649069E-2</v>
      </c>
      <c r="W37" s="4">
        <f t="shared" si="3"/>
        <v>0.13614572761796195</v>
      </c>
      <c r="X37" s="4">
        <f t="shared" si="3"/>
        <v>-8.4959992461272033E-2</v>
      </c>
      <c r="Y37" s="4">
        <f t="shared" si="3"/>
        <v>7.9563945206874306E-2</v>
      </c>
      <c r="Z37" s="4">
        <f t="shared" si="3"/>
        <v>-6.6084358982703428E-3</v>
      </c>
      <c r="AA37" s="4">
        <f t="shared" si="3"/>
        <v>0.13383082094439408</v>
      </c>
      <c r="AB37" s="4">
        <f t="shared" si="3"/>
        <v>-7.6835007068079636E-2</v>
      </c>
      <c r="AC37" s="4">
        <f t="shared" si="3"/>
        <v>5.06159586898796E-2</v>
      </c>
      <c r="AD37" s="4">
        <f t="shared" si="3"/>
        <v>9.4949349745222275E-2</v>
      </c>
      <c r="AE37" s="4">
        <f t="shared" si="3"/>
        <v>-3.6534004413155588E-2</v>
      </c>
      <c r="AF37" s="4">
        <f t="shared" si="3"/>
        <v>4.4556118229847411E-2</v>
      </c>
      <c r="AG37" s="4">
        <f t="shared" si="3"/>
        <v>0</v>
      </c>
    </row>
    <row r="38" spans="1:33" ht="13.25" x14ac:dyDescent="0.25">
      <c r="A38">
        <v>2000</v>
      </c>
      <c r="B38" s="4">
        <f t="shared" si="3"/>
        <v>2.3474937067185037E-2</v>
      </c>
      <c r="C38" s="4">
        <f t="shared" si="3"/>
        <v>1.6268939890419276E-2</v>
      </c>
      <c r="D38" s="4">
        <f t="shared" si="3"/>
        <v>8.9092090109446354E-2</v>
      </c>
      <c r="E38" s="4">
        <f t="shared" si="3"/>
        <v>-8.2590539932992785E-3</v>
      </c>
      <c r="F38" s="4">
        <f t="shared" si="3"/>
        <v>0.11486078491017063</v>
      </c>
      <c r="G38" s="4">
        <f t="shared" si="3"/>
        <v>0.14650070113374208</v>
      </c>
      <c r="H38" s="4">
        <f t="shared" si="3"/>
        <v>0.1042669593280007</v>
      </c>
      <c r="I38" s="4">
        <f t="shared" si="3"/>
        <v>0.12050364306512718</v>
      </c>
      <c r="J38" s="4">
        <f t="shared" si="3"/>
        <v>4.0443933193002879E-3</v>
      </c>
      <c r="K38" s="4">
        <f t="shared" si="3"/>
        <v>0.16745925522600508</v>
      </c>
      <c r="L38" s="4">
        <f t="shared" si="3"/>
        <v>-0.61349155072527739</v>
      </c>
      <c r="M38" s="4">
        <f t="shared" si="3"/>
        <v>0.11418110228384562</v>
      </c>
      <c r="N38" s="4">
        <f t="shared" si="3"/>
        <v>-3.1984989433003097E-2</v>
      </c>
      <c r="O38" s="4">
        <f t="shared" si="3"/>
        <v>0.14282557763042389</v>
      </c>
      <c r="P38" s="4">
        <f t="shared" si="3"/>
        <v>-7.2240659133904123E-2</v>
      </c>
      <c r="Q38" s="4">
        <f t="shared" si="3"/>
        <v>7.8860670613093958E-2</v>
      </c>
      <c r="R38" s="4">
        <f t="shared" si="3"/>
        <v>0.11247670687534922</v>
      </c>
      <c r="S38" s="4">
        <f t="shared" si="3"/>
        <v>-3.6713137401920171E-2</v>
      </c>
      <c r="T38" s="4">
        <f t="shared" si="3"/>
        <v>-5.5827976277577421E-2</v>
      </c>
      <c r="U38" s="4">
        <f t="shared" si="3"/>
        <v>-2.8490780740367677E-3</v>
      </c>
      <c r="V38" s="4">
        <f t="shared" si="3"/>
        <v>-2.6353862713263509E-2</v>
      </c>
      <c r="W38" s="4">
        <f t="shared" si="3"/>
        <v>0.10665602233097621</v>
      </c>
      <c r="X38" s="4">
        <f t="shared" si="3"/>
        <v>-8.0969792022384274E-2</v>
      </c>
      <c r="Y38" s="4">
        <f t="shared" si="3"/>
        <v>5.2603335666423584E-2</v>
      </c>
      <c r="Z38" s="4">
        <f t="shared" si="3"/>
        <v>-1.1856504469648782E-3</v>
      </c>
      <c r="AA38" s="4">
        <f t="shared" si="3"/>
        <v>8.1956759094721887E-2</v>
      </c>
      <c r="AB38" s="4">
        <f t="shared" si="3"/>
        <v>-8.0275509191657615E-2</v>
      </c>
      <c r="AC38" s="4">
        <f t="shared" si="3"/>
        <v>3.0048261316196923E-2</v>
      </c>
      <c r="AD38" s="4">
        <f t="shared" si="3"/>
        <v>8.4954796681077971E-2</v>
      </c>
      <c r="AE38" s="4">
        <f t="shared" si="3"/>
        <v>-2.9021961791989112E-2</v>
      </c>
      <c r="AF38" s="4">
        <f t="shared" si="3"/>
        <v>1.3042753287812875E-2</v>
      </c>
      <c r="AG38" s="4">
        <f t="shared" si="3"/>
        <v>0</v>
      </c>
    </row>
    <row r="39" spans="1:33" ht="13.25" x14ac:dyDescent="0.25">
      <c r="A39">
        <v>2001</v>
      </c>
      <c r="B39" s="4">
        <f t="shared" si="3"/>
        <v>4.298893685765165E-3</v>
      </c>
      <c r="C39" s="4">
        <f t="shared" si="3"/>
        <v>2.8183622202369696E-2</v>
      </c>
      <c r="D39" s="4">
        <f t="shared" si="3"/>
        <v>0.12414980330990605</v>
      </c>
      <c r="E39" s="4">
        <f t="shared" si="3"/>
        <v>-9.0922119229265158E-3</v>
      </c>
      <c r="F39" s="4">
        <f t="shared" si="3"/>
        <v>0.11763638411593982</v>
      </c>
      <c r="G39" s="4">
        <f t="shared" si="3"/>
        <v>0.15763904000591286</v>
      </c>
      <c r="H39" s="4">
        <f t="shared" si="3"/>
        <v>5.7352753455977235E-2</v>
      </c>
      <c r="I39" s="4">
        <f t="shared" si="3"/>
        <v>0.16564896153648298</v>
      </c>
      <c r="J39" s="4">
        <f t="shared" si="3"/>
        <v>7.9619391640361331E-3</v>
      </c>
      <c r="K39" s="4">
        <f t="shared" si="3"/>
        <v>6.5993042700603827E-2</v>
      </c>
      <c r="L39" s="4">
        <f t="shared" si="3"/>
        <v>-0.28585181035323093</v>
      </c>
      <c r="M39" s="4">
        <f t="shared" si="3"/>
        <v>6.4297139897381866E-2</v>
      </c>
      <c r="N39" s="4">
        <f t="shared" si="3"/>
        <v>-4.0616770673660381E-2</v>
      </c>
      <c r="O39" s="4">
        <f t="shared" si="3"/>
        <v>0.12540071704188979</v>
      </c>
      <c r="P39" s="4">
        <f t="shared" si="3"/>
        <v>-7.1078506081905163E-2</v>
      </c>
      <c r="Q39" s="4">
        <f t="shared" si="3"/>
        <v>0.14197369558580616</v>
      </c>
      <c r="R39" s="4">
        <f t="shared" si="3"/>
        <v>9.5801235717586308E-2</v>
      </c>
      <c r="S39" s="4">
        <f t="shared" si="3"/>
        <v>-7.4459597718650378E-2</v>
      </c>
      <c r="T39" s="4">
        <f t="shared" si="3"/>
        <v>-4.9654239635663767E-2</v>
      </c>
      <c r="U39" s="4">
        <f t="shared" si="3"/>
        <v>-5.141709626568685E-2</v>
      </c>
      <c r="V39" s="4">
        <f t="shared" si="3"/>
        <v>3.9305864043855721E-2</v>
      </c>
      <c r="W39" s="4">
        <f t="shared" si="3"/>
        <v>8.6847144062458692E-2</v>
      </c>
      <c r="X39" s="4">
        <f t="shared" si="3"/>
        <v>-0.10706555570533451</v>
      </c>
      <c r="Y39" s="4">
        <f t="shared" si="3"/>
        <v>2.7484695388783842E-2</v>
      </c>
      <c r="Z39" s="4">
        <f t="shared" si="3"/>
        <v>8.6800264403992106E-3</v>
      </c>
      <c r="AA39" s="4">
        <f t="shared" si="3"/>
        <v>3.6605530811486292E-2</v>
      </c>
      <c r="AB39" s="4">
        <f t="shared" si="3"/>
        <v>-0.10961266598682848</v>
      </c>
      <c r="AC39" s="4">
        <f t="shared" si="3"/>
        <v>4.3457325815273673E-2</v>
      </c>
      <c r="AD39" s="4">
        <f t="shared" si="3"/>
        <v>6.9816841249259465E-2</v>
      </c>
      <c r="AE39" s="4">
        <f t="shared" si="3"/>
        <v>-3.7499808046982046E-2</v>
      </c>
      <c r="AF39" s="4">
        <f t="shared" si="3"/>
        <v>2.6498341491757255E-2</v>
      </c>
      <c r="AG39" s="4">
        <f t="shared" si="3"/>
        <v>0</v>
      </c>
    </row>
    <row r="40" spans="1:33" ht="13.25" x14ac:dyDescent="0.25">
      <c r="A40">
        <v>2002</v>
      </c>
      <c r="B40" s="4">
        <f t="shared" si="3"/>
        <v>7.6006129701582242E-3</v>
      </c>
      <c r="C40" s="4">
        <f t="shared" si="3"/>
        <v>2.0365703707444519E-2</v>
      </c>
      <c r="D40" s="4">
        <f t="shared" si="3"/>
        <v>0.18021405807499519</v>
      </c>
      <c r="E40" s="4">
        <f t="shared" si="3"/>
        <v>-1.3015041880254125E-2</v>
      </c>
      <c r="F40" s="4">
        <f t="shared" si="3"/>
        <v>0.14685261990620771</v>
      </c>
      <c r="G40" s="4">
        <f t="shared" si="3"/>
        <v>0.16160420942829007</v>
      </c>
      <c r="H40" s="4">
        <f t="shared" si="3"/>
        <v>3.61107242927525E-2</v>
      </c>
      <c r="I40" s="4">
        <f t="shared" si="3"/>
        <v>0.1540261026398102</v>
      </c>
      <c r="J40" s="4">
        <f t="shared" si="3"/>
        <v>2.0847842313520631E-2</v>
      </c>
      <c r="K40" s="4">
        <f t="shared" si="3"/>
        <v>0.11727142592517231</v>
      </c>
      <c r="L40" s="4">
        <f t="shared" si="3"/>
        <v>0.24280670973878721</v>
      </c>
      <c r="M40" s="4">
        <f t="shared" si="3"/>
        <v>4.1590046654429585E-2</v>
      </c>
      <c r="N40" s="4">
        <f t="shared" si="3"/>
        <v>-6.1204586380812796E-2</v>
      </c>
      <c r="O40" s="4">
        <f t="shared" si="3"/>
        <v>0.15647995407164061</v>
      </c>
      <c r="P40" s="4">
        <f t="shared" si="3"/>
        <v>-7.0728665029969079E-2</v>
      </c>
      <c r="Q40" s="4">
        <f t="shared" si="3"/>
        <v>0.24968023375697457</v>
      </c>
      <c r="R40" s="4">
        <f t="shared" si="3"/>
        <v>0.10594262587947878</v>
      </c>
      <c r="S40" s="4">
        <f t="shared" si="3"/>
        <v>-9.682745220767866E-2</v>
      </c>
      <c r="T40" s="4">
        <f t="shared" si="3"/>
        <v>-4.2754613940656452E-2</v>
      </c>
      <c r="U40" s="4">
        <f t="shared" si="3"/>
        <v>-4.6848411193942383E-2</v>
      </c>
      <c r="V40" s="4">
        <f t="shared" si="3"/>
        <v>-5.0469227216462145E-2</v>
      </c>
      <c r="W40" s="4">
        <f t="shared" si="3"/>
        <v>0.10332624758721728</v>
      </c>
      <c r="X40" s="4">
        <f t="shared" si="3"/>
        <v>-8.4074424667400019E-2</v>
      </c>
      <c r="Y40" s="4">
        <f t="shared" si="3"/>
        <v>3.1952044754260667E-2</v>
      </c>
      <c r="Z40" s="4">
        <f t="shared" si="3"/>
        <v>6.0919983119224891E-3</v>
      </c>
      <c r="AA40" s="4">
        <f t="shared" si="3"/>
        <v>5.0923849453062275E-3</v>
      </c>
      <c r="AB40" s="4">
        <f t="shared" si="3"/>
        <v>-0.11044718607357451</v>
      </c>
      <c r="AC40" s="4">
        <f t="shared" si="3"/>
        <v>6.2957680505932229E-2</v>
      </c>
      <c r="AD40" s="4">
        <f t="shared" si="3"/>
        <v>0.1015648472866145</v>
      </c>
      <c r="AE40" s="4">
        <f t="shared" si="3"/>
        <v>-3.5717610068877942E-2</v>
      </c>
      <c r="AF40" s="4">
        <f t="shared" si="3"/>
        <v>1.0698747829693572E-2</v>
      </c>
      <c r="AG40" s="4">
        <f t="shared" si="3"/>
        <v>0</v>
      </c>
    </row>
    <row r="41" spans="1:33" ht="13.25" x14ac:dyDescent="0.25">
      <c r="A41">
        <v>2003</v>
      </c>
      <c r="B41" s="4">
        <f t="shared" si="3"/>
        <v>-1.1454988468001095E-2</v>
      </c>
      <c r="C41" s="4">
        <f t="shared" si="3"/>
        <v>-4.7803835748960188E-3</v>
      </c>
      <c r="D41" s="4">
        <f t="shared" si="3"/>
        <v>0.18393611798278781</v>
      </c>
      <c r="E41" s="4">
        <f t="shared" si="3"/>
        <v>-1.4863885980712782E-2</v>
      </c>
      <c r="F41" s="4">
        <f t="shared" si="3"/>
        <v>0.147064327359407</v>
      </c>
      <c r="G41" s="4">
        <f t="shared" si="3"/>
        <v>0.15249664154687115</v>
      </c>
      <c r="H41" s="4">
        <f t="shared" si="3"/>
        <v>3.0618404379559483E-2</v>
      </c>
      <c r="I41" s="4">
        <f t="shared" si="3"/>
        <v>0.12726810058324459</v>
      </c>
      <c r="J41" s="4">
        <f t="shared" si="3"/>
        <v>1.968169710919368E-2</v>
      </c>
      <c r="K41" s="4">
        <f t="shared" si="3"/>
        <v>5.7340426510645442E-2</v>
      </c>
      <c r="L41" s="4">
        <f t="shared" si="3"/>
        <v>0.28961361954431336</v>
      </c>
      <c r="M41" s="4">
        <f t="shared" si="3"/>
        <v>4.2292175747370597E-2</v>
      </c>
      <c r="N41" s="4">
        <f t="shared" si="3"/>
        <v>-8.0659947150562031E-2</v>
      </c>
      <c r="O41" s="4">
        <f t="shared" si="3"/>
        <v>0.16906040790808213</v>
      </c>
      <c r="P41" s="4">
        <f t="shared" si="3"/>
        <v>-7.8601905962293078E-2</v>
      </c>
      <c r="Q41" s="4">
        <f t="shared" si="3"/>
        <v>0.2032765602414745</v>
      </c>
      <c r="R41" s="4">
        <f t="shared" si="3"/>
        <v>8.4317048871586198E-2</v>
      </c>
      <c r="S41" s="4">
        <f t="shared" si="3"/>
        <v>-5.1927078623171023E-2</v>
      </c>
      <c r="T41" s="4">
        <f t="shared" si="3"/>
        <v>-3.1330224064696793E-2</v>
      </c>
      <c r="U41" s="4">
        <f t="shared" si="3"/>
        <v>-7.5808638282990323E-2</v>
      </c>
      <c r="V41" s="4">
        <f t="shared" si="3"/>
        <v>7.0509121889843568E-2</v>
      </c>
      <c r="W41" s="4">
        <f t="shared" si="3"/>
        <v>7.4263738254217532E-2</v>
      </c>
      <c r="X41" s="4">
        <f t="shared" si="3"/>
        <v>-0.1178061261329459</v>
      </c>
      <c r="Y41" s="4">
        <f t="shared" si="3"/>
        <v>2.1702325417532892E-3</v>
      </c>
      <c r="Z41" s="4">
        <f t="shared" si="3"/>
        <v>4.2774676912232107E-3</v>
      </c>
      <c r="AA41" s="4">
        <f t="shared" si="3"/>
        <v>-7.0640811833208028E-3</v>
      </c>
      <c r="AB41" s="4">
        <f t="shared" si="3"/>
        <v>-7.1782313995861671E-2</v>
      </c>
      <c r="AC41" s="4">
        <f t="shared" si="3"/>
        <v>0.11524485220661529</v>
      </c>
      <c r="AD41" s="4">
        <f t="shared" si="3"/>
        <v>7.1230149627015182E-2</v>
      </c>
      <c r="AE41" s="4">
        <f t="shared" si="3"/>
        <v>-1.6493114922509058E-2</v>
      </c>
      <c r="AF41" s="4">
        <f t="shared" si="3"/>
        <v>4.5050872377953466E-2</v>
      </c>
      <c r="AG41" s="4">
        <f t="shared" ref="AG41" si="4">AG19-$AG19</f>
        <v>0</v>
      </c>
    </row>
    <row r="42" spans="1:33" ht="13.25" x14ac:dyDescent="0.25">
      <c r="A42">
        <v>2004</v>
      </c>
      <c r="B42" s="4">
        <f t="shared" ref="B42:AG43" si="5">B20-$AG20</f>
        <v>-9.1888140708024091E-3</v>
      </c>
      <c r="C42" s="4">
        <f t="shared" si="5"/>
        <v>-3.3776025099732973E-2</v>
      </c>
      <c r="D42" s="4">
        <f t="shared" si="5"/>
        <v>0.14773659666580369</v>
      </c>
      <c r="E42" s="4">
        <f t="shared" si="5"/>
        <v>1.2986680152835689E-3</v>
      </c>
      <c r="F42" s="4">
        <f t="shared" si="5"/>
        <v>0.18586089372188075</v>
      </c>
      <c r="G42" s="4">
        <f t="shared" si="5"/>
        <v>8.1696195150775489E-2</v>
      </c>
      <c r="H42" s="4">
        <f t="shared" si="5"/>
        <v>7.2312285825931286E-2</v>
      </c>
      <c r="I42" s="4">
        <f t="shared" si="5"/>
        <v>5.2001321008127141E-2</v>
      </c>
      <c r="J42" s="4">
        <f t="shared" si="5"/>
        <v>8.5109975880293259E-3</v>
      </c>
      <c r="K42" s="4">
        <f t="shared" si="5"/>
        <v>4.9260777609608578E-2</v>
      </c>
      <c r="L42" s="4">
        <f t="shared" si="5"/>
        <v>0.28995790032677737</v>
      </c>
      <c r="M42" s="4">
        <f t="shared" si="5"/>
        <v>8.6365044946765571E-2</v>
      </c>
      <c r="N42" s="4">
        <f t="shared" si="5"/>
        <v>-6.4000156425438132E-2</v>
      </c>
      <c r="O42" s="4">
        <f t="shared" si="5"/>
        <v>0.19395299586623077</v>
      </c>
      <c r="P42" s="4">
        <f t="shared" si="5"/>
        <v>-8.8967256634267106E-2</v>
      </c>
      <c r="Q42" s="4">
        <f t="shared" si="5"/>
        <v>0.20570092543501584</v>
      </c>
      <c r="R42" s="4">
        <f t="shared" si="5"/>
        <v>0.11751755251192615</v>
      </c>
      <c r="S42" s="4">
        <f t="shared" si="5"/>
        <v>-3.8774669977431162E-2</v>
      </c>
      <c r="T42" s="4">
        <f t="shared" si="5"/>
        <v>-2.7446561458045443E-2</v>
      </c>
      <c r="U42" s="4">
        <f t="shared" si="5"/>
        <v>-4.9652243761048168E-2</v>
      </c>
      <c r="V42" s="4">
        <f t="shared" si="5"/>
        <v>0.15437385320958003</v>
      </c>
      <c r="W42" s="4">
        <f t="shared" si="5"/>
        <v>8.3501330464212473E-2</v>
      </c>
      <c r="X42" s="4">
        <f t="shared" si="5"/>
        <v>-3.1449979402371236E-2</v>
      </c>
      <c r="Y42" s="4">
        <f t="shared" si="5"/>
        <v>-1.3116399800580519E-3</v>
      </c>
      <c r="Z42" s="4">
        <f t="shared" si="5"/>
        <v>-7.9182471923860964E-4</v>
      </c>
      <c r="AA42" s="4">
        <f t="shared" si="5"/>
        <v>-4.1484421117588349E-2</v>
      </c>
      <c r="AB42" s="4">
        <f t="shared" si="5"/>
        <v>-7.2209322088472888E-2</v>
      </c>
      <c r="AC42" s="4">
        <f t="shared" si="5"/>
        <v>0.14092269349324815</v>
      </c>
      <c r="AD42" s="4">
        <f t="shared" si="5"/>
        <v>3.9182048227351066E-2</v>
      </c>
      <c r="AE42" s="4">
        <f t="shared" si="5"/>
        <v>-3.5198149273260218E-2</v>
      </c>
      <c r="AF42" s="4">
        <f t="shared" si="5"/>
        <v>0.13589091575479662</v>
      </c>
      <c r="AG42" s="4">
        <f t="shared" si="5"/>
        <v>0</v>
      </c>
    </row>
    <row r="43" spans="1:33" ht="13.25" x14ac:dyDescent="0.25">
      <c r="A43">
        <v>2005</v>
      </c>
      <c r="B43" s="4">
        <f t="shared" si="5"/>
        <v>-1.5879986209941216E-2</v>
      </c>
      <c r="C43" s="4">
        <f t="shared" si="5"/>
        <v>-4.250908626897737E-2</v>
      </c>
      <c r="D43" s="4">
        <f t="shared" si="5"/>
        <v>0.14913244321846558</v>
      </c>
      <c r="E43" s="4">
        <f t="shared" si="5"/>
        <v>-3.5908798262120345E-3</v>
      </c>
      <c r="F43" s="4">
        <f t="shared" si="5"/>
        <v>0.1922171719348939</v>
      </c>
      <c r="G43" s="4">
        <f t="shared" si="5"/>
        <v>8.1363956726441852E-2</v>
      </c>
      <c r="H43" s="4">
        <f t="shared" si="5"/>
        <v>0.10583896037123648</v>
      </c>
      <c r="I43" s="4">
        <f t="shared" si="5"/>
        <v>0.10604104141498465</v>
      </c>
      <c r="J43" s="4">
        <f t="shared" si="5"/>
        <v>1.808452134777816E-3</v>
      </c>
      <c r="K43" s="4">
        <f t="shared" si="5"/>
        <v>8.7691257151817262E-2</v>
      </c>
      <c r="L43" s="4">
        <f t="shared" si="5"/>
        <v>0.42523180258903565</v>
      </c>
      <c r="M43" s="4">
        <f t="shared" si="5"/>
        <v>4.8719333504901E-2</v>
      </c>
      <c r="N43" s="4">
        <f t="shared" si="5"/>
        <v>-5.1829109101943868E-2</v>
      </c>
      <c r="O43" s="4">
        <f t="shared" si="5"/>
        <v>0.24880852022661992</v>
      </c>
      <c r="P43" s="4">
        <f t="shared" si="5"/>
        <v>-0.10025347255775269</v>
      </c>
      <c r="Q43" s="4">
        <f t="shared" si="5"/>
        <v>0.20431324584866473</v>
      </c>
      <c r="R43" s="4">
        <f t="shared" si="5"/>
        <v>0.13616380199199024</v>
      </c>
      <c r="S43" s="4">
        <f t="shared" si="5"/>
        <v>-1.4425807011332503E-2</v>
      </c>
      <c r="T43" s="4">
        <f t="shared" si="5"/>
        <v>5.0998854479322592E-3</v>
      </c>
      <c r="U43" s="4">
        <f t="shared" si="5"/>
        <v>-3.7732636453578314E-2</v>
      </c>
      <c r="V43" s="4">
        <f t="shared" si="5"/>
        <v>0.18892896828573619</v>
      </c>
      <c r="W43" s="4">
        <f t="shared" si="5"/>
        <v>7.343256460857471E-2</v>
      </c>
      <c r="X43" s="4">
        <f t="shared" si="5"/>
        <v>9.3054855774944295E-3</v>
      </c>
      <c r="Y43" s="4">
        <f t="shared" si="5"/>
        <v>-2.1222355141935989E-2</v>
      </c>
      <c r="Z43" s="4">
        <f t="shared" si="5"/>
        <v>-6.4933115203845704E-3</v>
      </c>
      <c r="AA43" s="4">
        <f t="shared" si="5"/>
        <v>-5.6345118005344877E-2</v>
      </c>
      <c r="AB43" s="4">
        <f t="shared" si="5"/>
        <v>-5.3639298342997216E-2</v>
      </c>
      <c r="AC43" s="4">
        <f t="shared" si="5"/>
        <v>0.13383528654398114</v>
      </c>
      <c r="AD43" s="4">
        <f t="shared" si="5"/>
        <v>3.793619840124797E-2</v>
      </c>
      <c r="AE43" s="4">
        <f t="shared" si="5"/>
        <v>-4.780212941481761E-2</v>
      </c>
      <c r="AF43" s="4">
        <f t="shared" si="5"/>
        <v>9.6018631885298009E-2</v>
      </c>
      <c r="AG43" s="4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42"/>
  <sheetViews>
    <sheetView topLeftCell="B1" zoomScaleNormal="100" workbookViewId="0">
      <selection activeCell="B2" sqref="B2"/>
    </sheetView>
  </sheetViews>
  <sheetFormatPr defaultRowHeight="12.5" x14ac:dyDescent="0.25"/>
  <cols>
    <col min="1" max="1" width="18.08984375" customWidth="1"/>
  </cols>
  <sheetData>
    <row r="1" spans="1:34" ht="13" x14ac:dyDescent="0.3">
      <c r="A1" s="14" t="s">
        <v>62</v>
      </c>
    </row>
    <row r="2" spans="1:34" ht="13.25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s="6" t="s">
        <v>32</v>
      </c>
    </row>
    <row r="3" spans="1:34" ht="13.25" x14ac:dyDescent="0.25">
      <c r="A3">
        <v>1988</v>
      </c>
      <c r="B3" s="4">
        <v>-0.21840016366612111</v>
      </c>
      <c r="C3" s="4">
        <v>0.16623938017632933</v>
      </c>
      <c r="D3" s="4">
        <v>-4.5038198663042601E-2</v>
      </c>
      <c r="E3" s="4">
        <v>3.3631234529149928E-2</v>
      </c>
      <c r="F3" s="4">
        <v>0.4718389671367284</v>
      </c>
      <c r="G3" s="4">
        <v>0.66384075196304082</v>
      </c>
      <c r="H3" s="4">
        <v>0.20054408954306013</v>
      </c>
      <c r="I3" s="4">
        <v>0.21351920463700652</v>
      </c>
      <c r="J3" s="4">
        <v>0.13734238201315882</v>
      </c>
      <c r="K3" s="4">
        <v>-0.56949261588039068</v>
      </c>
      <c r="L3" s="4">
        <v>0.29671783937455576</v>
      </c>
      <c r="M3" s="4">
        <v>0.6941705344732777</v>
      </c>
      <c r="N3" s="4">
        <v>0.87925745992102677</v>
      </c>
      <c r="O3" s="4">
        <v>0.46824905591457833</v>
      </c>
      <c r="P3" s="4">
        <v>-0.13882532656748164</v>
      </c>
      <c r="Q3" s="4">
        <v>0.12221311475409824</v>
      </c>
      <c r="R3" s="4">
        <v>-0.26817332114772574</v>
      </c>
      <c r="S3" s="4">
        <v>-3.1837842987804801E-2</v>
      </c>
      <c r="T3" s="4">
        <v>6.2100301659125175E-2</v>
      </c>
      <c r="U3" s="4">
        <v>0.56717843497515108</v>
      </c>
      <c r="V3" s="4">
        <v>1.8016293154246221</v>
      </c>
      <c r="W3" s="4">
        <v>-7.2656850310614002E-2</v>
      </c>
      <c r="X3" s="4">
        <v>0.96587239622286181</v>
      </c>
      <c r="Y3" s="4">
        <v>-0.10793410738208821</v>
      </c>
      <c r="Z3" s="4">
        <v>0.14682461288631479</v>
      </c>
      <c r="AA3" s="4">
        <v>0.44859470589106687</v>
      </c>
      <c r="AB3" s="4">
        <v>-0.10624673397816205</v>
      </c>
      <c r="AC3" s="4">
        <v>0.10228366746859123</v>
      </c>
      <c r="AD3" s="4">
        <v>0.25922421948912033</v>
      </c>
      <c r="AE3" s="4">
        <v>5.9161682423306911E-2</v>
      </c>
      <c r="AF3" s="4">
        <v>-0.33506607922517023</v>
      </c>
      <c r="AG3" s="7">
        <v>0.10197005504618059</v>
      </c>
      <c r="AH3" s="4"/>
    </row>
    <row r="4" spans="1:34" ht="13.25" x14ac:dyDescent="0.25">
      <c r="A4">
        <v>1989</v>
      </c>
      <c r="B4" s="4">
        <v>0.10794199594731475</v>
      </c>
      <c r="C4" s="4">
        <v>0.67278634056299003</v>
      </c>
      <c r="D4" s="4">
        <v>5.9703790299951404E-2</v>
      </c>
      <c r="E4" s="4">
        <v>0.1358578411156974</v>
      </c>
      <c r="F4" s="4">
        <v>0.44771256082860916</v>
      </c>
      <c r="G4" s="4">
        <v>0.56197861266457072</v>
      </c>
      <c r="H4" s="4">
        <v>0.1620146119129722</v>
      </c>
      <c r="I4" s="4">
        <v>0.35292801815544705</v>
      </c>
      <c r="J4" s="4">
        <v>0.14062724626368101</v>
      </c>
      <c r="K4" s="4">
        <v>0.49842700226244391</v>
      </c>
      <c r="L4" s="4">
        <v>0.29274253731343264</v>
      </c>
      <c r="M4" s="4">
        <v>0.38810558365897102</v>
      </c>
      <c r="N4" s="4">
        <v>0.44721433022253798</v>
      </c>
      <c r="O4" s="4">
        <v>0.261746737709941</v>
      </c>
      <c r="P4" s="4">
        <v>0.17318980089858318</v>
      </c>
      <c r="Q4" s="4">
        <v>0.77642496847414855</v>
      </c>
      <c r="R4" s="4">
        <v>0.34373038745964668</v>
      </c>
      <c r="S4" s="4">
        <v>0.15913418170103086</v>
      </c>
      <c r="T4" s="4">
        <v>0.10027519779841741</v>
      </c>
      <c r="U4" s="4">
        <v>0.10271982408480833</v>
      </c>
      <c r="V4" s="4">
        <v>-0.25946062141836118</v>
      </c>
      <c r="W4" s="4">
        <v>0.51546240721389136</v>
      </c>
      <c r="X4" s="4">
        <v>0.36331830644799312</v>
      </c>
      <c r="Y4" s="4">
        <v>0.4968083044838339</v>
      </c>
      <c r="Z4" s="4">
        <v>0.15838867114321328</v>
      </c>
      <c r="AA4" s="4">
        <v>0.26966627383015579</v>
      </c>
      <c r="AB4" s="4">
        <v>3.691902212043191E-2</v>
      </c>
      <c r="AC4" s="4">
        <v>0.18925020048115471</v>
      </c>
      <c r="AD4" s="4">
        <v>0.24007450331125835</v>
      </c>
      <c r="AE4" s="4">
        <v>0.11503618506073925</v>
      </c>
      <c r="AF4" s="4">
        <v>0.31977525186271144</v>
      </c>
      <c r="AG4" s="7">
        <v>0.1758040085681882</v>
      </c>
      <c r="AH4" s="4"/>
    </row>
    <row r="5" spans="1:34" ht="13.25" x14ac:dyDescent="0.25">
      <c r="A5">
        <v>1990</v>
      </c>
      <c r="B5" s="4">
        <v>-3.8491922773837589E-2</v>
      </c>
      <c r="C5" s="4">
        <v>0.6585917935702198</v>
      </c>
      <c r="D5" s="4">
        <v>0.12713787481962069</v>
      </c>
      <c r="E5" s="4">
        <v>0.15089222027017959</v>
      </c>
      <c r="F5" s="4">
        <v>0.24325575497010749</v>
      </c>
      <c r="G5" s="4">
        <v>-0.13696447919390431</v>
      </c>
      <c r="H5" s="4">
        <v>-3.2835924395294966E-2</v>
      </c>
      <c r="I5" s="4">
        <v>0.61321914011226364</v>
      </c>
      <c r="J5" s="4">
        <v>4.6300155210302098E-2</v>
      </c>
      <c r="K5" s="4">
        <v>-0.51007844650174805</v>
      </c>
      <c r="L5" s="4">
        <v>0.28491910196914605</v>
      </c>
      <c r="M5" s="4">
        <v>0.20190031492347246</v>
      </c>
      <c r="N5" s="4">
        <v>2.4548936068372391E-2</v>
      </c>
      <c r="O5" s="4">
        <v>0.56824321125057409</v>
      </c>
      <c r="P5" s="4">
        <v>-0.15766671229698417</v>
      </c>
      <c r="Q5" s="4">
        <v>-0.45441451990632292</v>
      </c>
      <c r="R5" s="4">
        <v>4.2372390299135816E-2</v>
      </c>
      <c r="S5" s="4">
        <v>0.29823780080213907</v>
      </c>
      <c r="T5" s="4">
        <v>-1.0374001452432896E-2</v>
      </c>
      <c r="U5" s="4">
        <v>-0.13507284797482774</v>
      </c>
      <c r="V5" s="4">
        <v>0.17145720369443962</v>
      </c>
      <c r="W5" s="4">
        <v>-0.21684973901053217</v>
      </c>
      <c r="X5" s="4">
        <v>-0.41435973429593576</v>
      </c>
      <c r="Y5" s="4">
        <v>-0.13111234300173516</v>
      </c>
      <c r="Z5" s="4">
        <v>0.12466349569238325</v>
      </c>
      <c r="AA5" s="4">
        <v>0.28408000000000017</v>
      </c>
      <c r="AB5" s="4">
        <v>0.24303485263765287</v>
      </c>
      <c r="AC5" s="4">
        <v>-5.3457743027711176E-2</v>
      </c>
      <c r="AD5" s="4">
        <v>3.7224061810153808E-2</v>
      </c>
      <c r="AE5" s="4">
        <v>4.3725768932540654E-2</v>
      </c>
      <c r="AF5" s="4">
        <v>-0.35440831936056999</v>
      </c>
      <c r="AG5" s="7">
        <v>5.746294198022997E-2</v>
      </c>
      <c r="AH5" s="4"/>
    </row>
    <row r="6" spans="1:34" ht="13.25" x14ac:dyDescent="0.25">
      <c r="A6">
        <v>1991</v>
      </c>
      <c r="B6" s="4">
        <v>0.13843590330206668</v>
      </c>
      <c r="C6" s="4">
        <v>0.17310998307952613</v>
      </c>
      <c r="D6" s="4">
        <v>0.26461089416552513</v>
      </c>
      <c r="E6" s="4">
        <v>9.7408189955330862E-2</v>
      </c>
      <c r="F6" s="4">
        <v>2.1381164220284583E-2</v>
      </c>
      <c r="G6" s="4">
        <v>-4.7406285585252728E-2</v>
      </c>
      <c r="H6" s="4">
        <v>-0.36304314082841399</v>
      </c>
      <c r="I6" s="4">
        <v>0.12496390226266788</v>
      </c>
      <c r="J6" s="4">
        <v>-9.3833243889348966E-3</v>
      </c>
      <c r="K6" s="4">
        <v>0.1209026593553571</v>
      </c>
      <c r="L6" s="4">
        <v>-5.8277938040887885E-2</v>
      </c>
      <c r="M6" s="4">
        <v>0.26278756765440642</v>
      </c>
      <c r="N6" s="4">
        <v>-0.69796566229266266</v>
      </c>
      <c r="O6" s="4">
        <v>0.14009976048631698</v>
      </c>
      <c r="P6" s="4">
        <v>-7.7354127173672751E-2</v>
      </c>
      <c r="Q6" s="4">
        <v>2.0491803278677168E-4</v>
      </c>
      <c r="R6" s="4">
        <v>-0.22082908355867492</v>
      </c>
      <c r="S6" s="4">
        <v>-0.37955633600917416</v>
      </c>
      <c r="T6" s="4">
        <v>0.13543282498184459</v>
      </c>
      <c r="U6" s="4">
        <v>-8.2746358686550101E-2</v>
      </c>
      <c r="V6" s="4">
        <v>-0.51187331359777821</v>
      </c>
      <c r="W6" s="4">
        <v>0.31593643387741704</v>
      </c>
      <c r="X6" s="4">
        <v>-0.27109027743827779</v>
      </c>
      <c r="Y6" s="4">
        <v>3.7319065343231102E-2</v>
      </c>
      <c r="Z6" s="4">
        <v>3.7536476351127078E-2</v>
      </c>
      <c r="AA6" s="4">
        <v>-9.3529226406175781E-2</v>
      </c>
      <c r="AB6" s="4">
        <v>7.0796433248171253E-2</v>
      </c>
      <c r="AC6" s="4">
        <v>0.17033665983545768</v>
      </c>
      <c r="AD6" s="4">
        <v>8.4348785871964926E-2</v>
      </c>
      <c r="AE6" s="4">
        <v>2.418807077625577E-2</v>
      </c>
      <c r="AF6" s="4">
        <v>-0.181080530806114</v>
      </c>
      <c r="AG6" s="7">
        <v>2.5337624243230671E-2</v>
      </c>
      <c r="AH6" s="4"/>
    </row>
    <row r="7" spans="1:34" ht="13.25" x14ac:dyDescent="0.25">
      <c r="A7">
        <v>1992</v>
      </c>
      <c r="B7" s="4">
        <v>0.22224192277383764</v>
      </c>
      <c r="C7" s="4">
        <v>0.94142172588832485</v>
      </c>
      <c r="D7" s="4">
        <v>0.16492854255168651</v>
      </c>
      <c r="E7" s="4">
        <v>0.14907806972351018</v>
      </c>
      <c r="F7" s="4">
        <v>8.8264619198328648E-2</v>
      </c>
      <c r="G7" s="4">
        <v>0.12313533994476243</v>
      </c>
      <c r="H7" s="4">
        <v>0.13360212572420119</v>
      </c>
      <c r="I7" s="4">
        <v>8.5017527992363146E-2</v>
      </c>
      <c r="J7" s="4">
        <v>3.7652093802345375E-2</v>
      </c>
      <c r="K7" s="4">
        <v>0.50696845469661644</v>
      </c>
      <c r="L7" s="4">
        <v>0.35079557569296371</v>
      </c>
      <c r="M7" s="4">
        <v>0.18801863628995236</v>
      </c>
      <c r="N7" s="4">
        <v>0.2122712346586336</v>
      </c>
      <c r="O7" s="4">
        <v>-9.4543129717463606E-2</v>
      </c>
      <c r="P7" s="4">
        <v>0.16973236887819648</v>
      </c>
      <c r="Q7" s="4">
        <v>8.4355971896955706E-2</v>
      </c>
      <c r="R7" s="4">
        <v>0.6817661144897017</v>
      </c>
      <c r="S7" s="4">
        <v>-0.1566005067567568</v>
      </c>
      <c r="T7" s="4">
        <v>9.191996798719515E-2</v>
      </c>
      <c r="U7" s="4">
        <v>-4.6648634448165575E-2</v>
      </c>
      <c r="V7" s="4">
        <v>-0.22002736406044632</v>
      </c>
      <c r="W7" s="4">
        <v>7.2776341456235641E-2</v>
      </c>
      <c r="X7" s="4">
        <v>-0.13907382790028686</v>
      </c>
      <c r="Y7" s="4">
        <v>0.30347407308956109</v>
      </c>
      <c r="Z7" s="4">
        <v>0.38711452075209574</v>
      </c>
      <c r="AA7" s="4">
        <v>0.27562813453781332</v>
      </c>
      <c r="AB7" s="4">
        <v>0.49219198524284052</v>
      </c>
      <c r="AC7" s="4">
        <v>0.13148985015016415</v>
      </c>
      <c r="AD7" s="4">
        <v>0.30081993062125573</v>
      </c>
      <c r="AE7" s="4">
        <v>7.5273972602739575E-2</v>
      </c>
      <c r="AF7" s="4">
        <v>0.15014370817214187</v>
      </c>
      <c r="AG7" s="7">
        <v>0.13296760632684332</v>
      </c>
      <c r="AH7" s="4"/>
    </row>
    <row r="8" spans="1:34" ht="13.25" x14ac:dyDescent="0.25">
      <c r="A8">
        <v>1993</v>
      </c>
      <c r="B8" s="4">
        <v>0.35197588652482281</v>
      </c>
      <c r="C8" s="4">
        <v>-0.69551945854483976</v>
      </c>
      <c r="D8" s="4">
        <v>-2.9186556716837102E-2</v>
      </c>
      <c r="E8" s="4">
        <v>0.21161517678492259</v>
      </c>
      <c r="F8" s="4">
        <v>0.1057025235869426</v>
      </c>
      <c r="G8" s="4">
        <v>0.26625328916065483</v>
      </c>
      <c r="H8" s="4">
        <v>0.29553744204088084</v>
      </c>
      <c r="I8" s="4">
        <v>-0.11666084380986458</v>
      </c>
      <c r="J8" s="4">
        <v>0.2417666212683354</v>
      </c>
      <c r="K8" s="4">
        <v>0.73031675391146944</v>
      </c>
      <c r="L8" s="4">
        <v>-6.6646766169154617E-2</v>
      </c>
      <c r="M8" s="4">
        <v>0.12486604788551829</v>
      </c>
      <c r="N8" s="4">
        <v>-7.3431357338602815E-2</v>
      </c>
      <c r="O8" s="4">
        <v>-1.9772910322608816E-2</v>
      </c>
      <c r="P8" s="4">
        <v>-0.11638249522283504</v>
      </c>
      <c r="Q8" s="4">
        <v>0.38604371584699432</v>
      </c>
      <c r="R8" s="4">
        <v>-5.1121615106401192E-3</v>
      </c>
      <c r="S8" s="4">
        <v>8.2870979532163699E-2</v>
      </c>
      <c r="T8" s="4">
        <v>0.29815032679738551</v>
      </c>
      <c r="U8" s="4">
        <v>7.1270935526345086E-2</v>
      </c>
      <c r="V8" s="4">
        <v>0.32110555856520706</v>
      </c>
      <c r="W8" s="4">
        <v>0.38417326191630841</v>
      </c>
      <c r="X8" s="4">
        <v>0.1922847506591569</v>
      </c>
      <c r="Y8" s="4">
        <v>-0.21288152777130567</v>
      </c>
      <c r="Z8" s="4">
        <v>0.26040279031345098</v>
      </c>
      <c r="AA8" s="4">
        <v>0.20854945760318344</v>
      </c>
      <c r="AB8" s="4">
        <v>-8.9788931936992333E-2</v>
      </c>
      <c r="AC8" s="4">
        <v>0.44392432747685368</v>
      </c>
      <c r="AD8" s="4">
        <v>0.48488174077578</v>
      </c>
      <c r="AE8" s="4">
        <v>0.12169294391315598</v>
      </c>
      <c r="AF8" s="4">
        <v>0.57511634101847398</v>
      </c>
      <c r="AG8" s="7">
        <v>0.14846757040875186</v>
      </c>
      <c r="AH8" s="4"/>
    </row>
    <row r="9" spans="1:34" ht="13.25" x14ac:dyDescent="0.25">
      <c r="A9">
        <v>1994</v>
      </c>
      <c r="B9" s="4">
        <v>0.30219530823786134</v>
      </c>
      <c r="C9" s="4">
        <v>-7.2800208251984369E-2</v>
      </c>
      <c r="D9" s="4">
        <v>-0.14687675996316854</v>
      </c>
      <c r="E9" s="4">
        <v>0.11536636435216238</v>
      </c>
      <c r="F9" s="4">
        <v>0.56058437037104447</v>
      </c>
      <c r="G9" s="4">
        <v>0.54363290065722181</v>
      </c>
      <c r="H9" s="4">
        <v>0.6741023385697813</v>
      </c>
      <c r="I9" s="4">
        <v>1.8496297113356423E-3</v>
      </c>
      <c r="J9" s="4">
        <v>9.042513452216816E-2</v>
      </c>
      <c r="K9" s="4">
        <v>0.10925432772673385</v>
      </c>
      <c r="L9" s="4">
        <v>0.3334092694422624</v>
      </c>
      <c r="M9" s="4">
        <v>0.33706211051249324</v>
      </c>
      <c r="N9" s="4">
        <v>8.4938708062359175E-2</v>
      </c>
      <c r="O9" s="4">
        <v>-3.1946224037616142E-2</v>
      </c>
      <c r="P9" s="4">
        <v>0.30949780136791416</v>
      </c>
      <c r="Q9" s="4">
        <v>-0.48682563338301033</v>
      </c>
      <c r="R9" s="4">
        <v>1.0402909661467379</v>
      </c>
      <c r="S9" s="4">
        <v>-3.09895833333334E-2</v>
      </c>
      <c r="T9" s="4">
        <v>9.7980736154110654E-2</v>
      </c>
      <c r="U9" s="4">
        <v>0.23516236680875294</v>
      </c>
      <c r="V9" s="4">
        <v>-0.27991304792115473</v>
      </c>
      <c r="W9" s="4">
        <v>0.2025377840066811</v>
      </c>
      <c r="X9" s="4">
        <v>0.3956844885202182</v>
      </c>
      <c r="Y9" s="4">
        <v>0.3116565749700404</v>
      </c>
      <c r="Z9" s="4">
        <v>0.15126780836263448</v>
      </c>
      <c r="AA9" s="4">
        <v>0.15986063713841606</v>
      </c>
      <c r="AB9" s="4">
        <v>-0.1213809514390448</v>
      </c>
      <c r="AC9" s="4">
        <v>0.24672386329931539</v>
      </c>
      <c r="AD9" s="4">
        <v>0.32579028697571744</v>
      </c>
      <c r="AE9" s="4">
        <v>0.16068344252531275</v>
      </c>
      <c r="AF9" s="4">
        <v>0.53211654106925066</v>
      </c>
      <c r="AG9" s="7">
        <v>0.15317816991215261</v>
      </c>
      <c r="AH9" s="4"/>
    </row>
    <row r="10" spans="1:34" ht="13.25" x14ac:dyDescent="0.25">
      <c r="A10">
        <v>1995</v>
      </c>
      <c r="B10" s="4">
        <v>0.44537234042553209</v>
      </c>
      <c r="C10" s="4">
        <v>0.17198307952622671</v>
      </c>
      <c r="D10" s="4">
        <v>0.15569173946506071</v>
      </c>
      <c r="E10" s="4">
        <v>5.4138833605047683E-2</v>
      </c>
      <c r="F10" s="4">
        <v>0.32971360199369681</v>
      </c>
      <c r="G10" s="4">
        <v>-0.14653866885754438</v>
      </c>
      <c r="H10" s="4">
        <v>0.23625168113575029</v>
      </c>
      <c r="I10" s="4">
        <v>0.69776040654005411</v>
      </c>
      <c r="J10" s="4">
        <v>-7.3433044487529464E-2</v>
      </c>
      <c r="K10" s="4">
        <v>0.24516719182566396</v>
      </c>
      <c r="L10" s="4">
        <v>6.8009594882729285E-2</v>
      </c>
      <c r="M10" s="4">
        <v>0.32652969778752289</v>
      </c>
      <c r="N10" s="4">
        <v>0.36387213903623455</v>
      </c>
      <c r="O10" s="4">
        <v>0.12815923992601522</v>
      </c>
      <c r="P10" s="4">
        <v>-1.9856473200286707E-2</v>
      </c>
      <c r="Q10" s="4">
        <v>-4.244607420189804E-2</v>
      </c>
      <c r="R10" s="4">
        <v>0.44022717882822848</v>
      </c>
      <c r="S10" s="4">
        <v>4.3567954009434008E-2</v>
      </c>
      <c r="T10" s="4">
        <v>-3.1979118920295473E-2</v>
      </c>
      <c r="U10" s="4">
        <v>0.88145553967298917</v>
      </c>
      <c r="V10" s="4">
        <v>-0.25701904494690492</v>
      </c>
      <c r="W10" s="4">
        <v>3.2063020553782545E-2</v>
      </c>
      <c r="X10" s="4">
        <v>0.63358861525492072</v>
      </c>
      <c r="Y10" s="4">
        <v>-0.36575148600530005</v>
      </c>
      <c r="Z10" s="4">
        <v>0.25815710416153498</v>
      </c>
      <c r="AA10" s="4">
        <v>7.914294441456346E-2</v>
      </c>
      <c r="AB10" s="4">
        <v>-9.2077183009333902E-2</v>
      </c>
      <c r="AC10" s="4">
        <v>-5.8447355620702704E-2</v>
      </c>
      <c r="AD10" s="4">
        <v>0.10908250551876386</v>
      </c>
      <c r="AE10" s="4">
        <v>8.0352489141329947E-2</v>
      </c>
      <c r="AF10" s="4">
        <v>0.20216946652380396</v>
      </c>
      <c r="AG10" s="7">
        <v>9.5264315288917364E-2</v>
      </c>
      <c r="AH10" s="4"/>
    </row>
    <row r="11" spans="1:34" ht="13.25" x14ac:dyDescent="0.25">
      <c r="A11">
        <v>1996</v>
      </c>
      <c r="B11" s="4">
        <v>0.4033288446000538</v>
      </c>
      <c r="C11" s="4">
        <v>0.10099041173152827</v>
      </c>
      <c r="D11" s="4">
        <v>8.8702216490437594E-2</v>
      </c>
      <c r="E11" s="4">
        <v>0.12916466945786775</v>
      </c>
      <c r="F11" s="4">
        <v>4.031638306130482E-2</v>
      </c>
      <c r="G11" s="4">
        <v>-1.8757796150865744E-2</v>
      </c>
      <c r="H11" s="4">
        <v>0.38860274178012222</v>
      </c>
      <c r="I11" s="4">
        <v>-0.25503697526403207</v>
      </c>
      <c r="J11" s="4">
        <v>0.14372385738214888</v>
      </c>
      <c r="K11" s="4">
        <v>0.3723492888980755</v>
      </c>
      <c r="L11" s="4">
        <v>0.24273199221284872</v>
      </c>
      <c r="M11" s="4">
        <v>6.3293485216573339E-2</v>
      </c>
      <c r="N11" s="4">
        <v>3.1065610210207414E-2</v>
      </c>
      <c r="O11" s="4">
        <v>0.69504162427084437</v>
      </c>
      <c r="P11" s="4">
        <v>3.442818109146685E-2</v>
      </c>
      <c r="Q11" s="4">
        <v>6.9003783102143321E-2</v>
      </c>
      <c r="R11" s="4">
        <v>-5.8922494777738289E-2</v>
      </c>
      <c r="S11" s="4">
        <v>0.4955967881944443</v>
      </c>
      <c r="T11" s="4">
        <v>0.11926966551326418</v>
      </c>
      <c r="U11" s="4">
        <v>-0.34862777921478549</v>
      </c>
      <c r="V11" s="4">
        <v>0.15846528811659097</v>
      </c>
      <c r="W11" s="4">
        <v>0.38718502732510313</v>
      </c>
      <c r="X11" s="4">
        <v>-0.17202829610074391</v>
      </c>
      <c r="Y11" s="4">
        <v>0.61137299811153845</v>
      </c>
      <c r="Z11" s="4">
        <v>0.19039613231552341</v>
      </c>
      <c r="AA11" s="4">
        <v>0.19941878985190339</v>
      </c>
      <c r="AB11" s="4">
        <v>0.18910529954283922</v>
      </c>
      <c r="AC11" s="4">
        <v>2.1703663259908707E-2</v>
      </c>
      <c r="AD11" s="4">
        <v>0.15084375766494956</v>
      </c>
      <c r="AE11" s="4">
        <v>4.5583027063147166E-2</v>
      </c>
      <c r="AF11" s="4">
        <v>-0.34698750247917853</v>
      </c>
      <c r="AG11" s="7">
        <v>0.15754282070689637</v>
      </c>
      <c r="AH11" s="4"/>
    </row>
    <row r="12" spans="1:34" ht="13.25" x14ac:dyDescent="0.25">
      <c r="A12">
        <v>1997</v>
      </c>
      <c r="B12" s="4">
        <v>0.31660746732313461</v>
      </c>
      <c r="C12" s="4">
        <v>0.43674864344477521</v>
      </c>
      <c r="D12" s="4">
        <v>0.20854821082400024</v>
      </c>
      <c r="E12" s="4">
        <v>-0.10458681019349453</v>
      </c>
      <c r="F12" s="4">
        <v>0.24126057200582987</v>
      </c>
      <c r="G12" s="4">
        <v>0.2808080838678586</v>
      </c>
      <c r="H12" s="4">
        <v>0.19528069996032119</v>
      </c>
      <c r="I12" s="4">
        <v>0.18066407887859479</v>
      </c>
      <c r="J12" s="4">
        <v>0.18546800670016761</v>
      </c>
      <c r="K12" s="4">
        <v>0.40313087116071133</v>
      </c>
      <c r="L12" s="4">
        <v>8.9277718550106661E-2</v>
      </c>
      <c r="M12" s="4">
        <v>0.3281247203085001</v>
      </c>
      <c r="N12" s="4">
        <v>4.733257140617287E-2</v>
      </c>
      <c r="O12" s="4">
        <v>0.10438782490551136</v>
      </c>
      <c r="P12" s="4">
        <v>4.8112336923654388E-2</v>
      </c>
      <c r="Q12" s="4">
        <v>-0.41058469945355142</v>
      </c>
      <c r="R12" s="4">
        <v>1.0397508390050076</v>
      </c>
      <c r="S12" s="4">
        <v>1.1378633720930344E-2</v>
      </c>
      <c r="T12" s="4">
        <v>0.12783595691797867</v>
      </c>
      <c r="U12" s="4">
        <v>-0.22470678867900043</v>
      </c>
      <c r="V12" s="4">
        <v>0.53097378257474992</v>
      </c>
      <c r="W12" s="4">
        <v>0.18640751681323486</v>
      </c>
      <c r="X12" s="4">
        <v>0.12360891220113988</v>
      </c>
      <c r="Y12" s="4">
        <v>-0.12524101510872165</v>
      </c>
      <c r="Z12" s="4">
        <v>0.25849753750044047</v>
      </c>
      <c r="AA12" s="4">
        <v>0.11431263364019001</v>
      </c>
      <c r="AB12" s="4">
        <v>3.4968925686890924E-2</v>
      </c>
      <c r="AC12" s="4">
        <v>0.22683630092753601</v>
      </c>
      <c r="AD12" s="4">
        <v>0.39513875748975091</v>
      </c>
      <c r="AE12" s="4">
        <v>6.2467893835616295E-2</v>
      </c>
      <c r="AF12" s="4">
        <v>1.529969171758503E-2</v>
      </c>
      <c r="AG12" s="7">
        <v>0.12249671684936803</v>
      </c>
      <c r="AH12" s="4"/>
    </row>
    <row r="13" spans="1:34" ht="13.25" x14ac:dyDescent="0.25">
      <c r="A13">
        <v>1998</v>
      </c>
      <c r="B13" s="4">
        <v>-2.5051291793313068E-2</v>
      </c>
      <c r="C13" s="4">
        <v>-0.10939115721327154</v>
      </c>
      <c r="D13" s="4">
        <v>2.3668332547771929E-2</v>
      </c>
      <c r="E13" s="4">
        <v>0.16468399886194982</v>
      </c>
      <c r="F13" s="4">
        <v>-3.0188207394946508E-2</v>
      </c>
      <c r="G13" s="4">
        <v>-0.36230639815937937</v>
      </c>
      <c r="H13" s="4">
        <v>3.4075549764169544E-2</v>
      </c>
      <c r="I13" s="4">
        <v>-1.695242927251411E-2</v>
      </c>
      <c r="J13" s="4">
        <v>0.11955531080057805</v>
      </c>
      <c r="K13" s="4">
        <v>7.6054691791176549E-2</v>
      </c>
      <c r="L13" s="4">
        <v>-0.43386832073399251</v>
      </c>
      <c r="M13" s="4">
        <v>4.6338199732069887E-2</v>
      </c>
      <c r="N13" s="4">
        <v>0.40452337378907743</v>
      </c>
      <c r="O13" s="4">
        <v>2.3768855439879749E-2</v>
      </c>
      <c r="P13" s="4">
        <v>8.3054444610251216E-2</v>
      </c>
      <c r="Q13" s="4">
        <v>-0.26559198542805118</v>
      </c>
      <c r="R13" s="4">
        <v>4.3434874891262708E-2</v>
      </c>
      <c r="S13" s="4">
        <v>-0.60241681654676249</v>
      </c>
      <c r="T13" s="4">
        <v>-5.7246965452847826E-2</v>
      </c>
      <c r="U13" s="4">
        <v>5.9339206394406667E-3</v>
      </c>
      <c r="V13" s="4">
        <v>0.48033182275396569</v>
      </c>
      <c r="W13" s="4">
        <v>8.6794052024350199E-2</v>
      </c>
      <c r="X13" s="4">
        <v>4.308740333706531E-2</v>
      </c>
      <c r="Y13" s="4">
        <v>1.9195866522026092E-3</v>
      </c>
      <c r="Z13" s="4">
        <v>7.5262693898732136E-2</v>
      </c>
      <c r="AA13" s="4">
        <v>1.3117122451491577E-2</v>
      </c>
      <c r="AB13" s="4">
        <v>-3.0781810615544324E-2</v>
      </c>
      <c r="AC13" s="4">
        <v>6.731494475630434E-2</v>
      </c>
      <c r="AD13" s="4">
        <v>0.15369809734048148</v>
      </c>
      <c r="AE13" s="4">
        <v>3.6174530695077109E-3</v>
      </c>
      <c r="AF13" s="4">
        <v>7.086635405116992E-3</v>
      </c>
      <c r="AG13" s="7">
        <v>5.4944485727726452E-3</v>
      </c>
      <c r="AH13" s="4"/>
    </row>
    <row r="14" spans="1:34" ht="13.25" x14ac:dyDescent="0.25">
      <c r="A14">
        <v>1999</v>
      </c>
      <c r="B14" s="4">
        <v>0.17694577205090534</v>
      </c>
      <c r="C14" s="4">
        <v>0.21721668074700387</v>
      </c>
      <c r="D14" s="4">
        <v>0.21605547820102086</v>
      </c>
      <c r="E14" s="4">
        <v>8.4808769967086139E-2</v>
      </c>
      <c r="F14" s="4">
        <v>3.8512955807733035E-2</v>
      </c>
      <c r="G14" s="4">
        <v>0.38936296413979515</v>
      </c>
      <c r="H14" s="4">
        <v>0.1466127361053931</v>
      </c>
      <c r="I14" s="4">
        <v>0.80420604063975798</v>
      </c>
      <c r="J14" s="4">
        <v>0.10977352979691085</v>
      </c>
      <c r="K14" s="4">
        <v>0.15729094226734966</v>
      </c>
      <c r="L14" s="4">
        <v>-0.14227360551738558</v>
      </c>
      <c r="M14" s="4">
        <v>-0.15689473174158913</v>
      </c>
      <c r="N14" s="4">
        <v>-0.22814470781472954</v>
      </c>
      <c r="O14" s="4">
        <v>0.14178802879568375</v>
      </c>
      <c r="P14" s="4">
        <v>8.569374289175255E-2</v>
      </c>
      <c r="Q14" s="4">
        <v>1.5148812638982261</v>
      </c>
      <c r="R14" s="4">
        <v>0.24631631452459582</v>
      </c>
      <c r="S14" s="4">
        <v>0.39523247148316287</v>
      </c>
      <c r="T14" s="4">
        <v>0.11451264191456367</v>
      </c>
      <c r="U14" s="4">
        <v>0.11885864060349803</v>
      </c>
      <c r="V14" s="4">
        <v>-1.2345629607973456</v>
      </c>
      <c r="W14" s="4">
        <v>0.13549523563785904</v>
      </c>
      <c r="X14" s="4">
        <v>-0.31655319330046444</v>
      </c>
      <c r="Y14" s="4">
        <v>0.14629071792754908</v>
      </c>
      <c r="Z14" s="4">
        <v>0.23890406442686232</v>
      </c>
      <c r="AA14" s="4">
        <v>0.11993553695620511</v>
      </c>
      <c r="AB14" s="4">
        <v>-0.11077849204201735</v>
      </c>
      <c r="AC14" s="4">
        <v>3.7240566564463062E-2</v>
      </c>
      <c r="AD14" s="4">
        <v>0.56918233283486441</v>
      </c>
      <c r="AE14" s="4">
        <v>0.30112726765859854</v>
      </c>
      <c r="AF14" s="4">
        <v>0.35561091195854788</v>
      </c>
      <c r="AG14" s="7">
        <v>7.7486495722933701E-2</v>
      </c>
      <c r="AH14" s="4"/>
    </row>
    <row r="15" spans="1:34" ht="13.25" x14ac:dyDescent="0.25">
      <c r="A15">
        <v>2000</v>
      </c>
      <c r="B15" s="4">
        <v>0.14015146949150054</v>
      </c>
      <c r="C15" s="4">
        <v>-5.1628888749780527E-2</v>
      </c>
      <c r="D15" s="4">
        <v>6.9451437072074421E-2</v>
      </c>
      <c r="E15" s="4">
        <v>4.4622849853110255E-2</v>
      </c>
      <c r="F15" s="4">
        <v>-0.15091859697301249</v>
      </c>
      <c r="G15" s="4">
        <v>-9.6847357336483059E-2</v>
      </c>
      <c r="H15" s="4">
        <v>-8.965371973746996E-3</v>
      </c>
      <c r="I15" s="4">
        <v>-0.29146431677985635</v>
      </c>
      <c r="J15" s="4">
        <v>0.10635837943560862</v>
      </c>
      <c r="K15" s="4">
        <v>-5.7909268086689066E-2</v>
      </c>
      <c r="L15" s="4">
        <v>-1.3948047994030728</v>
      </c>
      <c r="M15" s="4">
        <v>0.33153881761905074</v>
      </c>
      <c r="N15" s="4">
        <v>-5.3845371565920674E-2</v>
      </c>
      <c r="O15" s="4">
        <v>0.40619306899965257</v>
      </c>
      <c r="P15" s="4">
        <v>-7.954939913033772E-2</v>
      </c>
      <c r="Q15" s="4">
        <v>0.11876039299361715</v>
      </c>
      <c r="R15" s="4">
        <v>-0.23169442841722457</v>
      </c>
      <c r="S15" s="4">
        <v>1.1489437697926426</v>
      </c>
      <c r="T15" s="4">
        <v>0.14068675191079441</v>
      </c>
      <c r="U15" s="4">
        <v>6.0067800167158548E-2</v>
      </c>
      <c r="V15" s="4">
        <v>0.65592685678704954</v>
      </c>
      <c r="W15" s="4">
        <v>-0.13510984601305293</v>
      </c>
      <c r="X15" s="4">
        <v>-5.0489995433383901E-2</v>
      </c>
      <c r="Y15" s="4">
        <v>-0.11324556309619735</v>
      </c>
      <c r="Z15" s="4">
        <v>0.16769226578581317</v>
      </c>
      <c r="AA15" s="4">
        <v>6.5603558726108027E-2</v>
      </c>
      <c r="AB15" s="4">
        <v>-0.13009499569690536</v>
      </c>
      <c r="AC15" s="4">
        <v>-9.0051751883549275E-2</v>
      </c>
      <c r="AD15" s="4">
        <v>-2.7810230666378163E-2</v>
      </c>
      <c r="AE15" s="4">
        <v>6.6592054775948026E-2</v>
      </c>
      <c r="AF15" s="4">
        <v>-0.30952719448278904</v>
      </c>
      <c r="AG15" s="7">
        <v>3.7535276263854132E-2</v>
      </c>
      <c r="AH15" s="4"/>
    </row>
    <row r="16" spans="1:34" ht="13.25" x14ac:dyDescent="0.25">
      <c r="A16">
        <v>2001</v>
      </c>
      <c r="B16" s="4">
        <v>-0.39421317852235255</v>
      </c>
      <c r="C16" s="4">
        <v>0.1826191741907042</v>
      </c>
      <c r="D16" s="4">
        <v>0.23579105074384796</v>
      </c>
      <c r="E16" s="4">
        <v>7.9211493838528171E-2</v>
      </c>
      <c r="F16" s="4">
        <v>2.3816031078588169E-2</v>
      </c>
      <c r="G16" s="4">
        <v>0.13044080640916125</v>
      </c>
      <c r="H16" s="4">
        <v>-0.48185599517026478</v>
      </c>
      <c r="I16" s="4">
        <v>0.56333813460141702</v>
      </c>
      <c r="J16" s="4">
        <v>8.129957668026308E-2</v>
      </c>
      <c r="K16" s="4">
        <v>-0.63657548642061068</v>
      </c>
      <c r="L16" s="4">
        <v>0.75851502835164808</v>
      </c>
      <c r="M16" s="4">
        <v>-0.30579758019037367</v>
      </c>
      <c r="N16" s="4">
        <v>-3.1652622579649382E-2</v>
      </c>
      <c r="O16" s="4">
        <v>-0.15067950869425226</v>
      </c>
      <c r="P16" s="4">
        <v>-4.6147297527067491E-2</v>
      </c>
      <c r="Q16" s="4">
        <v>1.0672475487296538</v>
      </c>
      <c r="R16" s="4">
        <v>-0.12754583296968977</v>
      </c>
      <c r="S16" s="4">
        <v>-0.32334549831197457</v>
      </c>
      <c r="T16" s="4">
        <v>4.025428938010716E-2</v>
      </c>
      <c r="U16" s="4">
        <v>-0.64705948038585126</v>
      </c>
      <c r="V16" s="4">
        <v>1.0012002973783134</v>
      </c>
      <c r="W16" s="4">
        <v>-0.13642373894306101</v>
      </c>
      <c r="X16" s="4">
        <v>-0.64951564868951817</v>
      </c>
      <c r="Y16" s="4">
        <v>-0.18434123244470288</v>
      </c>
      <c r="Z16" s="4">
        <v>0.32259797275654845</v>
      </c>
      <c r="AA16" s="4">
        <v>-2.6192962642362573E-2</v>
      </c>
      <c r="AB16" s="4">
        <v>-0.61680664922884465</v>
      </c>
      <c r="AC16" s="4">
        <v>3.3763394635006258E-2</v>
      </c>
      <c r="AD16" s="4">
        <v>-0.12120917330832981</v>
      </c>
      <c r="AE16" s="4">
        <v>-0.21713046251993628</v>
      </c>
      <c r="AF16" s="4">
        <v>0.10572834425047958</v>
      </c>
      <c r="AG16" s="7">
        <v>3.7896735242150738E-2</v>
      </c>
      <c r="AH16" s="4"/>
    </row>
    <row r="17" spans="1:34" ht="13.25" x14ac:dyDescent="0.25">
      <c r="A17">
        <v>2002</v>
      </c>
      <c r="B17" s="4">
        <v>0.21872857184140543</v>
      </c>
      <c r="C17" s="4">
        <v>9.0134763855280978E-2</v>
      </c>
      <c r="D17" s="4">
        <v>0.40807410713448239</v>
      </c>
      <c r="E17" s="4">
        <v>6.4050671142162601E-3</v>
      </c>
      <c r="F17" s="4">
        <v>0.36622931011750748</v>
      </c>
      <c r="G17" s="4">
        <v>0.12579993115678945</v>
      </c>
      <c r="H17" s="4">
        <v>-0.18341160095388803</v>
      </c>
      <c r="I17" s="4">
        <v>-5.5763874005930615E-2</v>
      </c>
      <c r="J17" s="4">
        <v>0.20931319449867328</v>
      </c>
      <c r="K17" s="4">
        <v>0.51037649765011994</v>
      </c>
      <c r="L17" s="4">
        <v>1.7625214558885622</v>
      </c>
      <c r="M17" s="4">
        <v>-0.10785234639364846</v>
      </c>
      <c r="N17" s="4">
        <v>-0.10064766694293846</v>
      </c>
      <c r="O17" s="4">
        <v>0.39262189412031923</v>
      </c>
      <c r="P17" s="4">
        <v>1.999914767046548E-2</v>
      </c>
      <c r="Q17" s="4">
        <v>2.302129568821158</v>
      </c>
      <c r="R17" s="4">
        <v>0.19247798650207257</v>
      </c>
      <c r="S17" s="4">
        <v>-0.18761835159147633</v>
      </c>
      <c r="T17" s="4">
        <v>5.1197784082391277E-2</v>
      </c>
      <c r="U17" s="4">
        <v>5.6451653248904159E-2</v>
      </c>
      <c r="V17" s="4">
        <v>-0.9876812845792734</v>
      </c>
      <c r="W17" s="4">
        <v>0.19168879377431131</v>
      </c>
      <c r="X17" s="4">
        <v>0.52552209662913618</v>
      </c>
      <c r="Y17" s="4">
        <v>8.1658488807524743E-2</v>
      </c>
      <c r="Z17" s="4">
        <v>0.11900218366385001</v>
      </c>
      <c r="AA17" s="4">
        <v>-5.6486410801681625E-2</v>
      </c>
      <c r="AB17" s="4">
        <v>-1.5325109754313889E-2</v>
      </c>
      <c r="AC17" s="4">
        <v>8.8747838101414331E-2</v>
      </c>
      <c r="AD17" s="4">
        <v>0.62355179694008944</v>
      </c>
      <c r="AE17" s="4">
        <v>9.675324675324605E-2</v>
      </c>
      <c r="AF17" s="4">
        <v>-0.17950400518569759</v>
      </c>
      <c r="AG17" s="7">
        <v>6.2636358116478316E-2</v>
      </c>
      <c r="AH17" s="4"/>
    </row>
    <row r="18" spans="1:34" ht="13.25" x14ac:dyDescent="0.25">
      <c r="A18">
        <v>2003</v>
      </c>
      <c r="B18" s="4">
        <v>-0.23381446502978806</v>
      </c>
      <c r="C18" s="4">
        <v>-6.2706086930415614E-2</v>
      </c>
      <c r="D18" s="4">
        <v>0.12329104907789575</v>
      </c>
      <c r="E18" s="4">
        <v>1.5882573949649637E-2</v>
      </c>
      <c r="F18" s="4">
        <v>9.8951319259128853E-2</v>
      </c>
      <c r="G18" s="4">
        <v>-3.0694511191952552E-2</v>
      </c>
      <c r="H18" s="4">
        <v>3.1077588020018768E-2</v>
      </c>
      <c r="I18" s="4">
        <v>-0.2137941618234582</v>
      </c>
      <c r="J18" s="4">
        <v>0.15018198618466053</v>
      </c>
      <c r="K18" s="4">
        <v>-0.29342356795323482</v>
      </c>
      <c r="L18" s="4">
        <v>0.3817031397640791</v>
      </c>
      <c r="M18" s="4">
        <v>0.15428055807079283</v>
      </c>
      <c r="N18" s="4">
        <v>-0.10692166968375265</v>
      </c>
      <c r="O18" s="4">
        <v>0.25119779547038695</v>
      </c>
      <c r="P18" s="4">
        <v>-2.3034474037434079E-2</v>
      </c>
      <c r="Q18" s="4">
        <v>-1.2822085219631256</v>
      </c>
      <c r="R18" s="4">
        <v>-0.10056403438916819</v>
      </c>
      <c r="S18" s="4">
        <v>0.79859535722013208</v>
      </c>
      <c r="T18" s="4">
        <v>0.22609998938081982</v>
      </c>
      <c r="U18" s="4">
        <v>-0.3591123038126926</v>
      </c>
      <c r="V18" s="4">
        <v>1.4642597842852383</v>
      </c>
      <c r="W18" s="4">
        <v>-0.14737299581635135</v>
      </c>
      <c r="X18" s="4">
        <v>-0.69911080461819786</v>
      </c>
      <c r="Y18" s="4">
        <v>-0.17991352685821344</v>
      </c>
      <c r="Z18" s="4">
        <v>0.33531840518093697</v>
      </c>
      <c r="AA18" s="4">
        <v>3.9423555457827213E-2</v>
      </c>
      <c r="AB18" s="4">
        <v>0.855325889936562</v>
      </c>
      <c r="AC18" s="4">
        <v>0.39630640866543621</v>
      </c>
      <c r="AD18" s="4">
        <v>-9.2819070864141567E-2</v>
      </c>
      <c r="AE18" s="4">
        <v>0.57389705882352993</v>
      </c>
      <c r="AF18" s="4">
        <v>0.51894578207210029</v>
      </c>
      <c r="AG18" s="7">
        <v>0.13726942617341392</v>
      </c>
      <c r="AH18" s="4"/>
    </row>
    <row r="19" spans="1:34" ht="13.25" x14ac:dyDescent="0.25">
      <c r="A19">
        <v>2004</v>
      </c>
      <c r="B19" s="4">
        <v>0.59879080993138101</v>
      </c>
      <c r="C19" s="4">
        <v>-7.9585381918308107E-2</v>
      </c>
      <c r="D19" s="4">
        <v>-0.11288494272144835</v>
      </c>
      <c r="E19" s="4">
        <v>0.28872074848730961</v>
      </c>
      <c r="F19" s="4">
        <v>0.61995822069656992</v>
      </c>
      <c r="G19" s="4">
        <v>-0.9338272825231525</v>
      </c>
      <c r="H19" s="4">
        <v>0.78299824478463143</v>
      </c>
      <c r="I19" s="4">
        <v>-0.93357295134044072</v>
      </c>
      <c r="J19" s="4">
        <v>0.1369772671464615</v>
      </c>
      <c r="K19" s="4">
        <v>5.1148926552492424E-2</v>
      </c>
      <c r="L19" s="4">
        <v>0.20607456199245461</v>
      </c>
      <c r="M19" s="4">
        <v>0.61128442246781123</v>
      </c>
      <c r="N19" s="4">
        <v>0.30207163699190553</v>
      </c>
      <c r="O19" s="4">
        <v>0.44343120237741929</v>
      </c>
      <c r="P19" s="4">
        <v>0.10444871991096499</v>
      </c>
      <c r="Q19" s="4">
        <v>0.41810615185456079</v>
      </c>
      <c r="R19" s="4">
        <v>0.57672330854108933</v>
      </c>
      <c r="S19" s="4">
        <v>0.34533663987638541</v>
      </c>
      <c r="T19" s="4">
        <v>0.28123984062125945</v>
      </c>
      <c r="U19" s="4">
        <v>0.55167511004377223</v>
      </c>
      <c r="V19" s="4">
        <v>1.3891270097965627</v>
      </c>
      <c r="W19" s="4">
        <v>0.1993546226608533</v>
      </c>
      <c r="X19" s="4">
        <v>3.0849135346938277</v>
      </c>
      <c r="Y19" s="4">
        <v>0.10859003908504497</v>
      </c>
      <c r="Z19" s="4">
        <v>0.49299809828351604</v>
      </c>
      <c r="AA19" s="4">
        <v>-4.0743376751758931E-2</v>
      </c>
      <c r="AB19" s="4">
        <v>0.28096496479584038</v>
      </c>
      <c r="AC19" s="4">
        <v>0.34373590282235528</v>
      </c>
      <c r="AD19" s="4">
        <v>-5.9598672054453954E-2</v>
      </c>
      <c r="AE19" s="4">
        <v>6.0085858585858479E-2</v>
      </c>
      <c r="AF19" s="4">
        <v>1.4545262887735042</v>
      </c>
      <c r="AG19" s="7">
        <v>0.23129433634154747</v>
      </c>
      <c r="AH19" s="4"/>
    </row>
    <row r="20" spans="1:34" ht="13.25" x14ac:dyDescent="0.25">
      <c r="A20">
        <v>2005</v>
      </c>
      <c r="B20" s="4">
        <v>0.26162366119324504</v>
      </c>
      <c r="C20" s="4">
        <v>2.8262384917167288E-2</v>
      </c>
      <c r="D20" s="4">
        <v>0.18008548025202081</v>
      </c>
      <c r="E20" s="4">
        <v>8.9661525895642271E-3</v>
      </c>
      <c r="F20" s="4">
        <v>0.2775799305205679</v>
      </c>
      <c r="G20" s="4">
        <v>9.2520473132866501E-2</v>
      </c>
      <c r="H20" s="4">
        <v>0.63907612463557351</v>
      </c>
      <c r="I20" s="4">
        <v>0.97053022410380629</v>
      </c>
      <c r="J20" s="4">
        <v>0.14326877807077557</v>
      </c>
      <c r="K20" s="4">
        <v>0.51514412295952261</v>
      </c>
      <c r="L20" s="4">
        <v>0.66767600230193813</v>
      </c>
      <c r="M20" s="4">
        <v>-0.14165234488171569</v>
      </c>
      <c r="N20" s="4">
        <v>0.19456178112008618</v>
      </c>
      <c r="O20" s="4">
        <v>0.73190358632445618</v>
      </c>
      <c r="P20" s="4">
        <v>6.0085291796920466E-2</v>
      </c>
      <c r="Q20" s="4">
        <v>0.53751268869171542</v>
      </c>
      <c r="R20" s="4">
        <v>0.4338483251734187</v>
      </c>
      <c r="S20" s="4">
        <v>0.58517874531401037</v>
      </c>
      <c r="T20" s="4">
        <v>0.73603531909418651</v>
      </c>
      <c r="U20" s="4">
        <v>0.21983728077152437</v>
      </c>
      <c r="V20" s="4">
        <v>0.82214333965797637</v>
      </c>
      <c r="W20" s="4">
        <v>-2.2036860761317816E-2</v>
      </c>
      <c r="X20" s="4">
        <v>1.2744974156202644</v>
      </c>
      <c r="Y20" s="4">
        <v>-8.4483232208045933E-2</v>
      </c>
      <c r="Z20" s="4">
        <v>0.38451886972087684</v>
      </c>
      <c r="AA20" s="4">
        <v>-1.5287604692459541E-2</v>
      </c>
      <c r="AB20" s="4">
        <v>0.57479127766224192</v>
      </c>
      <c r="AC20" s="4">
        <v>0.13030620595626005</v>
      </c>
      <c r="AD20" s="4">
        <v>0.37597346677562637</v>
      </c>
      <c r="AE20" s="4">
        <v>8.2566001899335717E-2</v>
      </c>
      <c r="AF20" s="4">
        <v>-0.22237318718328827</v>
      </c>
      <c r="AG20" s="7">
        <v>0.19772506358142983</v>
      </c>
      <c r="AH20" s="4"/>
    </row>
    <row r="21" spans="1:34" ht="13.25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"/>
      <c r="AH21" s="4"/>
    </row>
    <row r="23" spans="1:34" ht="13" x14ac:dyDescent="0.3">
      <c r="A23" s="13" t="s">
        <v>34</v>
      </c>
    </row>
    <row r="24" spans="1:34" ht="13.25" x14ac:dyDescent="0.25"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15</v>
      </c>
      <c r="Q24" t="s">
        <v>16</v>
      </c>
      <c r="R24" t="s">
        <v>17</v>
      </c>
      <c r="S24" t="s">
        <v>18</v>
      </c>
      <c r="T24" t="s">
        <v>19</v>
      </c>
      <c r="U24" t="s">
        <v>20</v>
      </c>
      <c r="V24" t="s">
        <v>21</v>
      </c>
      <c r="W24" t="s">
        <v>22</v>
      </c>
      <c r="X24" t="s">
        <v>23</v>
      </c>
      <c r="Y24" t="s">
        <v>24</v>
      </c>
      <c r="Z24" t="s">
        <v>25</v>
      </c>
      <c r="AA24" t="s">
        <v>26</v>
      </c>
      <c r="AB24" t="s">
        <v>27</v>
      </c>
      <c r="AC24" t="s">
        <v>28</v>
      </c>
      <c r="AD24" t="s">
        <v>29</v>
      </c>
      <c r="AE24" t="s">
        <v>30</v>
      </c>
      <c r="AF24" t="s">
        <v>31</v>
      </c>
    </row>
    <row r="25" spans="1:34" ht="13.25" x14ac:dyDescent="0.25">
      <c r="A25">
        <v>1988</v>
      </c>
      <c r="B25" s="4">
        <f>B3-$AG3</f>
        <v>-0.3203702187123017</v>
      </c>
      <c r="C25" s="4">
        <f t="shared" ref="C25:AF25" si="0">C3-$AG3</f>
        <v>6.4269325130148741E-2</v>
      </c>
      <c r="D25" s="4">
        <f t="shared" si="0"/>
        <v>-0.14700825370922319</v>
      </c>
      <c r="E25" s="4">
        <f t="shared" si="0"/>
        <v>-6.8338820517030663E-2</v>
      </c>
      <c r="F25" s="4">
        <f t="shared" si="0"/>
        <v>0.36986891209054784</v>
      </c>
      <c r="G25" s="4">
        <f t="shared" si="0"/>
        <v>0.5618706969168602</v>
      </c>
      <c r="H25" s="4">
        <f t="shared" si="0"/>
        <v>9.8574034496879542E-2</v>
      </c>
      <c r="I25" s="4">
        <f t="shared" si="0"/>
        <v>0.11154914959082593</v>
      </c>
      <c r="J25" s="4">
        <f t="shared" si="0"/>
        <v>3.5372326966978229E-2</v>
      </c>
      <c r="K25" s="4">
        <f t="shared" si="0"/>
        <v>-0.6714626709265713</v>
      </c>
      <c r="L25" s="4">
        <f t="shared" si="0"/>
        <v>0.19474778432837517</v>
      </c>
      <c r="M25" s="4">
        <f t="shared" si="0"/>
        <v>0.59220047942709708</v>
      </c>
      <c r="N25" s="4">
        <f t="shared" si="0"/>
        <v>0.77728740487484616</v>
      </c>
      <c r="O25" s="4">
        <f t="shared" si="0"/>
        <v>0.36627900086839771</v>
      </c>
      <c r="P25" s="4">
        <f t="shared" si="0"/>
        <v>-0.24079538161366223</v>
      </c>
      <c r="Q25" s="4">
        <f t="shared" si="0"/>
        <v>2.0243059707917649E-2</v>
      </c>
      <c r="R25" s="4">
        <f t="shared" si="0"/>
        <v>-0.37014337619390636</v>
      </c>
      <c r="S25" s="4">
        <f t="shared" si="0"/>
        <v>-0.13380789803398541</v>
      </c>
      <c r="T25" s="4">
        <f t="shared" si="0"/>
        <v>-3.9869753387055416E-2</v>
      </c>
      <c r="U25" s="4">
        <f t="shared" si="0"/>
        <v>0.46520837992897046</v>
      </c>
      <c r="V25" s="4">
        <f t="shared" si="0"/>
        <v>1.6996592603784415</v>
      </c>
      <c r="W25" s="4">
        <f t="shared" si="0"/>
        <v>-0.17462690535679459</v>
      </c>
      <c r="X25" s="4">
        <f t="shared" si="0"/>
        <v>0.86390234117668119</v>
      </c>
      <c r="Y25" s="4">
        <f t="shared" si="0"/>
        <v>-0.20990416242826881</v>
      </c>
      <c r="Z25" s="4">
        <f t="shared" si="0"/>
        <v>4.4854557840134202E-2</v>
      </c>
      <c r="AA25" s="4">
        <f t="shared" si="0"/>
        <v>0.34662465084488625</v>
      </c>
      <c r="AB25" s="4">
        <f t="shared" si="0"/>
        <v>-0.20821678902434265</v>
      </c>
      <c r="AC25" s="4">
        <f t="shared" si="0"/>
        <v>3.1361242241063902E-4</v>
      </c>
      <c r="AD25" s="4">
        <f t="shared" si="0"/>
        <v>0.15725416444293974</v>
      </c>
      <c r="AE25" s="4">
        <f t="shared" si="0"/>
        <v>-4.2808372622873681E-2</v>
      </c>
      <c r="AF25" s="4">
        <f t="shared" si="0"/>
        <v>-0.4370361342713508</v>
      </c>
      <c r="AG25" s="4"/>
    </row>
    <row r="26" spans="1:34" ht="13.25" x14ac:dyDescent="0.25">
      <c r="A26">
        <v>1989</v>
      </c>
      <c r="B26" s="4">
        <f t="shared" ref="B26:AF34" si="1">B4-$AG4</f>
        <v>-6.7862012620873449E-2</v>
      </c>
      <c r="C26" s="4">
        <f t="shared" si="1"/>
        <v>0.4969823319948018</v>
      </c>
      <c r="D26" s="4">
        <f t="shared" si="1"/>
        <v>-0.1161002182682368</v>
      </c>
      <c r="E26" s="4">
        <f t="shared" si="1"/>
        <v>-3.9946167452490799E-2</v>
      </c>
      <c r="F26" s="4">
        <f t="shared" si="1"/>
        <v>0.27190855226042099</v>
      </c>
      <c r="G26" s="4">
        <f t="shared" si="1"/>
        <v>0.38617460409638249</v>
      </c>
      <c r="H26" s="4">
        <f t="shared" si="1"/>
        <v>-1.3789396655216002E-2</v>
      </c>
      <c r="I26" s="4">
        <f t="shared" si="1"/>
        <v>0.17712400958725885</v>
      </c>
      <c r="J26" s="4">
        <f t="shared" si="1"/>
        <v>-3.5176762304507198E-2</v>
      </c>
      <c r="K26" s="4">
        <f t="shared" si="1"/>
        <v>0.32262299369425573</v>
      </c>
      <c r="L26" s="4">
        <f t="shared" si="1"/>
        <v>0.11693852874524444</v>
      </c>
      <c r="M26" s="4">
        <f t="shared" si="1"/>
        <v>0.21230157509078282</v>
      </c>
      <c r="N26" s="4">
        <f t="shared" si="1"/>
        <v>0.27141032165434975</v>
      </c>
      <c r="O26" s="4">
        <f t="shared" si="1"/>
        <v>8.5942729141752799E-2</v>
      </c>
      <c r="P26" s="4">
        <f t="shared" si="1"/>
        <v>-2.6142076696050176E-3</v>
      </c>
      <c r="Q26" s="4">
        <f t="shared" si="1"/>
        <v>0.60062095990596032</v>
      </c>
      <c r="R26" s="4">
        <f t="shared" si="1"/>
        <v>0.16792637889145848</v>
      </c>
      <c r="S26" s="4">
        <f t="shared" si="1"/>
        <v>-1.6669826867157345E-2</v>
      </c>
      <c r="T26" s="4">
        <f t="shared" si="1"/>
        <v>-7.5528810769770791E-2</v>
      </c>
      <c r="U26" s="4">
        <f t="shared" si="1"/>
        <v>-7.3084184483379874E-2</v>
      </c>
      <c r="V26" s="4">
        <f t="shared" si="1"/>
        <v>-0.43526462998654936</v>
      </c>
      <c r="W26" s="4">
        <f t="shared" si="1"/>
        <v>0.33965839864570313</v>
      </c>
      <c r="X26" s="4">
        <f t="shared" si="1"/>
        <v>0.18751429787980492</v>
      </c>
      <c r="Y26" s="4">
        <f t="shared" si="1"/>
        <v>0.32100429591564572</v>
      </c>
      <c r="Z26" s="4">
        <f t="shared" si="1"/>
        <v>-1.7415337424974919E-2</v>
      </c>
      <c r="AA26" s="4">
        <f t="shared" si="1"/>
        <v>9.3862265261967587E-2</v>
      </c>
      <c r="AB26" s="4">
        <f t="shared" si="1"/>
        <v>-0.13888498644775629</v>
      </c>
      <c r="AC26" s="4">
        <f t="shared" si="1"/>
        <v>1.3446191912966504E-2</v>
      </c>
      <c r="AD26" s="4">
        <f t="shared" si="1"/>
        <v>6.4270494743070145E-2</v>
      </c>
      <c r="AE26" s="4">
        <f t="shared" si="1"/>
        <v>-6.0767823507448956E-2</v>
      </c>
      <c r="AF26" s="4">
        <f t="shared" si="1"/>
        <v>0.14397124329452324</v>
      </c>
    </row>
    <row r="27" spans="1:34" ht="13.25" x14ac:dyDescent="0.25">
      <c r="A27">
        <v>1990</v>
      </c>
      <c r="B27" s="4">
        <f t="shared" si="1"/>
        <v>-9.5954864754067559E-2</v>
      </c>
      <c r="C27" s="4">
        <f t="shared" si="1"/>
        <v>0.60112885158998985</v>
      </c>
      <c r="D27" s="4">
        <f t="shared" si="1"/>
        <v>6.9674932839390719E-2</v>
      </c>
      <c r="E27" s="4">
        <f t="shared" si="1"/>
        <v>9.3429278289949624E-2</v>
      </c>
      <c r="F27" s="4">
        <f t="shared" si="1"/>
        <v>0.18579281298987751</v>
      </c>
      <c r="G27" s="4">
        <f t="shared" si="1"/>
        <v>-0.19442742117413428</v>
      </c>
      <c r="H27" s="4">
        <f t="shared" si="1"/>
        <v>-9.0298866375524936E-2</v>
      </c>
      <c r="I27" s="4">
        <f t="shared" si="1"/>
        <v>0.5557561981320337</v>
      </c>
      <c r="J27" s="4">
        <f t="shared" si="1"/>
        <v>-1.1162786769927872E-2</v>
      </c>
      <c r="K27" s="4">
        <f t="shared" si="1"/>
        <v>-0.56754138848197799</v>
      </c>
      <c r="L27" s="4">
        <f t="shared" si="1"/>
        <v>0.22745615998891608</v>
      </c>
      <c r="M27" s="4">
        <f t="shared" si="1"/>
        <v>0.14443737294324249</v>
      </c>
      <c r="N27" s="4">
        <f t="shared" si="1"/>
        <v>-3.2914005911857579E-2</v>
      </c>
      <c r="O27" s="4">
        <f t="shared" si="1"/>
        <v>0.51078026927034414</v>
      </c>
      <c r="P27" s="4">
        <f t="shared" si="1"/>
        <v>-0.21512965427721414</v>
      </c>
      <c r="Q27" s="4">
        <f t="shared" si="1"/>
        <v>-0.51187746188655292</v>
      </c>
      <c r="R27" s="4">
        <f t="shared" si="1"/>
        <v>-1.5090551681094154E-2</v>
      </c>
      <c r="S27" s="4">
        <f t="shared" si="1"/>
        <v>0.2407748588219091</v>
      </c>
      <c r="T27" s="4">
        <f t="shared" si="1"/>
        <v>-6.7836943432662861E-2</v>
      </c>
      <c r="U27" s="4">
        <f t="shared" si="1"/>
        <v>-0.19253578995505771</v>
      </c>
      <c r="V27" s="4">
        <f t="shared" si="1"/>
        <v>0.11399426171420965</v>
      </c>
      <c r="W27" s="4">
        <f t="shared" si="1"/>
        <v>-0.27431268099076211</v>
      </c>
      <c r="X27" s="4">
        <f t="shared" si="1"/>
        <v>-0.4718226762761657</v>
      </c>
      <c r="Y27" s="4">
        <f t="shared" si="1"/>
        <v>-0.18857528498196513</v>
      </c>
      <c r="Z27" s="4">
        <f t="shared" si="1"/>
        <v>6.7200553712153277E-2</v>
      </c>
      <c r="AA27" s="4">
        <f t="shared" si="1"/>
        <v>0.2266170580197702</v>
      </c>
      <c r="AB27" s="4">
        <f t="shared" si="1"/>
        <v>0.1855719106574229</v>
      </c>
      <c r="AC27" s="4">
        <f t="shared" si="1"/>
        <v>-0.11092068500794114</v>
      </c>
      <c r="AD27" s="4">
        <f t="shared" si="1"/>
        <v>-2.0238880170076162E-2</v>
      </c>
      <c r="AE27" s="4">
        <f t="shared" si="1"/>
        <v>-1.3737173047689316E-2</v>
      </c>
      <c r="AF27" s="4">
        <f t="shared" si="1"/>
        <v>-0.41187126134079999</v>
      </c>
    </row>
    <row r="28" spans="1:34" ht="13.25" x14ac:dyDescent="0.25">
      <c r="A28">
        <v>1991</v>
      </c>
      <c r="B28" s="4">
        <f t="shared" si="1"/>
        <v>0.113098279058836</v>
      </c>
      <c r="C28" s="4">
        <f t="shared" si="1"/>
        <v>0.14777235883629547</v>
      </c>
      <c r="D28" s="4">
        <f t="shared" si="1"/>
        <v>0.23927326992229447</v>
      </c>
      <c r="E28" s="4">
        <f t="shared" si="1"/>
        <v>7.2070565712100187E-2</v>
      </c>
      <c r="F28" s="4">
        <f t="shared" si="1"/>
        <v>-3.9564600229460879E-3</v>
      </c>
      <c r="G28" s="4">
        <f t="shared" si="1"/>
        <v>-7.2743909828483402E-2</v>
      </c>
      <c r="H28" s="4">
        <f t="shared" si="1"/>
        <v>-0.38838076507164465</v>
      </c>
      <c r="I28" s="4">
        <f t="shared" si="1"/>
        <v>9.9626278019437201E-2</v>
      </c>
      <c r="J28" s="4">
        <f t="shared" si="1"/>
        <v>-3.4720948632165571E-2</v>
      </c>
      <c r="K28" s="4">
        <f t="shared" si="1"/>
        <v>9.5565035112126426E-2</v>
      </c>
      <c r="L28" s="4">
        <f t="shared" si="1"/>
        <v>-8.3615562284118553E-2</v>
      </c>
      <c r="M28" s="4">
        <f t="shared" si="1"/>
        <v>0.23744994341117576</v>
      </c>
      <c r="N28" s="4">
        <f t="shared" si="1"/>
        <v>-0.72330328653589337</v>
      </c>
      <c r="O28" s="4">
        <f t="shared" si="1"/>
        <v>0.1147621362430863</v>
      </c>
      <c r="P28" s="4">
        <f t="shared" si="1"/>
        <v>-0.10269175141690343</v>
      </c>
      <c r="Q28" s="4">
        <f t="shared" si="1"/>
        <v>-2.51327062104439E-2</v>
      </c>
      <c r="R28" s="4">
        <f t="shared" si="1"/>
        <v>-0.24616670780190558</v>
      </c>
      <c r="S28" s="4">
        <f t="shared" si="1"/>
        <v>-0.40489396025240482</v>
      </c>
      <c r="T28" s="4">
        <f t="shared" si="1"/>
        <v>0.11009520073861391</v>
      </c>
      <c r="U28" s="4">
        <f t="shared" si="1"/>
        <v>-0.10808398292978078</v>
      </c>
      <c r="V28" s="4">
        <f t="shared" si="1"/>
        <v>-0.53721093784100893</v>
      </c>
      <c r="W28" s="4">
        <f t="shared" si="1"/>
        <v>0.29059880963418638</v>
      </c>
      <c r="X28" s="4">
        <f t="shared" si="1"/>
        <v>-0.29642790168150845</v>
      </c>
      <c r="Y28" s="4">
        <f t="shared" si="1"/>
        <v>1.198144110000043E-2</v>
      </c>
      <c r="Z28" s="4">
        <f t="shared" si="1"/>
        <v>1.2198852107896407E-2</v>
      </c>
      <c r="AA28" s="4">
        <f t="shared" si="1"/>
        <v>-0.11886685064940646</v>
      </c>
      <c r="AB28" s="4">
        <f t="shared" si="1"/>
        <v>4.5458809004940579E-2</v>
      </c>
      <c r="AC28" s="4">
        <f t="shared" si="1"/>
        <v>0.14499903559222702</v>
      </c>
      <c r="AD28" s="4">
        <f t="shared" si="1"/>
        <v>5.9011161628734252E-2</v>
      </c>
      <c r="AE28" s="4">
        <f t="shared" si="1"/>
        <v>-1.1495534669749008E-3</v>
      </c>
      <c r="AF28" s="4">
        <f t="shared" si="1"/>
        <v>-0.20641815504934466</v>
      </c>
    </row>
    <row r="29" spans="1:34" ht="13.25" x14ac:dyDescent="0.25">
      <c r="A29">
        <v>1992</v>
      </c>
      <c r="B29" s="4">
        <f t="shared" si="1"/>
        <v>8.9274316446994323E-2</v>
      </c>
      <c r="C29" s="4">
        <f t="shared" si="1"/>
        <v>0.8084541195614815</v>
      </c>
      <c r="D29" s="4">
        <f t="shared" si="1"/>
        <v>3.1960936224843195E-2</v>
      </c>
      <c r="E29" s="4">
        <f t="shared" si="1"/>
        <v>1.6110463396666858E-2</v>
      </c>
      <c r="F29" s="4">
        <f t="shared" si="1"/>
        <v>-4.4702987128514671E-2</v>
      </c>
      <c r="G29" s="4">
        <f t="shared" si="1"/>
        <v>-9.832266382080887E-3</v>
      </c>
      <c r="H29" s="4">
        <f t="shared" si="1"/>
        <v>6.3451939735786889E-4</v>
      </c>
      <c r="I29" s="4">
        <f t="shared" si="1"/>
        <v>-4.7950078334480173E-2</v>
      </c>
      <c r="J29" s="4">
        <f t="shared" si="1"/>
        <v>-9.5315512524497936E-2</v>
      </c>
      <c r="K29" s="4">
        <f t="shared" si="1"/>
        <v>0.3740008483697731</v>
      </c>
      <c r="L29" s="4">
        <f t="shared" si="1"/>
        <v>0.21782796936612039</v>
      </c>
      <c r="M29" s="4">
        <f t="shared" si="1"/>
        <v>5.5051029963109038E-2</v>
      </c>
      <c r="N29" s="4">
        <f t="shared" si="1"/>
        <v>7.9303628331790277E-2</v>
      </c>
      <c r="O29" s="4">
        <f t="shared" si="1"/>
        <v>-0.22751073604430694</v>
      </c>
      <c r="P29" s="4">
        <f t="shared" si="1"/>
        <v>3.6764762551353164E-2</v>
      </c>
      <c r="Q29" s="4">
        <f t="shared" si="1"/>
        <v>-4.8611634429887612E-2</v>
      </c>
      <c r="R29" s="4">
        <f t="shared" si="1"/>
        <v>0.54879850816285836</v>
      </c>
      <c r="S29" s="4">
        <f t="shared" si="1"/>
        <v>-0.28956811308360009</v>
      </c>
      <c r="T29" s="4">
        <f t="shared" si="1"/>
        <v>-4.1047638339648168E-2</v>
      </c>
      <c r="U29" s="4">
        <f t="shared" si="1"/>
        <v>-0.1796162407750089</v>
      </c>
      <c r="V29" s="4">
        <f t="shared" si="1"/>
        <v>-0.35299497038728966</v>
      </c>
      <c r="W29" s="4">
        <f t="shared" si="1"/>
        <v>-6.0191264870607677E-2</v>
      </c>
      <c r="X29" s="4">
        <f t="shared" si="1"/>
        <v>-0.27204143422713017</v>
      </c>
      <c r="Y29" s="4">
        <f t="shared" si="1"/>
        <v>0.17050646676271777</v>
      </c>
      <c r="Z29" s="4">
        <f t="shared" si="1"/>
        <v>0.25414691442525239</v>
      </c>
      <c r="AA29" s="4">
        <f t="shared" si="1"/>
        <v>0.14266052821097</v>
      </c>
      <c r="AB29" s="4">
        <f t="shared" si="1"/>
        <v>0.35922437891599723</v>
      </c>
      <c r="AC29" s="4">
        <f t="shared" si="1"/>
        <v>-1.477756176679168E-3</v>
      </c>
      <c r="AD29" s="4">
        <f t="shared" si="1"/>
        <v>0.16785232429441241</v>
      </c>
      <c r="AE29" s="4">
        <f t="shared" si="1"/>
        <v>-5.7693633724103743E-2</v>
      </c>
      <c r="AF29" s="4">
        <f t="shared" si="1"/>
        <v>1.7176101845298553E-2</v>
      </c>
    </row>
    <row r="30" spans="1:34" ht="13.25" x14ac:dyDescent="0.25">
      <c r="A30">
        <v>1993</v>
      </c>
      <c r="B30" s="4">
        <f t="shared" si="1"/>
        <v>0.20350831611607095</v>
      </c>
      <c r="C30" s="4">
        <f t="shared" si="1"/>
        <v>-0.84398702895359157</v>
      </c>
      <c r="D30" s="4">
        <f t="shared" si="1"/>
        <v>-0.17765412712558895</v>
      </c>
      <c r="E30" s="4">
        <f t="shared" si="1"/>
        <v>6.3147606376170728E-2</v>
      </c>
      <c r="F30" s="4">
        <f t="shared" si="1"/>
        <v>-4.2765046821809261E-2</v>
      </c>
      <c r="G30" s="4">
        <f t="shared" si="1"/>
        <v>0.11778571875190297</v>
      </c>
      <c r="H30" s="4">
        <f t="shared" si="1"/>
        <v>0.14706987163212898</v>
      </c>
      <c r="I30" s="4">
        <f t="shared" si="1"/>
        <v>-0.26512841421861644</v>
      </c>
      <c r="J30" s="4">
        <f t="shared" si="1"/>
        <v>9.3299050859583538E-2</v>
      </c>
      <c r="K30" s="4">
        <f t="shared" si="1"/>
        <v>0.58184918350271753</v>
      </c>
      <c r="L30" s="4">
        <f t="shared" si="1"/>
        <v>-0.21511433657790646</v>
      </c>
      <c r="M30" s="4">
        <f t="shared" si="1"/>
        <v>-2.3601522523233567E-2</v>
      </c>
      <c r="N30" s="4">
        <f t="shared" si="1"/>
        <v>-0.22189892774735467</v>
      </c>
      <c r="O30" s="4">
        <f t="shared" si="1"/>
        <v>-0.16824048073136066</v>
      </c>
      <c r="P30" s="4">
        <f t="shared" si="1"/>
        <v>-0.26485006563158692</v>
      </c>
      <c r="Q30" s="4">
        <f t="shared" si="1"/>
        <v>0.23757614543824246</v>
      </c>
      <c r="R30" s="4">
        <f t="shared" si="1"/>
        <v>-0.15357973191939198</v>
      </c>
      <c r="S30" s="4">
        <f t="shared" si="1"/>
        <v>-6.5596590876588159E-2</v>
      </c>
      <c r="T30" s="4">
        <f t="shared" si="1"/>
        <v>0.14968275638863365</v>
      </c>
      <c r="U30" s="4">
        <f t="shared" si="1"/>
        <v>-7.7196634882406773E-2</v>
      </c>
      <c r="V30" s="4">
        <f t="shared" si="1"/>
        <v>0.1726379881564552</v>
      </c>
      <c r="W30" s="4">
        <f t="shared" si="1"/>
        <v>0.23570569150755655</v>
      </c>
      <c r="X30" s="4">
        <f t="shared" si="1"/>
        <v>4.3817180250405041E-2</v>
      </c>
      <c r="Y30" s="4">
        <f t="shared" si="1"/>
        <v>-0.36134909818005756</v>
      </c>
      <c r="Z30" s="4">
        <f t="shared" si="1"/>
        <v>0.11193521990469912</v>
      </c>
      <c r="AA30" s="4">
        <f t="shared" si="1"/>
        <v>6.0081887194431582E-2</v>
      </c>
      <c r="AB30" s="4">
        <f t="shared" si="1"/>
        <v>-0.23825650234574419</v>
      </c>
      <c r="AC30" s="4">
        <f t="shared" si="1"/>
        <v>0.29545675706810182</v>
      </c>
      <c r="AD30" s="4">
        <f t="shared" si="1"/>
        <v>0.33641417036702814</v>
      </c>
      <c r="AE30" s="4">
        <f t="shared" si="1"/>
        <v>-2.677462649559588E-2</v>
      </c>
      <c r="AF30" s="4">
        <f t="shared" si="1"/>
        <v>0.42664877060972212</v>
      </c>
    </row>
    <row r="31" spans="1:34" ht="13.25" x14ac:dyDescent="0.25">
      <c r="A31">
        <v>1994</v>
      </c>
      <c r="B31" s="4">
        <f t="shared" si="1"/>
        <v>0.14901713832570873</v>
      </c>
      <c r="C31" s="4">
        <f t="shared" si="1"/>
        <v>-0.22597837816413696</v>
      </c>
      <c r="D31" s="4">
        <f t="shared" si="1"/>
        <v>-0.30005492987532112</v>
      </c>
      <c r="E31" s="4">
        <f t="shared" si="1"/>
        <v>-3.7811805559990225E-2</v>
      </c>
      <c r="F31" s="4">
        <f t="shared" si="1"/>
        <v>0.40740620045889187</v>
      </c>
      <c r="G31" s="4">
        <f t="shared" si="1"/>
        <v>0.3904547307450692</v>
      </c>
      <c r="H31" s="4">
        <f t="shared" si="1"/>
        <v>0.52092416865762869</v>
      </c>
      <c r="I31" s="4">
        <f t="shared" si="1"/>
        <v>-0.15132854020081696</v>
      </c>
      <c r="J31" s="4">
        <f t="shared" si="1"/>
        <v>-6.2753035389984446E-2</v>
      </c>
      <c r="K31" s="4">
        <f t="shared" si="1"/>
        <v>-4.3923842185418754E-2</v>
      </c>
      <c r="L31" s="4">
        <f t="shared" si="1"/>
        <v>0.1802310995301098</v>
      </c>
      <c r="M31" s="4">
        <f t="shared" si="1"/>
        <v>0.18388394060034063</v>
      </c>
      <c r="N31" s="4">
        <f t="shared" si="1"/>
        <v>-6.8239461849793431E-2</v>
      </c>
      <c r="O31" s="4">
        <f t="shared" si="1"/>
        <v>-0.18512439394976876</v>
      </c>
      <c r="P31" s="4">
        <f t="shared" si="1"/>
        <v>0.15631963145576155</v>
      </c>
      <c r="Q31" s="4">
        <f t="shared" si="1"/>
        <v>-0.64000380329516293</v>
      </c>
      <c r="R31" s="4">
        <f t="shared" si="1"/>
        <v>0.88711279623458528</v>
      </c>
      <c r="S31" s="4">
        <f t="shared" si="1"/>
        <v>-0.18416775324548601</v>
      </c>
      <c r="T31" s="4">
        <f t="shared" si="1"/>
        <v>-5.5197433758041953E-2</v>
      </c>
      <c r="U31" s="4">
        <f t="shared" si="1"/>
        <v>8.1984196896600331E-2</v>
      </c>
      <c r="V31" s="4">
        <f t="shared" si="1"/>
        <v>-0.43309121783330734</v>
      </c>
      <c r="W31" s="4">
        <f t="shared" si="1"/>
        <v>4.9359614094528492E-2</v>
      </c>
      <c r="X31" s="4">
        <f t="shared" si="1"/>
        <v>0.2425063186080656</v>
      </c>
      <c r="Y31" s="4">
        <f t="shared" si="1"/>
        <v>0.15847840505788779</v>
      </c>
      <c r="Z31" s="4">
        <f t="shared" si="1"/>
        <v>-1.9103615495181248E-3</v>
      </c>
      <c r="AA31" s="4">
        <f t="shared" si="1"/>
        <v>6.6824672262634499E-3</v>
      </c>
      <c r="AB31" s="4">
        <f t="shared" si="1"/>
        <v>-0.27455912135119742</v>
      </c>
      <c r="AC31" s="4">
        <f t="shared" si="1"/>
        <v>9.3545693387162787E-2</v>
      </c>
      <c r="AD31" s="4">
        <f t="shared" si="1"/>
        <v>0.17261211706356483</v>
      </c>
      <c r="AE31" s="4">
        <f t="shared" si="1"/>
        <v>7.505272613160141E-3</v>
      </c>
      <c r="AF31" s="4">
        <f t="shared" si="1"/>
        <v>0.37893837115709805</v>
      </c>
    </row>
    <row r="32" spans="1:34" ht="13.25" x14ac:dyDescent="0.25">
      <c r="A32">
        <v>1995</v>
      </c>
      <c r="B32" s="4">
        <f t="shared" si="1"/>
        <v>0.35010802513661471</v>
      </c>
      <c r="C32" s="4">
        <f t="shared" si="1"/>
        <v>7.6718764237309348E-2</v>
      </c>
      <c r="D32" s="4">
        <f t="shared" si="1"/>
        <v>6.0427424176143343E-2</v>
      </c>
      <c r="E32" s="4">
        <f t="shared" si="1"/>
        <v>-4.1125481683869682E-2</v>
      </c>
      <c r="F32" s="4">
        <f t="shared" si="1"/>
        <v>0.23444928670477944</v>
      </c>
      <c r="G32" s="4">
        <f t="shared" si="1"/>
        <v>-0.24180298414646173</v>
      </c>
      <c r="H32" s="4">
        <f t="shared" si="1"/>
        <v>0.14098736584683291</v>
      </c>
      <c r="I32" s="4">
        <f t="shared" si="1"/>
        <v>0.60249609125113679</v>
      </c>
      <c r="J32" s="4">
        <f t="shared" si="1"/>
        <v>-0.16869735977644684</v>
      </c>
      <c r="K32" s="4">
        <f t="shared" si="1"/>
        <v>0.14990287653674661</v>
      </c>
      <c r="L32" s="4">
        <f t="shared" si="1"/>
        <v>-2.7254720406188079E-2</v>
      </c>
      <c r="M32" s="4">
        <f t="shared" si="1"/>
        <v>0.23126538249860551</v>
      </c>
      <c r="N32" s="4">
        <f t="shared" si="1"/>
        <v>0.26860782374731718</v>
      </c>
      <c r="O32" s="4">
        <f t="shared" si="1"/>
        <v>3.2894924637097853E-2</v>
      </c>
      <c r="P32" s="4">
        <f t="shared" si="1"/>
        <v>-0.11512078848920407</v>
      </c>
      <c r="Q32" s="4">
        <f t="shared" si="1"/>
        <v>-0.1377103894908154</v>
      </c>
      <c r="R32" s="4">
        <f t="shared" si="1"/>
        <v>0.3449628635393111</v>
      </c>
      <c r="S32" s="4">
        <f t="shared" si="1"/>
        <v>-5.1696361279483356E-2</v>
      </c>
      <c r="T32" s="4">
        <f t="shared" si="1"/>
        <v>-0.12724343420921283</v>
      </c>
      <c r="U32" s="4">
        <f t="shared" si="1"/>
        <v>0.78619122438407185</v>
      </c>
      <c r="V32" s="4">
        <f t="shared" si="1"/>
        <v>-0.3522833602358223</v>
      </c>
      <c r="W32" s="4">
        <f t="shared" si="1"/>
        <v>-6.3201294735134819E-2</v>
      </c>
      <c r="X32" s="4">
        <f t="shared" si="1"/>
        <v>0.53832429996600339</v>
      </c>
      <c r="Y32" s="4">
        <f t="shared" si="1"/>
        <v>-0.46101580129421743</v>
      </c>
      <c r="Z32" s="4">
        <f t="shared" si="1"/>
        <v>0.1628927888726176</v>
      </c>
      <c r="AA32" s="4">
        <f t="shared" si="1"/>
        <v>-1.6121370874353905E-2</v>
      </c>
      <c r="AB32" s="4">
        <f t="shared" si="1"/>
        <v>-0.18734149829825125</v>
      </c>
      <c r="AC32" s="4">
        <f t="shared" si="1"/>
        <v>-0.15371167090962007</v>
      </c>
      <c r="AD32" s="4">
        <f t="shared" si="1"/>
        <v>1.3818190229846497E-2</v>
      </c>
      <c r="AE32" s="4">
        <f t="shared" si="1"/>
        <v>-1.4911826147587418E-2</v>
      </c>
      <c r="AF32" s="4">
        <f t="shared" si="1"/>
        <v>0.1069051512348866</v>
      </c>
    </row>
    <row r="33" spans="1:32" ht="13.25" x14ac:dyDescent="0.25">
      <c r="A33">
        <v>1996</v>
      </c>
      <c r="B33" s="4">
        <f t="shared" si="1"/>
        <v>0.24578602389315743</v>
      </c>
      <c r="C33" s="4">
        <f t="shared" si="1"/>
        <v>-5.6552408975368104E-2</v>
      </c>
      <c r="D33" s="4">
        <f t="shared" si="1"/>
        <v>-6.8840604216458781E-2</v>
      </c>
      <c r="E33" s="4">
        <f t="shared" si="1"/>
        <v>-2.8378151249028621E-2</v>
      </c>
      <c r="F33" s="4">
        <f t="shared" si="1"/>
        <v>-0.11722643764559156</v>
      </c>
      <c r="G33" s="4">
        <f t="shared" si="1"/>
        <v>-0.1763006168577621</v>
      </c>
      <c r="H33" s="4">
        <f t="shared" si="1"/>
        <v>0.23105992107322584</v>
      </c>
      <c r="I33" s="4">
        <f t="shared" si="1"/>
        <v>-0.41257979597092842</v>
      </c>
      <c r="J33" s="4">
        <f t="shared" si="1"/>
        <v>-1.3818963324747496E-2</v>
      </c>
      <c r="K33" s="4">
        <f t="shared" si="1"/>
        <v>0.21480646819117913</v>
      </c>
      <c r="L33" s="4">
        <f t="shared" si="1"/>
        <v>8.5189171505952344E-2</v>
      </c>
      <c r="M33" s="4">
        <f t="shared" si="1"/>
        <v>-9.4249335490323036E-2</v>
      </c>
      <c r="N33" s="4">
        <f t="shared" si="1"/>
        <v>-0.12647721049668897</v>
      </c>
      <c r="O33" s="4">
        <f t="shared" si="1"/>
        <v>0.53749880356394797</v>
      </c>
      <c r="P33" s="4">
        <f t="shared" si="1"/>
        <v>-0.12311463961542952</v>
      </c>
      <c r="Q33" s="4">
        <f t="shared" si="1"/>
        <v>-8.8539037604753054E-2</v>
      </c>
      <c r="R33" s="4">
        <f t="shared" si="1"/>
        <v>-0.21646531548463466</v>
      </c>
      <c r="S33" s="4">
        <f t="shared" si="1"/>
        <v>0.3380539674875479</v>
      </c>
      <c r="T33" s="4">
        <f t="shared" si="1"/>
        <v>-3.8273155193632197E-2</v>
      </c>
      <c r="U33" s="4">
        <f t="shared" si="1"/>
        <v>-0.5061705999216819</v>
      </c>
      <c r="V33" s="4">
        <f t="shared" si="1"/>
        <v>9.2246740969459395E-4</v>
      </c>
      <c r="W33" s="4">
        <f t="shared" si="1"/>
        <v>0.22964220661820675</v>
      </c>
      <c r="X33" s="4">
        <f t="shared" si="1"/>
        <v>-0.32957111680764029</v>
      </c>
      <c r="Y33" s="4">
        <f t="shared" si="1"/>
        <v>0.45383017740464204</v>
      </c>
      <c r="Z33" s="4">
        <f t="shared" si="1"/>
        <v>3.2853311608627034E-2</v>
      </c>
      <c r="AA33" s="4">
        <f t="shared" si="1"/>
        <v>4.1875969145007019E-2</v>
      </c>
      <c r="AB33" s="4">
        <f t="shared" si="1"/>
        <v>3.1562478835942848E-2</v>
      </c>
      <c r="AC33" s="4">
        <f t="shared" si="1"/>
        <v>-0.13583915744698766</v>
      </c>
      <c r="AD33" s="4">
        <f t="shared" si="1"/>
        <v>-6.6990630419468122E-3</v>
      </c>
      <c r="AE33" s="4">
        <f t="shared" si="1"/>
        <v>-0.11195979364374921</v>
      </c>
      <c r="AF33" s="4">
        <f t="shared" si="1"/>
        <v>-0.50453032318607494</v>
      </c>
    </row>
    <row r="34" spans="1:32" ht="13.25" x14ac:dyDescent="0.25">
      <c r="A34">
        <v>1997</v>
      </c>
      <c r="B34" s="4">
        <f t="shared" si="1"/>
        <v>0.19411075047376658</v>
      </c>
      <c r="C34" s="4">
        <f t="shared" si="1"/>
        <v>0.31425192659540718</v>
      </c>
      <c r="D34" s="4">
        <f t="shared" si="1"/>
        <v>8.6051493974632215E-2</v>
      </c>
      <c r="E34" s="4">
        <f t="shared" si="1"/>
        <v>-0.22708352704286255</v>
      </c>
      <c r="F34" s="4">
        <f t="shared" si="1"/>
        <v>0.11876385515646184</v>
      </c>
      <c r="G34" s="4">
        <f t="shared" si="1"/>
        <v>0.15831136701849058</v>
      </c>
      <c r="H34" s="4">
        <f t="shared" si="1"/>
        <v>7.278398311095316E-2</v>
      </c>
      <c r="I34" s="4">
        <f t="shared" ref="I34:AF34" si="2">I12-$AG12</f>
        <v>5.816736202922676E-2</v>
      </c>
      <c r="J34" s="4">
        <f t="shared" si="2"/>
        <v>6.2971289850799583E-2</v>
      </c>
      <c r="K34" s="4">
        <f t="shared" si="2"/>
        <v>0.28063415431134331</v>
      </c>
      <c r="L34" s="4">
        <f t="shared" si="2"/>
        <v>-3.3218998299261365E-2</v>
      </c>
      <c r="M34" s="4">
        <f t="shared" si="2"/>
        <v>0.20562800345913207</v>
      </c>
      <c r="N34" s="4">
        <f t="shared" si="2"/>
        <v>-7.5164145443195163E-2</v>
      </c>
      <c r="O34" s="4">
        <f t="shared" si="2"/>
        <v>-1.8108891943856661E-2</v>
      </c>
      <c r="P34" s="4">
        <f t="shared" si="2"/>
        <v>-7.4384379925713645E-2</v>
      </c>
      <c r="Q34" s="4">
        <f t="shared" si="2"/>
        <v>-0.53308141630291939</v>
      </c>
      <c r="R34" s="4">
        <f t="shared" si="2"/>
        <v>0.91725412215563962</v>
      </c>
      <c r="S34" s="4">
        <f t="shared" si="2"/>
        <v>-0.11111808312843768</v>
      </c>
      <c r="T34" s="4">
        <f t="shared" si="2"/>
        <v>5.33924006861064E-3</v>
      </c>
      <c r="U34" s="4">
        <f t="shared" si="2"/>
        <v>-0.34720350552836843</v>
      </c>
      <c r="V34" s="4">
        <f t="shared" si="2"/>
        <v>0.40847706572538189</v>
      </c>
      <c r="W34" s="4">
        <f t="shared" si="2"/>
        <v>6.3910799963866838E-2</v>
      </c>
      <c r="X34" s="4">
        <f t="shared" si="2"/>
        <v>1.112195351771858E-3</v>
      </c>
      <c r="Y34" s="4">
        <f t="shared" si="2"/>
        <v>-0.24773773195808968</v>
      </c>
      <c r="Z34" s="4">
        <f t="shared" si="2"/>
        <v>0.13600082065107244</v>
      </c>
      <c r="AA34" s="4">
        <f t="shared" si="2"/>
        <v>-8.1840832091780169E-3</v>
      </c>
      <c r="AB34" s="4">
        <f t="shared" si="2"/>
        <v>-8.7527791162477109E-2</v>
      </c>
      <c r="AC34" s="4">
        <f t="shared" si="2"/>
        <v>0.10433958407816799</v>
      </c>
      <c r="AD34" s="4">
        <f t="shared" si="2"/>
        <v>0.27264204064038289</v>
      </c>
      <c r="AE34" s="4">
        <f t="shared" si="2"/>
        <v>-6.0028823013751731E-2</v>
      </c>
      <c r="AF34" s="4">
        <f t="shared" si="2"/>
        <v>-0.107197025131783</v>
      </c>
    </row>
    <row r="35" spans="1:32" ht="13.25" x14ac:dyDescent="0.25">
      <c r="A35">
        <v>1998</v>
      </c>
      <c r="B35" s="4">
        <f t="shared" ref="B35:AF42" si="3">B13-$AG13</f>
        <v>-3.0545740366085712E-2</v>
      </c>
      <c r="C35" s="4">
        <f t="shared" si="3"/>
        <v>-0.11488560578604419</v>
      </c>
      <c r="D35" s="4">
        <f t="shared" si="3"/>
        <v>1.8173883974999284E-2</v>
      </c>
      <c r="E35" s="4">
        <f t="shared" si="3"/>
        <v>0.15918955028917717</v>
      </c>
      <c r="F35" s="4">
        <f t="shared" si="3"/>
        <v>-3.5682655967719155E-2</v>
      </c>
      <c r="G35" s="4">
        <f t="shared" si="3"/>
        <v>-0.36780084673215202</v>
      </c>
      <c r="H35" s="4">
        <f t="shared" si="3"/>
        <v>2.8581101191396899E-2</v>
      </c>
      <c r="I35" s="4">
        <f t="shared" si="3"/>
        <v>-2.2446877845286754E-2</v>
      </c>
      <c r="J35" s="4">
        <f t="shared" si="3"/>
        <v>0.1140608622278054</v>
      </c>
      <c r="K35" s="4">
        <f t="shared" si="3"/>
        <v>7.0560243218403901E-2</v>
      </c>
      <c r="L35" s="4">
        <f t="shared" si="3"/>
        <v>-0.43936276930676516</v>
      </c>
      <c r="M35" s="4">
        <f t="shared" si="3"/>
        <v>4.084375115929724E-2</v>
      </c>
      <c r="N35" s="4">
        <f t="shared" si="3"/>
        <v>0.39902892521630479</v>
      </c>
      <c r="O35" s="4">
        <f t="shared" si="3"/>
        <v>1.8274406867107105E-2</v>
      </c>
      <c r="P35" s="4">
        <f t="shared" si="3"/>
        <v>7.7559996037478568E-2</v>
      </c>
      <c r="Q35" s="4">
        <f t="shared" si="3"/>
        <v>-0.27108643400082383</v>
      </c>
      <c r="R35" s="4">
        <f t="shared" si="3"/>
        <v>3.794042631849006E-2</v>
      </c>
      <c r="S35" s="4">
        <f t="shared" si="3"/>
        <v>-0.60791126511953508</v>
      </c>
      <c r="T35" s="4">
        <f t="shared" si="3"/>
        <v>-6.2741414025620473E-2</v>
      </c>
      <c r="U35" s="4">
        <f t="shared" si="3"/>
        <v>4.3947206666802158E-4</v>
      </c>
      <c r="V35" s="4">
        <f t="shared" si="3"/>
        <v>0.47483737418119304</v>
      </c>
      <c r="W35" s="4">
        <f t="shared" si="3"/>
        <v>8.1299603451577551E-2</v>
      </c>
      <c r="X35" s="4">
        <f t="shared" si="3"/>
        <v>3.7592954764292662E-2</v>
      </c>
      <c r="Y35" s="4">
        <f t="shared" si="3"/>
        <v>-3.5748619205700359E-3</v>
      </c>
      <c r="Z35" s="4">
        <f t="shared" si="3"/>
        <v>6.9768245325959488E-2</v>
      </c>
      <c r="AA35" s="4">
        <f t="shared" si="3"/>
        <v>7.6226738787189318E-3</v>
      </c>
      <c r="AB35" s="4">
        <f t="shared" si="3"/>
        <v>-3.6276259188316971E-2</v>
      </c>
      <c r="AC35" s="4">
        <f t="shared" si="3"/>
        <v>6.1820496183531692E-2</v>
      </c>
      <c r="AD35" s="4">
        <f t="shared" si="3"/>
        <v>0.14820364876770883</v>
      </c>
      <c r="AE35" s="4">
        <f t="shared" si="3"/>
        <v>-1.8769955032649343E-3</v>
      </c>
      <c r="AF35" s="4">
        <f t="shared" si="3"/>
        <v>1.5921868323443469E-3</v>
      </c>
    </row>
    <row r="36" spans="1:32" ht="13.25" x14ac:dyDescent="0.25">
      <c r="A36">
        <v>1999</v>
      </c>
      <c r="B36" s="4">
        <f t="shared" si="3"/>
        <v>9.9459276327971635E-2</v>
      </c>
      <c r="C36" s="4">
        <f t="shared" si="3"/>
        <v>0.13973018502407017</v>
      </c>
      <c r="D36" s="4">
        <f t="shared" si="3"/>
        <v>0.13856898247808716</v>
      </c>
      <c r="E36" s="4">
        <f t="shared" si="3"/>
        <v>7.322274244152438E-3</v>
      </c>
      <c r="F36" s="4">
        <f t="shared" si="3"/>
        <v>-3.8973539915200667E-2</v>
      </c>
      <c r="G36" s="4">
        <f t="shared" si="3"/>
        <v>0.31187646841686145</v>
      </c>
      <c r="H36" s="4">
        <f t="shared" si="3"/>
        <v>6.9126240382459403E-2</v>
      </c>
      <c r="I36" s="4">
        <f t="shared" si="3"/>
        <v>0.72671954491682422</v>
      </c>
      <c r="J36" s="4">
        <f t="shared" si="3"/>
        <v>3.228703407397715E-2</v>
      </c>
      <c r="K36" s="4">
        <f t="shared" si="3"/>
        <v>7.9804446544415958E-2</v>
      </c>
      <c r="L36" s="4">
        <f t="shared" si="3"/>
        <v>-0.21976010124031928</v>
      </c>
      <c r="M36" s="4">
        <f t="shared" si="3"/>
        <v>-0.23438122746452283</v>
      </c>
      <c r="N36" s="4">
        <f t="shared" si="3"/>
        <v>-0.30563120353766327</v>
      </c>
      <c r="O36" s="4">
        <f t="shared" si="3"/>
        <v>6.430153307275005E-2</v>
      </c>
      <c r="P36" s="4">
        <f t="shared" si="3"/>
        <v>8.2072471688188486E-3</v>
      </c>
      <c r="Q36" s="4">
        <f t="shared" si="3"/>
        <v>1.4373947681752923</v>
      </c>
      <c r="R36" s="4">
        <f t="shared" si="3"/>
        <v>0.16882981880166212</v>
      </c>
      <c r="S36" s="4">
        <f t="shared" si="3"/>
        <v>0.31774597576022917</v>
      </c>
      <c r="T36" s="4">
        <f t="shared" si="3"/>
        <v>3.7026146191629972E-2</v>
      </c>
      <c r="U36" s="4">
        <f t="shared" si="3"/>
        <v>4.1372144880564329E-2</v>
      </c>
      <c r="V36" s="4">
        <f t="shared" si="3"/>
        <v>-1.3120494565202794</v>
      </c>
      <c r="W36" s="4">
        <f t="shared" si="3"/>
        <v>5.8008739914925334E-2</v>
      </c>
      <c r="X36" s="4">
        <f t="shared" si="3"/>
        <v>-0.39403968902339814</v>
      </c>
      <c r="Y36" s="4">
        <f t="shared" si="3"/>
        <v>6.8804222204615378E-2</v>
      </c>
      <c r="Z36" s="4">
        <f t="shared" si="3"/>
        <v>0.16141756870392862</v>
      </c>
      <c r="AA36" s="4">
        <f t="shared" si="3"/>
        <v>4.2449041233271409E-2</v>
      </c>
      <c r="AB36" s="4">
        <f t="shared" si="3"/>
        <v>-0.18826498776495104</v>
      </c>
      <c r="AC36" s="4">
        <f t="shared" si="3"/>
        <v>-4.0245929158470639E-2</v>
      </c>
      <c r="AD36" s="4">
        <f t="shared" si="3"/>
        <v>0.49169583711193071</v>
      </c>
      <c r="AE36" s="4">
        <f t="shared" si="3"/>
        <v>0.22364077193566484</v>
      </c>
      <c r="AF36" s="4">
        <f t="shared" si="3"/>
        <v>0.27812441623561418</v>
      </c>
    </row>
    <row r="37" spans="1:32" ht="13.25" x14ac:dyDescent="0.25">
      <c r="A37">
        <v>2000</v>
      </c>
      <c r="B37" s="4">
        <f t="shared" si="3"/>
        <v>0.1026161932276464</v>
      </c>
      <c r="C37" s="4">
        <f t="shared" si="3"/>
        <v>-8.9164165013634666E-2</v>
      </c>
      <c r="D37" s="4">
        <f t="shared" si="3"/>
        <v>3.1916160808220288E-2</v>
      </c>
      <c r="E37" s="4">
        <f t="shared" si="3"/>
        <v>7.0875735892561229E-3</v>
      </c>
      <c r="F37" s="4">
        <f t="shared" si="3"/>
        <v>-0.18845387323686663</v>
      </c>
      <c r="G37" s="4">
        <f t="shared" si="3"/>
        <v>-0.1343826336003372</v>
      </c>
      <c r="H37" s="4">
        <f t="shared" si="3"/>
        <v>-4.6500648237601125E-2</v>
      </c>
      <c r="I37" s="4">
        <f t="shared" si="3"/>
        <v>-0.32899959304371046</v>
      </c>
      <c r="J37" s="4">
        <f t="shared" si="3"/>
        <v>6.8823103171754496E-2</v>
      </c>
      <c r="K37" s="4">
        <f t="shared" si="3"/>
        <v>-9.5444544350543198E-2</v>
      </c>
      <c r="L37" s="4">
        <f t="shared" si="3"/>
        <v>-1.4323400756669269</v>
      </c>
      <c r="M37" s="4">
        <f t="shared" si="3"/>
        <v>0.29400354135519663</v>
      </c>
      <c r="N37" s="4">
        <f t="shared" si="3"/>
        <v>-9.1380647829774814E-2</v>
      </c>
      <c r="O37" s="4">
        <f t="shared" si="3"/>
        <v>0.36865779273579846</v>
      </c>
      <c r="P37" s="4">
        <f t="shared" si="3"/>
        <v>-0.11708467539419184</v>
      </c>
      <c r="Q37" s="4">
        <f t="shared" si="3"/>
        <v>8.1225116729763014E-2</v>
      </c>
      <c r="R37" s="4">
        <f t="shared" si="3"/>
        <v>-0.26922970468107871</v>
      </c>
      <c r="S37" s="4">
        <f t="shared" si="3"/>
        <v>1.1114084935287885</v>
      </c>
      <c r="T37" s="4">
        <f t="shared" si="3"/>
        <v>0.10315147564694027</v>
      </c>
      <c r="U37" s="4">
        <f t="shared" si="3"/>
        <v>2.2532523903304416E-2</v>
      </c>
      <c r="V37" s="4">
        <f t="shared" si="3"/>
        <v>0.61839158052319543</v>
      </c>
      <c r="W37" s="4">
        <f t="shared" si="3"/>
        <v>-0.17264512227690706</v>
      </c>
      <c r="X37" s="4">
        <f t="shared" si="3"/>
        <v>-8.8025271697238033E-2</v>
      </c>
      <c r="Y37" s="4">
        <f t="shared" si="3"/>
        <v>-0.15078083936005149</v>
      </c>
      <c r="Z37" s="4">
        <f t="shared" si="3"/>
        <v>0.13015698952195903</v>
      </c>
      <c r="AA37" s="4">
        <f t="shared" si="3"/>
        <v>2.8068282462253895E-2</v>
      </c>
      <c r="AB37" s="4">
        <f t="shared" si="3"/>
        <v>-0.1676302719607595</v>
      </c>
      <c r="AC37" s="4">
        <f t="shared" si="3"/>
        <v>-0.12758702814740341</v>
      </c>
      <c r="AD37" s="4">
        <f t="shared" si="3"/>
        <v>-6.5345506930232292E-2</v>
      </c>
      <c r="AE37" s="4">
        <f t="shared" si="3"/>
        <v>2.9056778512093893E-2</v>
      </c>
      <c r="AF37" s="4">
        <f t="shared" si="3"/>
        <v>-0.34706247074664315</v>
      </c>
    </row>
    <row r="38" spans="1:32" ht="13.25" x14ac:dyDescent="0.25">
      <c r="A38">
        <v>2001</v>
      </c>
      <c r="B38" s="4">
        <f t="shared" si="3"/>
        <v>-0.43210991376450331</v>
      </c>
      <c r="C38" s="4">
        <f t="shared" si="3"/>
        <v>0.14472243894855347</v>
      </c>
      <c r="D38" s="4">
        <f t="shared" si="3"/>
        <v>0.19789431550169723</v>
      </c>
      <c r="E38" s="4">
        <f t="shared" si="3"/>
        <v>4.1314758596377434E-2</v>
      </c>
      <c r="F38" s="4">
        <f t="shared" si="3"/>
        <v>-1.4080704163562569E-2</v>
      </c>
      <c r="G38" s="4">
        <f t="shared" si="3"/>
        <v>9.2544071167010522E-2</v>
      </c>
      <c r="H38" s="4">
        <f t="shared" si="3"/>
        <v>-0.51975273041241554</v>
      </c>
      <c r="I38" s="4">
        <f t="shared" si="3"/>
        <v>0.52544139935926626</v>
      </c>
      <c r="J38" s="4">
        <f t="shared" si="3"/>
        <v>4.3402841438112343E-2</v>
      </c>
      <c r="K38" s="4">
        <f t="shared" si="3"/>
        <v>-0.67447222166276144</v>
      </c>
      <c r="L38" s="4">
        <f t="shared" si="3"/>
        <v>0.72061829310949732</v>
      </c>
      <c r="M38" s="4">
        <f t="shared" si="3"/>
        <v>-0.34369431543252443</v>
      </c>
      <c r="N38" s="4">
        <f t="shared" si="3"/>
        <v>-6.954935782180012E-2</v>
      </c>
      <c r="O38" s="4">
        <f t="shared" si="3"/>
        <v>-0.18857624393640299</v>
      </c>
      <c r="P38" s="4">
        <f t="shared" si="3"/>
        <v>-8.4044032769218235E-2</v>
      </c>
      <c r="Q38" s="4">
        <f t="shared" si="3"/>
        <v>1.0293508134875031</v>
      </c>
      <c r="R38" s="4">
        <f t="shared" si="3"/>
        <v>-0.1654425682118405</v>
      </c>
      <c r="S38" s="4">
        <f t="shared" si="3"/>
        <v>-0.36124223355412532</v>
      </c>
      <c r="T38" s="4">
        <f t="shared" si="3"/>
        <v>2.3575541379564219E-3</v>
      </c>
      <c r="U38" s="4">
        <f t="shared" si="3"/>
        <v>-0.68495621562800202</v>
      </c>
      <c r="V38" s="4">
        <f t="shared" si="3"/>
        <v>0.96330356213616264</v>
      </c>
      <c r="W38" s="4">
        <f t="shared" si="3"/>
        <v>-0.17432047418521174</v>
      </c>
      <c r="X38" s="4">
        <f t="shared" si="3"/>
        <v>-0.68741238393166892</v>
      </c>
      <c r="Y38" s="4">
        <f t="shared" si="3"/>
        <v>-0.22223796768685361</v>
      </c>
      <c r="Z38" s="4">
        <f t="shared" si="3"/>
        <v>0.28470123751439769</v>
      </c>
      <c r="AA38" s="4">
        <f t="shared" si="3"/>
        <v>-6.4089697884513311E-2</v>
      </c>
      <c r="AB38" s="4">
        <f t="shared" si="3"/>
        <v>-0.65470338447099541</v>
      </c>
      <c r="AC38" s="4">
        <f t="shared" si="3"/>
        <v>-4.1333406071444798E-3</v>
      </c>
      <c r="AD38" s="4">
        <f t="shared" si="3"/>
        <v>-0.15910590855048054</v>
      </c>
      <c r="AE38" s="4">
        <f t="shared" si="3"/>
        <v>-0.25502719776208704</v>
      </c>
      <c r="AF38" s="4">
        <f t="shared" si="3"/>
        <v>6.7831609008328853E-2</v>
      </c>
    </row>
    <row r="39" spans="1:32" ht="13.25" x14ac:dyDescent="0.25">
      <c r="A39">
        <v>2002</v>
      </c>
      <c r="B39" s="4">
        <f t="shared" si="3"/>
        <v>0.1560922137249271</v>
      </c>
      <c r="C39" s="4">
        <f t="shared" si="3"/>
        <v>2.7498405738802661E-2</v>
      </c>
      <c r="D39" s="4">
        <f t="shared" si="3"/>
        <v>0.34543774901800406</v>
      </c>
      <c r="E39" s="4">
        <f t="shared" si="3"/>
        <v>-5.6231291002262054E-2</v>
      </c>
      <c r="F39" s="4">
        <f t="shared" si="3"/>
        <v>0.30359295200102915</v>
      </c>
      <c r="G39" s="4">
        <f t="shared" si="3"/>
        <v>6.316357304031113E-2</v>
      </c>
      <c r="H39" s="4">
        <f t="shared" si="3"/>
        <v>-0.24604795907036636</v>
      </c>
      <c r="I39" s="4">
        <f t="shared" si="3"/>
        <v>-0.11840023212240894</v>
      </c>
      <c r="J39" s="4">
        <f t="shared" si="3"/>
        <v>0.14667683638219497</v>
      </c>
      <c r="K39" s="4">
        <f t="shared" si="3"/>
        <v>0.44774013953364161</v>
      </c>
      <c r="L39" s="4">
        <f t="shared" si="3"/>
        <v>1.6998850977720839</v>
      </c>
      <c r="M39" s="4">
        <f t="shared" si="3"/>
        <v>-0.17048870451012677</v>
      </c>
      <c r="N39" s="4">
        <f t="shared" si="3"/>
        <v>-0.16328402505941678</v>
      </c>
      <c r="O39" s="4">
        <f t="shared" si="3"/>
        <v>0.3299855360038409</v>
      </c>
      <c r="P39" s="4">
        <f t="shared" si="3"/>
        <v>-4.2637210446012833E-2</v>
      </c>
      <c r="Q39" s="4">
        <f t="shared" si="3"/>
        <v>2.2394932107046799</v>
      </c>
      <c r="R39" s="4">
        <f t="shared" si="3"/>
        <v>0.12984162838559427</v>
      </c>
      <c r="S39" s="4">
        <f t="shared" si="3"/>
        <v>-0.25025470970795466</v>
      </c>
      <c r="T39" s="4">
        <f t="shared" si="3"/>
        <v>-1.1438574034087039E-2</v>
      </c>
      <c r="U39" s="4">
        <f t="shared" si="3"/>
        <v>-6.1847048675741575E-3</v>
      </c>
      <c r="V39" s="4">
        <f t="shared" si="3"/>
        <v>-1.0503176426957517</v>
      </c>
      <c r="W39" s="4">
        <f t="shared" si="3"/>
        <v>0.12905243565783298</v>
      </c>
      <c r="X39" s="4">
        <f t="shared" si="3"/>
        <v>0.46288573851265785</v>
      </c>
      <c r="Y39" s="4">
        <f t="shared" si="3"/>
        <v>1.9022130691046427E-2</v>
      </c>
      <c r="Z39" s="4">
        <f t="shared" si="3"/>
        <v>5.6365825547371698E-2</v>
      </c>
      <c r="AA39" s="4">
        <f t="shared" si="3"/>
        <v>-0.11912276891815994</v>
      </c>
      <c r="AB39" s="4">
        <f t="shared" si="3"/>
        <v>-7.7961467870792209E-2</v>
      </c>
      <c r="AC39" s="4">
        <f t="shared" si="3"/>
        <v>2.6111479984936015E-2</v>
      </c>
      <c r="AD39" s="4">
        <f t="shared" si="3"/>
        <v>0.56091543882361117</v>
      </c>
      <c r="AE39" s="4">
        <f t="shared" si="3"/>
        <v>3.4116888636767734E-2</v>
      </c>
      <c r="AF39" s="4">
        <f t="shared" si="3"/>
        <v>-0.24214036330217592</v>
      </c>
    </row>
    <row r="40" spans="1:32" ht="13.25" x14ac:dyDescent="0.25">
      <c r="A40">
        <v>2003</v>
      </c>
      <c r="B40" s="4">
        <f t="shared" si="3"/>
        <v>-0.37108389120320195</v>
      </c>
      <c r="C40" s="4">
        <f t="shared" si="3"/>
        <v>-0.19997551310382955</v>
      </c>
      <c r="D40" s="4">
        <f t="shared" si="3"/>
        <v>-1.3978377095518177E-2</v>
      </c>
      <c r="E40" s="4">
        <f t="shared" si="3"/>
        <v>-0.12138685222376429</v>
      </c>
      <c r="F40" s="4">
        <f t="shared" si="3"/>
        <v>-3.8318106914285069E-2</v>
      </c>
      <c r="G40" s="4">
        <f t="shared" si="3"/>
        <v>-0.16796393736536647</v>
      </c>
      <c r="H40" s="4">
        <f t="shared" si="3"/>
        <v>-0.10619183815339515</v>
      </c>
      <c r="I40" s="4">
        <f t="shared" si="3"/>
        <v>-0.3510635879968721</v>
      </c>
      <c r="J40" s="4">
        <f t="shared" si="3"/>
        <v>1.2912560011246604E-2</v>
      </c>
      <c r="K40" s="4">
        <f t="shared" si="3"/>
        <v>-0.43069299412664874</v>
      </c>
      <c r="L40" s="4">
        <f t="shared" si="3"/>
        <v>0.24443371359066518</v>
      </c>
      <c r="M40" s="4">
        <f t="shared" si="3"/>
        <v>1.7011131897378906E-2</v>
      </c>
      <c r="N40" s="4">
        <f t="shared" si="3"/>
        <v>-0.24419109585716658</v>
      </c>
      <c r="O40" s="4">
        <f t="shared" si="3"/>
        <v>0.11392836929697303</v>
      </c>
      <c r="P40" s="4">
        <f t="shared" si="3"/>
        <v>-0.160303900210848</v>
      </c>
      <c r="Q40" s="4">
        <f t="shared" si="3"/>
        <v>-1.4194779481365396</v>
      </c>
      <c r="R40" s="4">
        <f t="shared" si="3"/>
        <v>-0.23783346056258212</v>
      </c>
      <c r="S40" s="4">
        <f t="shared" si="3"/>
        <v>0.66132593104671811</v>
      </c>
      <c r="T40" s="4">
        <f t="shared" si="3"/>
        <v>8.8830563207405899E-2</v>
      </c>
      <c r="U40" s="4">
        <f t="shared" si="3"/>
        <v>-0.49638172998610652</v>
      </c>
      <c r="V40" s="4">
        <f t="shared" si="3"/>
        <v>1.3269903581118243</v>
      </c>
      <c r="W40" s="4">
        <f t="shared" si="3"/>
        <v>-0.2846424219897653</v>
      </c>
      <c r="X40" s="4">
        <f t="shared" si="3"/>
        <v>-0.83638023079161172</v>
      </c>
      <c r="Y40" s="4">
        <f t="shared" si="3"/>
        <v>-0.31718295303162736</v>
      </c>
      <c r="Z40" s="4">
        <f t="shared" si="3"/>
        <v>0.19804897900752305</v>
      </c>
      <c r="AA40" s="4">
        <f t="shared" si="3"/>
        <v>-9.7845870715586702E-2</v>
      </c>
      <c r="AB40" s="4">
        <f t="shared" si="3"/>
        <v>0.71805646376314813</v>
      </c>
      <c r="AC40" s="4">
        <f t="shared" si="3"/>
        <v>0.25903698249202228</v>
      </c>
      <c r="AD40" s="4">
        <f t="shared" si="3"/>
        <v>-0.23008849703755549</v>
      </c>
      <c r="AE40" s="4">
        <f t="shared" si="3"/>
        <v>0.436627632650116</v>
      </c>
      <c r="AF40" s="4">
        <f t="shared" si="3"/>
        <v>0.38167635589868637</v>
      </c>
    </row>
    <row r="41" spans="1:32" ht="13.25" x14ac:dyDescent="0.25">
      <c r="A41">
        <v>2004</v>
      </c>
      <c r="B41" s="4">
        <f t="shared" si="3"/>
        <v>0.36749647358983351</v>
      </c>
      <c r="C41" s="4">
        <f t="shared" si="3"/>
        <v>-0.31087971825985561</v>
      </c>
      <c r="D41" s="4">
        <f t="shared" si="3"/>
        <v>-0.34417927906299584</v>
      </c>
      <c r="E41" s="4">
        <f t="shared" si="3"/>
        <v>5.7426412145762135E-2</v>
      </c>
      <c r="F41" s="4">
        <f t="shared" si="3"/>
        <v>0.38866388435502242</v>
      </c>
      <c r="G41" s="4">
        <f t="shared" si="3"/>
        <v>-1.1651216188647</v>
      </c>
      <c r="H41" s="4">
        <f t="shared" si="3"/>
        <v>0.55170390844308392</v>
      </c>
      <c r="I41" s="4">
        <f t="shared" si="3"/>
        <v>-1.1648672876819881</v>
      </c>
      <c r="J41" s="4">
        <f t="shared" si="3"/>
        <v>-9.4317069195085979E-2</v>
      </c>
      <c r="K41" s="4">
        <f t="shared" si="3"/>
        <v>-0.18014540978905505</v>
      </c>
      <c r="L41" s="4">
        <f t="shared" si="3"/>
        <v>-2.5219774349092866E-2</v>
      </c>
      <c r="M41" s="4">
        <f t="shared" si="3"/>
        <v>0.37999008612626373</v>
      </c>
      <c r="N41" s="4">
        <f t="shared" si="3"/>
        <v>7.077730065035806E-2</v>
      </c>
      <c r="O41" s="4">
        <f t="shared" si="3"/>
        <v>0.21213686603587181</v>
      </c>
      <c r="P41" s="4">
        <f t="shared" si="3"/>
        <v>-0.12684561643058248</v>
      </c>
      <c r="Q41" s="4">
        <f t="shared" si="3"/>
        <v>0.18681181551301332</v>
      </c>
      <c r="R41" s="4">
        <f t="shared" si="3"/>
        <v>0.34542897219954183</v>
      </c>
      <c r="S41" s="4">
        <f t="shared" si="3"/>
        <v>0.11404230353483794</v>
      </c>
      <c r="T41" s="4">
        <f t="shared" si="3"/>
        <v>4.9945504279711977E-2</v>
      </c>
      <c r="U41" s="4">
        <f t="shared" si="3"/>
        <v>0.32038077370222473</v>
      </c>
      <c r="V41" s="4">
        <f t="shared" si="3"/>
        <v>1.1578326734550153</v>
      </c>
      <c r="W41" s="4">
        <f t="shared" si="3"/>
        <v>-3.1939713680694176E-2</v>
      </c>
      <c r="X41" s="4">
        <f t="shared" si="3"/>
        <v>2.8536191983522801</v>
      </c>
      <c r="Y41" s="4">
        <f t="shared" si="3"/>
        <v>-0.1227042972565025</v>
      </c>
      <c r="Z41" s="4">
        <f t="shared" si="3"/>
        <v>0.26170376194196854</v>
      </c>
      <c r="AA41" s="4">
        <f t="shared" si="3"/>
        <v>-0.27203771309330638</v>
      </c>
      <c r="AB41" s="4">
        <f t="shared" si="3"/>
        <v>4.9670628454292903E-2</v>
      </c>
      <c r="AC41" s="4">
        <f t="shared" si="3"/>
        <v>0.1124415664808078</v>
      </c>
      <c r="AD41" s="4">
        <f t="shared" si="3"/>
        <v>-0.29089300839600141</v>
      </c>
      <c r="AE41" s="4">
        <f t="shared" si="3"/>
        <v>-0.17120847775568898</v>
      </c>
      <c r="AF41" s="4">
        <f t="shared" si="3"/>
        <v>1.2232319524319568</v>
      </c>
    </row>
    <row r="42" spans="1:32" ht="13.25" x14ac:dyDescent="0.25">
      <c r="A42">
        <v>2005</v>
      </c>
      <c r="B42" s="4">
        <f t="shared" si="3"/>
        <v>6.3898597611815211E-2</v>
      </c>
      <c r="C42" s="4">
        <f t="shared" si="3"/>
        <v>-0.16946267866426254</v>
      </c>
      <c r="D42" s="4">
        <f t="shared" si="3"/>
        <v>-1.7639583329409014E-2</v>
      </c>
      <c r="E42" s="4">
        <f t="shared" si="3"/>
        <v>-0.18875891099186559</v>
      </c>
      <c r="F42" s="4">
        <f t="shared" si="3"/>
        <v>7.9854866939138069E-2</v>
      </c>
      <c r="G42" s="4">
        <f t="shared" si="3"/>
        <v>-0.10520459044856333</v>
      </c>
      <c r="H42" s="4">
        <f t="shared" si="3"/>
        <v>0.44135106105414368</v>
      </c>
      <c r="I42" s="4">
        <f t="shared" si="3"/>
        <v>0.77280516052237647</v>
      </c>
      <c r="J42" s="4">
        <f t="shared" si="3"/>
        <v>-5.4456285510654262E-2</v>
      </c>
      <c r="K42" s="4">
        <f t="shared" si="3"/>
        <v>0.31741905937809278</v>
      </c>
      <c r="L42" s="4">
        <f t="shared" si="3"/>
        <v>0.4699509387205083</v>
      </c>
      <c r="M42" s="4">
        <f t="shared" si="3"/>
        <v>-0.33937740846314551</v>
      </c>
      <c r="N42" s="4">
        <f t="shared" si="3"/>
        <v>-3.1632824613436472E-3</v>
      </c>
      <c r="O42" s="4">
        <f t="shared" si="3"/>
        <v>0.53417852274302635</v>
      </c>
      <c r="P42" s="4">
        <f t="shared" si="3"/>
        <v>-0.13763977178450937</v>
      </c>
      <c r="Q42" s="4">
        <f t="shared" si="3"/>
        <v>0.3397876251102856</v>
      </c>
      <c r="R42" s="4">
        <f t="shared" si="3"/>
        <v>0.23612326159198888</v>
      </c>
      <c r="S42" s="4">
        <f t="shared" si="3"/>
        <v>0.38745368173258055</v>
      </c>
      <c r="T42" s="4">
        <f t="shared" si="3"/>
        <v>0.53831025551275669</v>
      </c>
      <c r="U42" s="4">
        <f t="shared" si="3"/>
        <v>2.2112217190094541E-2</v>
      </c>
      <c r="V42" s="4">
        <f t="shared" si="3"/>
        <v>0.62441827607654654</v>
      </c>
      <c r="W42" s="4">
        <f t="shared" si="3"/>
        <v>-0.21976192434274763</v>
      </c>
      <c r="X42" s="4">
        <f t="shared" si="3"/>
        <v>1.0767723520388346</v>
      </c>
      <c r="Y42" s="4">
        <f t="shared" si="3"/>
        <v>-0.28220829578947576</v>
      </c>
      <c r="Z42" s="4">
        <f t="shared" si="3"/>
        <v>0.18679380613944702</v>
      </c>
      <c r="AA42" s="4">
        <f t="shared" si="3"/>
        <v>-0.21301266827388937</v>
      </c>
      <c r="AB42" s="4">
        <f t="shared" si="3"/>
        <v>0.37706621408081209</v>
      </c>
      <c r="AC42" s="4">
        <f t="shared" si="3"/>
        <v>-6.7418857625169776E-2</v>
      </c>
      <c r="AD42" s="4">
        <f t="shared" si="3"/>
        <v>0.17824840319419655</v>
      </c>
      <c r="AE42" s="4">
        <f t="shared" si="3"/>
        <v>-0.11515906168209411</v>
      </c>
      <c r="AF42" s="4">
        <f t="shared" si="3"/>
        <v>-0.42009825076471807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7"/>
  <sheetViews>
    <sheetView zoomScaleNormal="100" workbookViewId="0">
      <pane xSplit="1" ySplit="2" topLeftCell="Q24" activePane="bottomRight" state="frozen"/>
      <selection pane="topRight" activeCell="B1" sqref="B1"/>
      <selection pane="bottomLeft" activeCell="A3" sqref="A3"/>
      <selection pane="bottomRight" activeCell="AC37" sqref="AC37"/>
    </sheetView>
  </sheetViews>
  <sheetFormatPr defaultColWidth="8.90625" defaultRowHeight="14.5" x14ac:dyDescent="0.35"/>
  <cols>
    <col min="1" max="1" width="8.90625" style="8"/>
    <col min="2" max="30" width="12.6328125" style="8" bestFit="1" customWidth="1"/>
    <col min="31" max="16384" width="8.90625" style="8"/>
  </cols>
  <sheetData>
    <row r="1" spans="1:30" x14ac:dyDescent="0.35">
      <c r="A1" s="15" t="s">
        <v>63</v>
      </c>
    </row>
    <row r="2" spans="1:30" x14ac:dyDescent="0.35">
      <c r="A2" s="16"/>
      <c r="B2" s="16" t="s">
        <v>36</v>
      </c>
      <c r="C2" s="16" t="s">
        <v>37</v>
      </c>
      <c r="D2" s="16" t="s">
        <v>38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  <c r="J2" s="16" t="s">
        <v>44</v>
      </c>
      <c r="K2" s="16" t="s">
        <v>10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16" t="s">
        <v>20</v>
      </c>
      <c r="S2" s="16" t="s">
        <v>51</v>
      </c>
      <c r="T2" s="16" t="s">
        <v>52</v>
      </c>
      <c r="U2" s="16" t="s">
        <v>53</v>
      </c>
      <c r="V2" s="16" t="s">
        <v>54</v>
      </c>
      <c r="W2" s="16" t="s">
        <v>55</v>
      </c>
      <c r="X2" s="16" t="s">
        <v>56</v>
      </c>
      <c r="Y2" s="16" t="s">
        <v>57</v>
      </c>
      <c r="Z2" s="16" t="s">
        <v>58</v>
      </c>
      <c r="AA2" s="16" t="s">
        <v>59</v>
      </c>
      <c r="AB2" s="16" t="s">
        <v>60</v>
      </c>
      <c r="AC2" s="16" t="s">
        <v>61</v>
      </c>
      <c r="AD2" s="16" t="s">
        <v>35</v>
      </c>
    </row>
    <row r="3" spans="1:30" x14ac:dyDescent="0.35">
      <c r="A3" s="9">
        <v>1988</v>
      </c>
      <c r="B3" s="10">
        <v>0.16504132406121028</v>
      </c>
      <c r="C3" s="10">
        <v>-0.21086899115018484</v>
      </c>
      <c r="D3" s="10">
        <v>0.83603157961869001</v>
      </c>
      <c r="E3" s="10">
        <v>0.2493153559006199</v>
      </c>
      <c r="F3" s="10">
        <v>0.41441022808330308</v>
      </c>
      <c r="G3" s="10">
        <v>-4.6657092774743898E-2</v>
      </c>
      <c r="H3" s="10">
        <v>-0.14596094185386913</v>
      </c>
      <c r="I3" s="10">
        <v>0.25203353230983405</v>
      </c>
      <c r="J3" s="10">
        <v>-0.13802816892800654</v>
      </c>
      <c r="K3" s="10">
        <v>0.28482619212180288</v>
      </c>
      <c r="L3" s="10">
        <v>0.11331022596649074</v>
      </c>
      <c r="M3" s="10">
        <v>0.17248666697985715</v>
      </c>
      <c r="N3" s="10">
        <v>-4.199333534311233E-2</v>
      </c>
      <c r="O3" s="10">
        <v>0.6948806456329415</v>
      </c>
      <c r="P3" s="10">
        <v>0.27672253910736511</v>
      </c>
      <c r="Q3" s="10">
        <v>-2.6315321033318396E-2</v>
      </c>
      <c r="R3" s="10">
        <v>0.51723840064483639</v>
      </c>
      <c r="S3" s="10">
        <v>-9.0101008271425455E-4</v>
      </c>
      <c r="T3" s="10">
        <v>-2.0445511854186645E-2</v>
      </c>
      <c r="U3" s="10">
        <v>-0.48911332980977745</v>
      </c>
      <c r="V3" s="10">
        <v>0.24653168070740861</v>
      </c>
      <c r="W3" s="10">
        <v>3.1241538688680962E-2</v>
      </c>
      <c r="X3" s="10">
        <v>0.14618166590770226</v>
      </c>
      <c r="Y3" s="10">
        <v>0.37182484593613752</v>
      </c>
      <c r="Z3" s="10">
        <v>9.5598765271352512E-2</v>
      </c>
      <c r="AA3" s="10">
        <v>0.21928386241232742</v>
      </c>
      <c r="AB3" s="10">
        <v>-0.13307523121007928</v>
      </c>
      <c r="AC3" s="10">
        <v>0.28727510126081751</v>
      </c>
      <c r="AD3" s="17">
        <v>0.20695852577954962</v>
      </c>
    </row>
    <row r="4" spans="1:30" x14ac:dyDescent="0.35">
      <c r="A4" s="9">
        <v>1989</v>
      </c>
      <c r="B4" s="10">
        <v>-0.20428720974425571</v>
      </c>
      <c r="C4" s="10">
        <v>0.44332619502932452</v>
      </c>
      <c r="D4" s="10">
        <v>-6.67578714644569E-2</v>
      </c>
      <c r="E4" s="10">
        <v>0.25731860360232617</v>
      </c>
      <c r="F4" s="10">
        <v>0.37808526665238618</v>
      </c>
      <c r="G4" s="10">
        <v>0.17009226210744577</v>
      </c>
      <c r="H4" s="10">
        <v>-1.9546115995333058E-2</v>
      </c>
      <c r="I4" s="10">
        <v>0.18609491926178309</v>
      </c>
      <c r="J4" s="10">
        <v>-0.18145942484027044</v>
      </c>
      <c r="K4" s="10">
        <v>0.78129807205707924</v>
      </c>
      <c r="L4" s="10">
        <v>0.16679451800992376</v>
      </c>
      <c r="M4" s="10">
        <v>-6.8434212358346361E-2</v>
      </c>
      <c r="N4" s="10">
        <v>0.12442538746521144</v>
      </c>
      <c r="O4" s="10">
        <v>0.34234167303256546</v>
      </c>
      <c r="P4" s="10">
        <v>0.19005484784556362</v>
      </c>
      <c r="Q4" s="10">
        <v>-0.43543655947535609</v>
      </c>
      <c r="R4" s="10">
        <v>0.1131893890154471</v>
      </c>
      <c r="S4" s="10">
        <v>0.14788081814394591</v>
      </c>
      <c r="T4" s="10">
        <v>0.49986757685674282</v>
      </c>
      <c r="U4" s="10">
        <v>0.5149457983331357</v>
      </c>
      <c r="V4" s="10">
        <v>0.32875151452890794</v>
      </c>
      <c r="W4" s="10">
        <v>0.40949361964327674</v>
      </c>
      <c r="X4" s="10">
        <v>0.25332268882615672</v>
      </c>
      <c r="Y4" s="10">
        <v>-2.1867130255918878E-2</v>
      </c>
      <c r="Z4" s="10">
        <v>0.10652145826236364</v>
      </c>
      <c r="AA4" s="10">
        <v>0.12368579319210199</v>
      </c>
      <c r="AB4" s="10">
        <v>0.21627137020145107</v>
      </c>
      <c r="AC4" s="10">
        <v>0.28660863481043108</v>
      </c>
      <c r="AD4" s="17">
        <v>0.16718303799915082</v>
      </c>
    </row>
    <row r="5" spans="1:30" x14ac:dyDescent="0.35">
      <c r="A5" s="9">
        <v>1990</v>
      </c>
      <c r="B5" s="10">
        <v>-0.20138377868894114</v>
      </c>
      <c r="C5" s="10">
        <v>3.8410276402028029E-2</v>
      </c>
      <c r="D5" s="10">
        <v>0.29452132300801986</v>
      </c>
      <c r="E5" s="10">
        <v>0.24727581659058046</v>
      </c>
      <c r="F5" s="10">
        <v>0.15504721691399145</v>
      </c>
      <c r="G5" s="10">
        <v>-0.19250518793067514</v>
      </c>
      <c r="H5" s="10">
        <v>-3.6087326353095805E-2</v>
      </c>
      <c r="I5" s="10">
        <v>-3.0730208366141643E-2</v>
      </c>
      <c r="J5" s="10">
        <v>7.5563062010217896E-2</v>
      </c>
      <c r="K5" s="10">
        <v>0.14869571318266628</v>
      </c>
      <c r="L5" s="10">
        <v>0.10120419992281969</v>
      </c>
      <c r="M5" s="10">
        <v>7.5959692856760838E-2</v>
      </c>
      <c r="N5" s="10">
        <v>-5.6463042512844529E-2</v>
      </c>
      <c r="O5" s="10">
        <v>-0.11146062591307648</v>
      </c>
      <c r="P5" s="10">
        <v>-0.11974106546277682</v>
      </c>
      <c r="Q5" s="10">
        <v>-0.56198730931396634</v>
      </c>
      <c r="R5" s="10">
        <v>-0.15005441048674012</v>
      </c>
      <c r="S5" s="10">
        <v>8.2225316443479246E-2</v>
      </c>
      <c r="T5" s="10">
        <v>-4.9498194150750775E-2</v>
      </c>
      <c r="U5" s="10">
        <v>0.29386792058528838</v>
      </c>
      <c r="V5" s="10">
        <v>0.31384808523312457</v>
      </c>
      <c r="W5" s="10">
        <v>-0.20014278199485963</v>
      </c>
      <c r="X5" s="10">
        <v>8.5165451342191389E-2</v>
      </c>
      <c r="Y5" s="10">
        <v>-0.1337706154193945</v>
      </c>
      <c r="Z5" s="10">
        <v>2.1260142738031968E-2</v>
      </c>
      <c r="AA5" s="10">
        <v>1.792825596375788E-2</v>
      </c>
      <c r="AB5" s="10">
        <v>-0.20694282928695759</v>
      </c>
      <c r="AC5" s="10">
        <v>0.27351750728099161</v>
      </c>
      <c r="AD5" s="17">
        <v>-1.140250527080214E-2</v>
      </c>
    </row>
    <row r="6" spans="1:30" x14ac:dyDescent="0.35">
      <c r="A6" s="9">
        <v>1991</v>
      </c>
      <c r="B6" s="10">
        <v>-8.5779306943635891E-2</v>
      </c>
      <c r="C6" s="10">
        <v>0.43901087789221099</v>
      </c>
      <c r="D6" s="10">
        <v>-4.2865889201377141E-2</v>
      </c>
      <c r="E6" s="10">
        <v>1.0391287114289351E-2</v>
      </c>
      <c r="F6" s="10">
        <v>-0.17318161449808653</v>
      </c>
      <c r="G6" s="10">
        <v>-4.2560826496354787E-2</v>
      </c>
      <c r="H6" s="10">
        <v>3.2710840970555405E-2</v>
      </c>
      <c r="I6" s="10">
        <v>-0.43472151072891346</v>
      </c>
      <c r="J6" s="10">
        <v>0.14081580034694186</v>
      </c>
      <c r="K6" s="10">
        <v>-0.45512474839489397</v>
      </c>
      <c r="L6" s="10">
        <v>0.10954487722678186</v>
      </c>
      <c r="M6" s="10">
        <v>0.19968869078185683</v>
      </c>
      <c r="N6" s="10">
        <v>-0.12646474858462242</v>
      </c>
      <c r="O6" s="10">
        <v>-0.53952340961592771</v>
      </c>
      <c r="P6" s="10">
        <v>-0.12609997543334253</v>
      </c>
      <c r="Q6" s="10">
        <v>-3.1351923026589276E-2</v>
      </c>
      <c r="R6" s="10">
        <v>-0.11217082445412752</v>
      </c>
      <c r="S6" s="10">
        <v>0.1796247647252022</v>
      </c>
      <c r="T6" s="10">
        <v>0.10655693321897432</v>
      </c>
      <c r="U6" s="10">
        <v>-0.85986255741845774</v>
      </c>
      <c r="V6" s="10">
        <v>9.9331890866075898E-2</v>
      </c>
      <c r="W6" s="10">
        <v>0.18123297913441025</v>
      </c>
      <c r="X6" s="10">
        <v>-6.3502913104507577E-2</v>
      </c>
      <c r="Y6" s="10">
        <v>-9.8604850524270996E-2</v>
      </c>
      <c r="Z6" s="10">
        <v>0.13031655645812576</v>
      </c>
      <c r="AA6" s="10">
        <v>0.24202860767165527</v>
      </c>
      <c r="AB6" s="10">
        <v>-0.15993377201622702</v>
      </c>
      <c r="AC6" s="10">
        <v>5.5445288980580959E-2</v>
      </c>
      <c r="AD6" s="17">
        <v>-2.2604420688354904E-2</v>
      </c>
    </row>
    <row r="7" spans="1:30" x14ac:dyDescent="0.35">
      <c r="A7" s="9">
        <v>1992</v>
      </c>
      <c r="B7" s="10">
        <v>8.0071651494521112E-2</v>
      </c>
      <c r="C7" s="10">
        <v>-8.6892172109510654E-2</v>
      </c>
      <c r="D7" s="10">
        <v>-0.22376309959996993</v>
      </c>
      <c r="E7" s="10">
        <v>0.32267600902412708</v>
      </c>
      <c r="F7" s="10">
        <v>0.44509178387839526</v>
      </c>
      <c r="G7" s="10">
        <v>2.7994998129824682E-2</v>
      </c>
      <c r="H7" s="10">
        <v>-5.9159070343597998E-2</v>
      </c>
      <c r="I7" s="10">
        <v>-0.14062643555630325</v>
      </c>
      <c r="J7" s="10">
        <v>-9.5255790178594049E-2</v>
      </c>
      <c r="K7" s="10">
        <v>4.9909650788810982E-2</v>
      </c>
      <c r="L7" s="10">
        <v>0.10931744183974001</v>
      </c>
      <c r="M7" s="10">
        <v>-9.5381510058247104E-2</v>
      </c>
      <c r="N7" s="10">
        <v>0.18305494724210269</v>
      </c>
      <c r="O7" s="10">
        <v>-7.6194494851470465E-2</v>
      </c>
      <c r="P7" s="10">
        <v>-5.2457911385463324E-2</v>
      </c>
      <c r="Q7" s="10">
        <v>0.31754218852740174</v>
      </c>
      <c r="R7" s="10">
        <v>-4.7576521159498564E-2</v>
      </c>
      <c r="S7" s="10">
        <v>0.126053957582061</v>
      </c>
      <c r="T7" s="10">
        <v>0.25900890502614754</v>
      </c>
      <c r="U7" s="10">
        <v>-0.13779140858204625</v>
      </c>
      <c r="V7" s="10">
        <v>-0.33632927955130076</v>
      </c>
      <c r="W7" s="10">
        <v>3.8817441488093421E-2</v>
      </c>
      <c r="X7" s="10">
        <v>-0.19624882160972781</v>
      </c>
      <c r="Y7" s="10">
        <v>0.16009951967516012</v>
      </c>
      <c r="Z7" s="10">
        <v>8.0477992731393194E-2</v>
      </c>
      <c r="AA7" s="10">
        <v>-0.31075042605911768</v>
      </c>
      <c r="AB7" s="10">
        <v>0.10665061110047216</v>
      </c>
      <c r="AC7" s="10">
        <v>-0.32922537842581523</v>
      </c>
      <c r="AD7" s="17">
        <v>2.6130180792065721E-2</v>
      </c>
    </row>
    <row r="8" spans="1:30" x14ac:dyDescent="0.35">
      <c r="A8" s="9">
        <v>1993</v>
      </c>
      <c r="B8" s="10">
        <v>0.27574312491526076</v>
      </c>
      <c r="C8" s="10">
        <v>-0.395978972361819</v>
      </c>
      <c r="D8" s="10">
        <v>0.33665477362968671</v>
      </c>
      <c r="E8" s="10">
        <v>0.32232878140666998</v>
      </c>
      <c r="F8" s="10">
        <v>2.0079014743959782E-2</v>
      </c>
      <c r="G8" s="10">
        <v>-0.27298278566289474</v>
      </c>
      <c r="H8" s="10">
        <v>3.2356716777605543E-2</v>
      </c>
      <c r="I8" s="10">
        <v>0.20496953926954184</v>
      </c>
      <c r="J8" s="10">
        <v>0.12486365533427649</v>
      </c>
      <c r="K8" s="10">
        <v>-0.16191046670947729</v>
      </c>
      <c r="L8" s="10">
        <v>0.14944658169087072</v>
      </c>
      <c r="M8" s="10">
        <v>-2.2420802276366253E-3</v>
      </c>
      <c r="N8" s="10">
        <v>-0.17544739663578718</v>
      </c>
      <c r="O8" s="10">
        <v>-0.10229188042685361</v>
      </c>
      <c r="P8" s="10">
        <v>-2.6320256527322724E-2</v>
      </c>
      <c r="Q8" s="10">
        <v>6.8073481477483003E-2</v>
      </c>
      <c r="R8" s="10">
        <v>2.2018780730027672E-2</v>
      </c>
      <c r="S8" s="10">
        <v>0.17055682862613972</v>
      </c>
      <c r="T8" s="10">
        <v>-4.1022097904788821E-2</v>
      </c>
      <c r="U8" s="10">
        <v>0.23370513655901354</v>
      </c>
      <c r="V8" s="10">
        <v>-9.6242401105002789E-2</v>
      </c>
      <c r="W8" s="10">
        <v>0.16211696834634232</v>
      </c>
      <c r="X8" s="10">
        <v>-0.47732864229133598</v>
      </c>
      <c r="Y8" s="10">
        <v>-9.9564876120310272E-2</v>
      </c>
      <c r="Z8" s="10">
        <v>0.21231516740729098</v>
      </c>
      <c r="AA8" s="10">
        <v>0.17348999350396316</v>
      </c>
      <c r="AB8" s="10">
        <v>0.23464150380260981</v>
      </c>
      <c r="AC8" s="10">
        <v>0.17544604476706463</v>
      </c>
      <c r="AD8" s="17">
        <v>6.0730342224008936E-2</v>
      </c>
    </row>
    <row r="9" spans="1:30" x14ac:dyDescent="0.35">
      <c r="A9" s="9">
        <v>1994</v>
      </c>
      <c r="B9" s="10">
        <v>0.16519639616879353</v>
      </c>
      <c r="C9" s="10">
        <v>2.2447462081193786E-2</v>
      </c>
      <c r="D9" s="10">
        <v>-0.16381058592311284</v>
      </c>
      <c r="E9" s="10">
        <v>0.40986432018191671</v>
      </c>
      <c r="F9" s="10">
        <v>0.51241589383027741</v>
      </c>
      <c r="G9" s="10">
        <v>2.3014171882262104E-2</v>
      </c>
      <c r="H9" s="10">
        <v>2.2259339968821221E-2</v>
      </c>
      <c r="I9" s="10">
        <v>0.62721018472920997</v>
      </c>
      <c r="J9" s="10">
        <v>0.19312273991809936</v>
      </c>
      <c r="K9" s="10">
        <v>-0.46845333964070357</v>
      </c>
      <c r="L9" s="10">
        <v>0.17966544646695398</v>
      </c>
      <c r="M9" s="10">
        <v>0.18804512791362882</v>
      </c>
      <c r="N9" s="10">
        <v>-6.1366115049217962E-2</v>
      </c>
      <c r="O9" s="10">
        <v>0.25921589942302092</v>
      </c>
      <c r="P9" s="10">
        <v>0.34564390457499394</v>
      </c>
      <c r="Q9" s="10">
        <v>0.59618423061754833</v>
      </c>
      <c r="R9" s="10">
        <v>0.20225369929417342</v>
      </c>
      <c r="S9" s="10">
        <v>7.0858225781378764E-2</v>
      </c>
      <c r="T9" s="10">
        <v>0.3175644283243515</v>
      </c>
      <c r="U9" s="10">
        <v>0.66156369348292698</v>
      </c>
      <c r="V9" s="10">
        <v>0.21266796275664823</v>
      </c>
      <c r="W9" s="10">
        <v>0.20282877141952471</v>
      </c>
      <c r="X9" s="10">
        <v>0.44896052251855212</v>
      </c>
      <c r="Y9" s="10">
        <v>-0.1453165083052827</v>
      </c>
      <c r="Z9" s="10">
        <v>0.19229679408884159</v>
      </c>
      <c r="AA9" s="10">
        <v>-1.5706069113918746E-2</v>
      </c>
      <c r="AB9" s="10">
        <v>0.58151828825926988</v>
      </c>
      <c r="AC9" s="10">
        <v>0.38651729516218497</v>
      </c>
      <c r="AD9" s="17">
        <v>0.25245251014616715</v>
      </c>
    </row>
    <row r="10" spans="1:30" x14ac:dyDescent="0.35">
      <c r="A10" s="9">
        <v>1995</v>
      </c>
      <c r="B10" s="10">
        <v>0.24644206544277628</v>
      </c>
      <c r="C10" s="10">
        <v>-0.45782995834268658</v>
      </c>
      <c r="D10" s="10">
        <v>-0.10970541121709382</v>
      </c>
      <c r="E10" s="10">
        <v>0.18895555378669082</v>
      </c>
      <c r="F10" s="10">
        <v>-5.0952667626740578E-3</v>
      </c>
      <c r="G10" s="10">
        <v>-1.0795672897119994</v>
      </c>
      <c r="H10" s="10">
        <v>9.4614566165888883E-2</v>
      </c>
      <c r="I10" s="10">
        <v>0.15256126237149223</v>
      </c>
      <c r="J10" s="10">
        <v>3.3788084968435994E-2</v>
      </c>
      <c r="K10" s="10">
        <v>-6.2675112822134643E-2</v>
      </c>
      <c r="L10" s="10">
        <v>-1.1742290710442031E-2</v>
      </c>
      <c r="M10" s="10">
        <v>8.8680627173903046E-3</v>
      </c>
      <c r="N10" s="10">
        <v>0.17233899723382262</v>
      </c>
      <c r="O10" s="10">
        <v>0.43352557291138777</v>
      </c>
      <c r="P10" s="10">
        <v>0.18652765547412686</v>
      </c>
      <c r="Q10" s="10">
        <v>-5.2222512223420482E-2</v>
      </c>
      <c r="R10" s="10">
        <v>0.80430089200248689</v>
      </c>
      <c r="S10" s="10">
        <v>4.0230114289665719E-2</v>
      </c>
      <c r="T10" s="10">
        <v>-0.11528981649717825</v>
      </c>
      <c r="U10" s="10">
        <v>-7.4456412466348931E-2</v>
      </c>
      <c r="V10" s="10">
        <v>0.32314980248507147</v>
      </c>
      <c r="W10" s="10">
        <v>9.9907069331231946E-2</v>
      </c>
      <c r="X10" s="10">
        <v>0.36301938494706715</v>
      </c>
      <c r="Y10" s="10">
        <v>-0.26762577681241073</v>
      </c>
      <c r="Z10" s="10">
        <v>8.5565393072226631E-2</v>
      </c>
      <c r="AA10" s="10">
        <v>7.5281321396695591E-2</v>
      </c>
      <c r="AB10" s="10">
        <v>0.23294671841134082</v>
      </c>
      <c r="AC10" s="10">
        <v>0.1017631915385097</v>
      </c>
      <c r="AD10" s="17">
        <v>0.11041771717630945</v>
      </c>
    </row>
    <row r="11" spans="1:30" x14ac:dyDescent="0.35">
      <c r="A11" s="9">
        <v>1996</v>
      </c>
      <c r="B11" s="10">
        <v>0.21801280576876286</v>
      </c>
      <c r="C11" s="10">
        <v>0.18571553797464108</v>
      </c>
      <c r="D11" s="10">
        <v>0.10660299978172005</v>
      </c>
      <c r="E11" s="10">
        <v>0.44455153057747643</v>
      </c>
      <c r="F11" s="10">
        <v>0.17737108166209378</v>
      </c>
      <c r="G11" s="10">
        <v>0.33761915291837907</v>
      </c>
      <c r="H11" s="10">
        <v>0.10900333032393451</v>
      </c>
      <c r="I11" s="10">
        <v>0.37880522923843013</v>
      </c>
      <c r="J11" s="10">
        <v>-5.369856613710131E-4</v>
      </c>
      <c r="K11" s="10">
        <v>0.32523118537761436</v>
      </c>
      <c r="L11" s="10">
        <v>0.23006667573401002</v>
      </c>
      <c r="M11" s="10">
        <v>-4.3524106230275798E-2</v>
      </c>
      <c r="N11" s="10">
        <v>-5.9298195757989183E-2</v>
      </c>
      <c r="O11" s="10">
        <v>9.374730075565775E-2</v>
      </c>
      <c r="P11" s="10">
        <v>9.9616841924713803E-2</v>
      </c>
      <c r="Q11" s="10">
        <v>-1.4388397989889527E-2</v>
      </c>
      <c r="R11" s="10">
        <v>-0.35243202847159111</v>
      </c>
      <c r="S11" s="10">
        <v>8.4140280784733693E-2</v>
      </c>
      <c r="T11" s="10">
        <v>0.61300010985966158</v>
      </c>
      <c r="U11" s="10">
        <v>0.13479743142191217</v>
      </c>
      <c r="V11" s="10">
        <v>0.1726850271744724</v>
      </c>
      <c r="W11" s="10">
        <v>0.28303449108512785</v>
      </c>
      <c r="X11" s="10">
        <v>-0.23990995457047817</v>
      </c>
      <c r="Y11" s="10">
        <v>0.12720875265812373</v>
      </c>
      <c r="Z11" s="10">
        <v>5.6702104879336815E-2</v>
      </c>
      <c r="AA11" s="10">
        <v>5.4237013996667249E-2</v>
      </c>
      <c r="AB11" s="10">
        <v>-0.25408100478094714</v>
      </c>
      <c r="AC11" s="10">
        <v>-0.13150997423506047</v>
      </c>
      <c r="AD11" s="17">
        <v>0.10842547515831426</v>
      </c>
    </row>
    <row r="12" spans="1:30" x14ac:dyDescent="0.35">
      <c r="A12" s="9">
        <v>1997</v>
      </c>
      <c r="B12" s="10">
        <v>0.15669112576207175</v>
      </c>
      <c r="C12" s="10">
        <v>5.210604025094303E-2</v>
      </c>
      <c r="D12" s="10">
        <v>0.37266722453783124</v>
      </c>
      <c r="E12" s="10">
        <v>0.60014174266830889</v>
      </c>
      <c r="F12" s="10">
        <v>3.8879210871984232E-2</v>
      </c>
      <c r="G12" s="10">
        <v>8.3690963258448797E-2</v>
      </c>
      <c r="H12" s="10">
        <v>-7.5008508118056622E-2</v>
      </c>
      <c r="I12" s="10">
        <v>0.2016846577025925</v>
      </c>
      <c r="J12" s="10">
        <v>-0.18808848194781047</v>
      </c>
      <c r="K12" s="10">
        <v>0.16522808468929409</v>
      </c>
      <c r="L12" s="10">
        <v>0.25384269892118461</v>
      </c>
      <c r="M12" s="10">
        <v>0.1024072720676799</v>
      </c>
      <c r="N12" s="10">
        <v>-2.9437388257116275E-2</v>
      </c>
      <c r="O12" s="10">
        <v>9.0580041668688036E-2</v>
      </c>
      <c r="P12" s="10">
        <v>0.16122790551034075</v>
      </c>
      <c r="Q12" s="10">
        <v>0.2106210254516549</v>
      </c>
      <c r="R12" s="10">
        <v>-0.18406331137497367</v>
      </c>
      <c r="S12" s="10">
        <v>-8.1364772611524621E-3</v>
      </c>
      <c r="T12" s="10">
        <v>0.18734709175879952</v>
      </c>
      <c r="U12" s="10">
        <v>0.61949811011206701</v>
      </c>
      <c r="V12" s="10">
        <v>0.18096165701429187</v>
      </c>
      <c r="W12" s="10">
        <v>0.14361022425019612</v>
      </c>
      <c r="X12" s="10">
        <v>0.26865832336151296</v>
      </c>
      <c r="Y12" s="10">
        <v>9.0644846759507194E-2</v>
      </c>
      <c r="Z12" s="10">
        <v>0.16578781243672641</v>
      </c>
      <c r="AA12" s="10">
        <v>0.15023389858368835</v>
      </c>
      <c r="AB12" s="10">
        <v>0.17456950520014247</v>
      </c>
      <c r="AC12" s="10">
        <v>0.27340089437119258</v>
      </c>
      <c r="AD12" s="17">
        <v>0.1337635368551624</v>
      </c>
    </row>
    <row r="13" spans="1:30" x14ac:dyDescent="0.35">
      <c r="A13" s="9">
        <v>1998</v>
      </c>
      <c r="B13" s="10">
        <v>-1.2599991474064638E-2</v>
      </c>
      <c r="C13" s="10">
        <v>-0.83278453757032911</v>
      </c>
      <c r="D13" s="10">
        <v>0.38722153955871741</v>
      </c>
      <c r="E13" s="10">
        <v>0.16295564261940712</v>
      </c>
      <c r="F13" s="10">
        <v>0.23701773635484311</v>
      </c>
      <c r="G13" s="10">
        <v>-0.10308187416656744</v>
      </c>
      <c r="H13" s="10">
        <v>2.0765491160416316E-3</v>
      </c>
      <c r="I13" s="10">
        <v>3.8680915944942162E-2</v>
      </c>
      <c r="J13" s="10">
        <v>0.27198939612987227</v>
      </c>
      <c r="K13" s="10">
        <v>9.1086168582066585E-2</v>
      </c>
      <c r="L13" s="10">
        <v>0.14143484195965289</v>
      </c>
      <c r="M13" s="10">
        <v>4.7521893723368146E-2</v>
      </c>
      <c r="N13" s="10">
        <v>-0.20391092189615856</v>
      </c>
      <c r="O13" s="10">
        <v>0.32177103264941365</v>
      </c>
      <c r="P13" s="10">
        <v>0.10970684905784232</v>
      </c>
      <c r="Q13" s="10">
        <v>0.13071180313581088</v>
      </c>
      <c r="R13" s="10">
        <v>5.7960433300037459E-2</v>
      </c>
      <c r="S13" s="10">
        <v>0.15555351650226371</v>
      </c>
      <c r="T13" s="10">
        <v>2.9586231130954526E-2</v>
      </c>
      <c r="U13" s="10">
        <v>0.24459363220589031</v>
      </c>
      <c r="V13" s="10">
        <v>9.9256105776971915E-2</v>
      </c>
      <c r="W13" s="10">
        <v>6.1317502057266125E-2</v>
      </c>
      <c r="X13" s="10">
        <v>0.1251698769779972</v>
      </c>
      <c r="Y13" s="10">
        <v>-0.16244058217638385</v>
      </c>
      <c r="Z13" s="10">
        <v>5.2220765414186521E-2</v>
      </c>
      <c r="AA13" s="10">
        <v>-3.3782123161863367E-2</v>
      </c>
      <c r="AB13" s="10">
        <v>3.1617995079315162E-2</v>
      </c>
      <c r="AC13" s="10">
        <v>0.35384236242330896</v>
      </c>
      <c r="AD13" s="17">
        <v>0.12706288451860406</v>
      </c>
    </row>
    <row r="14" spans="1:30" x14ac:dyDescent="0.35">
      <c r="A14" s="9">
        <v>1999</v>
      </c>
      <c r="B14" s="10">
        <v>-2.4324010221979015E-2</v>
      </c>
      <c r="C14" s="10">
        <v>-0.45473808663837861</v>
      </c>
      <c r="D14" s="10">
        <v>-1.1841932254604259</v>
      </c>
      <c r="E14" s="10">
        <v>-9.687931558299917E-2</v>
      </c>
      <c r="F14" s="10">
        <v>0.1751365192807087</v>
      </c>
      <c r="G14" s="10">
        <v>8.0623521500094497E-2</v>
      </c>
      <c r="H14" s="10">
        <v>-0.13854472706960538</v>
      </c>
      <c r="I14" s="10">
        <v>8.3076082595514161E-2</v>
      </c>
      <c r="J14" s="10">
        <v>8.1511207795192414E-2</v>
      </c>
      <c r="K14" s="10">
        <v>-7.9746955513116863E-2</v>
      </c>
      <c r="L14" s="10">
        <v>0.17793188346706404</v>
      </c>
      <c r="M14" s="10">
        <v>1.161238472068514E-2</v>
      </c>
      <c r="N14" s="10">
        <v>-4.7411128232954541E-2</v>
      </c>
      <c r="O14" s="10">
        <v>-0.27711001288017933</v>
      </c>
      <c r="P14" s="10">
        <v>-8.9696638870815151E-2</v>
      </c>
      <c r="Q14" s="10">
        <v>1.848549264775206E-3</v>
      </c>
      <c r="R14" s="10">
        <v>0.10472901656583673</v>
      </c>
      <c r="S14" s="10">
        <v>9.375286426265228E-2</v>
      </c>
      <c r="T14" s="10">
        <v>0.7873311055221085</v>
      </c>
      <c r="U14" s="10">
        <v>0.50961631373211147</v>
      </c>
      <c r="V14" s="10">
        <v>8.5810822402158565E-2</v>
      </c>
      <c r="W14" s="10">
        <v>4.5360524972588967E-2</v>
      </c>
      <c r="X14" s="10">
        <v>-4.6029938226062432E-3</v>
      </c>
      <c r="Y14" s="10">
        <v>-0.15778371033202743</v>
      </c>
      <c r="Z14" s="10">
        <v>0.12831707735599035</v>
      </c>
      <c r="AA14" s="10">
        <v>8.1773010367945778E-2</v>
      </c>
      <c r="AB14" s="10">
        <v>0.17807838465110873</v>
      </c>
      <c r="AC14" s="10">
        <v>-0.36650143512038275</v>
      </c>
      <c r="AD14" s="17">
        <v>6.2160971240510102E-3</v>
      </c>
    </row>
    <row r="15" spans="1:30" x14ac:dyDescent="0.35">
      <c r="A15" s="9">
        <v>2000</v>
      </c>
      <c r="B15" s="10">
        <v>2.1534542419892964E-2</v>
      </c>
      <c r="C15" s="10">
        <v>7.964696651394701E-2</v>
      </c>
      <c r="D15" s="10">
        <v>1.1246633541952447</v>
      </c>
      <c r="E15" s="10">
        <v>-0.43280796109109126</v>
      </c>
      <c r="F15" s="10">
        <v>0.1692880226311802</v>
      </c>
      <c r="G15" s="10">
        <v>0.13866934633111389</v>
      </c>
      <c r="H15" s="10">
        <v>-0.22373225328448931</v>
      </c>
      <c r="I15" s="10">
        <v>-2.5899486934464378E-3</v>
      </c>
      <c r="J15" s="10">
        <v>1.9197691408269563E-2</v>
      </c>
      <c r="K15" s="10">
        <v>0.10744560352180586</v>
      </c>
      <c r="L15" s="10">
        <v>0.13684850480578381</v>
      </c>
      <c r="M15" s="10">
        <v>-2.1156985280430654E-2</v>
      </c>
      <c r="N15" s="10">
        <v>3.3154932498143206E-4</v>
      </c>
      <c r="O15" s="10">
        <v>4.2455213910544392E-3</v>
      </c>
      <c r="P15" s="10">
        <v>-3.5802538488500686E-2</v>
      </c>
      <c r="Q15" s="10">
        <v>-0.1759465495153891</v>
      </c>
      <c r="R15" s="10">
        <v>0.2188498584120587</v>
      </c>
      <c r="S15" s="10">
        <v>3.2732904935887437E-2</v>
      </c>
      <c r="T15" s="10">
        <v>-0.47316664224897337</v>
      </c>
      <c r="U15" s="10">
        <v>0.16308899772057225</v>
      </c>
      <c r="V15" s="10">
        <v>0.23078854404724311</v>
      </c>
      <c r="W15" s="10">
        <v>-0.17259494417951587</v>
      </c>
      <c r="X15" s="10">
        <v>-0.13182783530498215</v>
      </c>
      <c r="Y15" s="10">
        <v>7.8092409380401726E-2</v>
      </c>
      <c r="Z15" s="10">
        <v>0.10526306079772632</v>
      </c>
      <c r="AA15" s="10">
        <v>0.28853854880491558</v>
      </c>
      <c r="AB15" s="10">
        <v>-5.8499283531810477E-2</v>
      </c>
      <c r="AC15" s="10">
        <v>-0.13158714841009453</v>
      </c>
      <c r="AD15" s="17">
        <v>5.672918863556883E-3</v>
      </c>
    </row>
    <row r="16" spans="1:30" x14ac:dyDescent="0.35">
      <c r="A16" s="9">
        <v>2001</v>
      </c>
      <c r="B16" s="10">
        <v>-0.15017171073056987</v>
      </c>
      <c r="C16" s="10">
        <v>-0.60213999466326296</v>
      </c>
      <c r="D16" s="10">
        <v>0.63619418228138602</v>
      </c>
      <c r="E16" s="10">
        <v>0.3738543399712897</v>
      </c>
      <c r="F16" s="10">
        <v>0.35988653773974399</v>
      </c>
      <c r="G16" s="10">
        <v>-0.85755082064144472</v>
      </c>
      <c r="H16" s="10">
        <v>-5.4486024951296952E-2</v>
      </c>
      <c r="I16" s="10">
        <v>-0.40340865952709914</v>
      </c>
      <c r="J16" s="10">
        <v>0.11614495901533917</v>
      </c>
      <c r="K16" s="10">
        <v>-8.4015885226691858E-2</v>
      </c>
      <c r="L16" s="10">
        <v>5.0709955724080914E-2</v>
      </c>
      <c r="M16" s="10">
        <v>4.0263755172465485E-2</v>
      </c>
      <c r="N16" s="10">
        <v>-7.4925363960828356E-2</v>
      </c>
      <c r="O16" s="10">
        <v>-1.4709776231335965E-2</v>
      </c>
      <c r="P16" s="10">
        <v>-0.23546108876150099</v>
      </c>
      <c r="Q16" s="10">
        <v>-4.8609605389794905E-2</v>
      </c>
      <c r="R16" s="10">
        <v>-0.39147527813650762</v>
      </c>
      <c r="S16" s="10">
        <v>5.4636334895739408E-2</v>
      </c>
      <c r="T16" s="10">
        <v>0.1055799317145687</v>
      </c>
      <c r="U16" s="10">
        <v>-1.2898373615270875</v>
      </c>
      <c r="V16" s="10">
        <v>0.10083774746122173</v>
      </c>
      <c r="W16" s="10">
        <v>-0.10184202582411364</v>
      </c>
      <c r="X16" s="10">
        <v>0.72478966313184046</v>
      </c>
      <c r="Y16" s="10">
        <v>4.6503400708055283E-3</v>
      </c>
      <c r="Z16" s="10">
        <v>7.9262192513048751E-2</v>
      </c>
      <c r="AA16" s="10">
        <v>5.2196931854833359E-2</v>
      </c>
      <c r="AB16" s="10">
        <v>-2.0272546038327378E-2</v>
      </c>
      <c r="AC16" s="10">
        <v>0.12532774771793179</v>
      </c>
      <c r="AD16" s="17">
        <v>-1.329066273390157E-2</v>
      </c>
    </row>
    <row r="17" spans="1:30" x14ac:dyDescent="0.35">
      <c r="A17" s="9">
        <v>2002</v>
      </c>
      <c r="B17" s="10">
        <v>-6.7853778942291915E-2</v>
      </c>
      <c r="C17" s="10">
        <v>-0.11764288471353934</v>
      </c>
      <c r="D17" s="10">
        <v>-1.1238283172754926</v>
      </c>
      <c r="E17" s="10">
        <v>0.35974330762191953</v>
      </c>
      <c r="F17" s="10">
        <v>0.28081952203729899</v>
      </c>
      <c r="G17" s="10">
        <v>-0.5569845213037804</v>
      </c>
      <c r="H17" s="10">
        <v>0.17744430175192871</v>
      </c>
      <c r="I17" s="10">
        <v>8.0802076712487569E-2</v>
      </c>
      <c r="J17" s="10">
        <v>-3.0101037417760091E-2</v>
      </c>
      <c r="K17" s="10">
        <v>-0.22750273793375145</v>
      </c>
      <c r="L17" s="10">
        <v>0.26241121336014323</v>
      </c>
      <c r="M17" s="10">
        <v>0.12007500534263685</v>
      </c>
      <c r="N17" s="10">
        <v>-0.40608207481812686</v>
      </c>
      <c r="O17" s="10">
        <v>6.9660841607739957E-3</v>
      </c>
      <c r="P17" s="10">
        <v>3.6011393642760584E-2</v>
      </c>
      <c r="Q17" s="10">
        <v>0.11250361963543218</v>
      </c>
      <c r="R17" s="10">
        <v>-1.0330217498167045E-2</v>
      </c>
      <c r="S17" s="10">
        <v>3.8907629472729452E-2</v>
      </c>
      <c r="T17" s="10">
        <v>0.12835081418963593</v>
      </c>
      <c r="U17" s="10">
        <v>6.3141206822263027E-2</v>
      </c>
      <c r="V17" s="10">
        <v>7.4337752949888619E-2</v>
      </c>
      <c r="W17" s="10">
        <v>0.19219675743260867</v>
      </c>
      <c r="X17" s="10">
        <v>7.567082599359555E-2</v>
      </c>
      <c r="Y17" s="10">
        <v>-7.5871938245496207E-2</v>
      </c>
      <c r="Z17" s="10">
        <v>-9.0405662073665627E-2</v>
      </c>
      <c r="AA17" s="10">
        <v>-3.100788598640707E-2</v>
      </c>
      <c r="AB17" s="10">
        <v>-0.1147417573374592</v>
      </c>
      <c r="AC17" s="10">
        <v>-8.0998355196293115E-2</v>
      </c>
      <c r="AD17" s="17">
        <v>6.1611037538341067E-2</v>
      </c>
    </row>
    <row r="18" spans="1:30" x14ac:dyDescent="0.35">
      <c r="A18" s="9">
        <v>2003</v>
      </c>
      <c r="B18" s="10">
        <v>0.32059026310569033</v>
      </c>
      <c r="C18" s="10">
        <v>-4.2640552640484428E-2</v>
      </c>
      <c r="D18" s="10">
        <v>0.85994568042137309</v>
      </c>
      <c r="E18" s="10">
        <v>0.52602691494654741</v>
      </c>
      <c r="F18" s="10">
        <v>0.37295199453155747</v>
      </c>
      <c r="G18" s="10">
        <v>0.23405857866006807</v>
      </c>
      <c r="H18" s="10">
        <v>0.24848720598499888</v>
      </c>
      <c r="I18" s="10">
        <v>0.2960105380285501</v>
      </c>
      <c r="J18" s="10">
        <v>-0.19056228449155313</v>
      </c>
      <c r="K18" s="10">
        <v>-0.57013309756219044</v>
      </c>
      <c r="L18" s="10">
        <v>8.3045581862413731E-2</v>
      </c>
      <c r="M18" s="10">
        <v>1.2068081566281761E-2</v>
      </c>
      <c r="N18" s="10">
        <v>-1.8275212413547581E-2</v>
      </c>
      <c r="O18" s="10">
        <v>-0.14128204694201282</v>
      </c>
      <c r="P18" s="10">
        <v>-1.3539647789499039E-2</v>
      </c>
      <c r="Q18" s="10">
        <v>-0.73264023694348446</v>
      </c>
      <c r="R18" s="10">
        <v>6.22129623517476E-2</v>
      </c>
      <c r="S18" s="10">
        <v>0.21498152410892524</v>
      </c>
      <c r="T18" s="10">
        <v>0.3406688756734369</v>
      </c>
      <c r="U18" s="10">
        <v>-0.1877787111307965</v>
      </c>
      <c r="V18" s="10">
        <v>0.18689439067876359</v>
      </c>
      <c r="W18" s="10">
        <v>0.10187702841774419</v>
      </c>
      <c r="X18" s="10">
        <v>0.46117075083814729</v>
      </c>
      <c r="Y18" s="10">
        <v>-0.22182137086872358</v>
      </c>
      <c r="Z18" s="10">
        <v>0.1998996860321654</v>
      </c>
      <c r="AA18" s="10">
        <v>0.16639779729842433</v>
      </c>
      <c r="AB18" s="10">
        <v>0.32243579625493834</v>
      </c>
      <c r="AC18" s="10">
        <v>2.3856163390019253E-2</v>
      </c>
      <c r="AD18" s="17">
        <v>0.14554712575712</v>
      </c>
    </row>
    <row r="20" spans="1:30" x14ac:dyDescent="0.35">
      <c r="A20" s="15" t="s">
        <v>64</v>
      </c>
    </row>
    <row r="21" spans="1:30" x14ac:dyDescent="0.35">
      <c r="A21" s="16"/>
      <c r="B21" s="16" t="s">
        <v>36</v>
      </c>
      <c r="C21" s="16" t="s">
        <v>37</v>
      </c>
      <c r="D21" s="16" t="s">
        <v>38</v>
      </c>
      <c r="E21" s="16" t="s">
        <v>39</v>
      </c>
      <c r="F21" s="16" t="s">
        <v>40</v>
      </c>
      <c r="G21" s="16" t="s">
        <v>41</v>
      </c>
      <c r="H21" s="16" t="s">
        <v>42</v>
      </c>
      <c r="I21" s="16" t="s">
        <v>43</v>
      </c>
      <c r="J21" s="16" t="s">
        <v>44</v>
      </c>
      <c r="K21" s="16" t="s">
        <v>10</v>
      </c>
      <c r="L21" s="16" t="s">
        <v>45</v>
      </c>
      <c r="M21" s="16" t="s">
        <v>46</v>
      </c>
      <c r="N21" s="16" t="s">
        <v>47</v>
      </c>
      <c r="O21" s="16" t="s">
        <v>48</v>
      </c>
      <c r="P21" s="16" t="s">
        <v>49</v>
      </c>
      <c r="Q21" s="16" t="s">
        <v>50</v>
      </c>
      <c r="R21" s="16" t="s">
        <v>20</v>
      </c>
      <c r="S21" s="16" t="s">
        <v>51</v>
      </c>
      <c r="T21" s="16" t="s">
        <v>52</v>
      </c>
      <c r="U21" s="16" t="s">
        <v>53</v>
      </c>
      <c r="V21" s="16" t="s">
        <v>54</v>
      </c>
      <c r="W21" s="16" t="s">
        <v>55</v>
      </c>
      <c r="X21" s="16" t="s">
        <v>56</v>
      </c>
      <c r="Y21" s="16" t="s">
        <v>57</v>
      </c>
      <c r="Z21" s="16" t="s">
        <v>58</v>
      </c>
      <c r="AA21" s="16" t="s">
        <v>59</v>
      </c>
      <c r="AB21" s="16" t="s">
        <v>60</v>
      </c>
      <c r="AC21" s="16" t="s">
        <v>61</v>
      </c>
    </row>
    <row r="22" spans="1:30" x14ac:dyDescent="0.35">
      <c r="A22" s="9">
        <v>1988</v>
      </c>
      <c r="B22" s="10">
        <f>B3-$AD3</f>
        <v>-4.1917201718339347E-2</v>
      </c>
      <c r="C22" s="10">
        <f t="shared" ref="C22:AC31" si="0">C3-$AD3</f>
        <v>-0.41782751692973447</v>
      </c>
      <c r="D22" s="10">
        <f t="shared" si="0"/>
        <v>0.62907305383914036</v>
      </c>
      <c r="E22" s="10">
        <f t="shared" si="0"/>
        <v>4.2356830121070277E-2</v>
      </c>
      <c r="F22" s="10">
        <f t="shared" si="0"/>
        <v>0.20745170230375345</v>
      </c>
      <c r="G22" s="10">
        <f t="shared" si="0"/>
        <v>-0.25361561855429354</v>
      </c>
      <c r="H22" s="10">
        <f t="shared" si="0"/>
        <v>-0.35291946763341875</v>
      </c>
      <c r="I22" s="10">
        <f t="shared" si="0"/>
        <v>4.5075006530284428E-2</v>
      </c>
      <c r="J22" s="10">
        <f t="shared" si="0"/>
        <v>-0.34498669470755616</v>
      </c>
      <c r="K22" s="10">
        <f t="shared" si="0"/>
        <v>7.7867666342253256E-2</v>
      </c>
      <c r="L22" s="10">
        <f t="shared" si="0"/>
        <v>-9.3648299813058888E-2</v>
      </c>
      <c r="M22" s="10">
        <f t="shared" si="0"/>
        <v>-3.4471858799692473E-2</v>
      </c>
      <c r="N22" s="10">
        <f t="shared" si="0"/>
        <v>-0.24895186112266196</v>
      </c>
      <c r="O22" s="10">
        <f t="shared" si="0"/>
        <v>0.48792211985339184</v>
      </c>
      <c r="P22" s="10">
        <f t="shared" si="0"/>
        <v>6.9764013327815483E-2</v>
      </c>
      <c r="Q22" s="10">
        <f t="shared" si="0"/>
        <v>-0.23327384681286803</v>
      </c>
      <c r="R22" s="10">
        <f t="shared" si="0"/>
        <v>0.31027987486528674</v>
      </c>
      <c r="S22" s="10">
        <f t="shared" si="0"/>
        <v>-0.20785953586226388</v>
      </c>
      <c r="T22" s="10">
        <f t="shared" si="0"/>
        <v>-0.22740403763373626</v>
      </c>
      <c r="U22" s="10">
        <f t="shared" si="0"/>
        <v>-0.69607185558932705</v>
      </c>
      <c r="V22" s="10">
        <f t="shared" si="0"/>
        <v>3.9573154927858983E-2</v>
      </c>
      <c r="W22" s="10">
        <f t="shared" si="0"/>
        <v>-0.17571698709086866</v>
      </c>
      <c r="X22" s="10">
        <f t="shared" si="0"/>
        <v>-6.0776859871847361E-2</v>
      </c>
      <c r="Y22" s="10">
        <f t="shared" si="0"/>
        <v>0.16486632015658789</v>
      </c>
      <c r="Z22" s="10">
        <f t="shared" si="0"/>
        <v>-0.11135976050819711</v>
      </c>
      <c r="AA22" s="10">
        <f t="shared" si="0"/>
        <v>1.2325336632777795E-2</v>
      </c>
      <c r="AB22" s="10">
        <f t="shared" si="0"/>
        <v>-0.3400337569896289</v>
      </c>
      <c r="AC22" s="10">
        <f t="shared" si="0"/>
        <v>8.0316575481267888E-2</v>
      </c>
    </row>
    <row r="23" spans="1:30" x14ac:dyDescent="0.35">
      <c r="A23" s="9">
        <v>1989</v>
      </c>
      <c r="B23" s="10">
        <f t="shared" ref="B23:Q37" si="1">B4-$AD4</f>
        <v>-0.37147024774340653</v>
      </c>
      <c r="C23" s="10">
        <f t="shared" si="1"/>
        <v>0.27614315703017367</v>
      </c>
      <c r="D23" s="10">
        <f t="shared" si="1"/>
        <v>-0.23394090946360774</v>
      </c>
      <c r="E23" s="10">
        <f t="shared" si="1"/>
        <v>9.0135565603175344E-2</v>
      </c>
      <c r="F23" s="10">
        <f t="shared" si="1"/>
        <v>0.21090222865323535</v>
      </c>
      <c r="G23" s="10">
        <f t="shared" si="1"/>
        <v>2.9092241082949444E-3</v>
      </c>
      <c r="H23" s="10">
        <f t="shared" si="1"/>
        <v>-0.18672915399448389</v>
      </c>
      <c r="I23" s="10">
        <f t="shared" si="1"/>
        <v>1.8911881262632269E-2</v>
      </c>
      <c r="J23" s="10">
        <f t="shared" si="1"/>
        <v>-0.34864246283942124</v>
      </c>
      <c r="K23" s="10">
        <f t="shared" si="1"/>
        <v>0.61411503405792844</v>
      </c>
      <c r="L23" s="10">
        <f t="shared" si="1"/>
        <v>-3.8851998922706521E-4</v>
      </c>
      <c r="M23" s="10">
        <f t="shared" si="1"/>
        <v>-0.2356172503574972</v>
      </c>
      <c r="N23" s="10">
        <f t="shared" si="1"/>
        <v>-4.2757650533939387E-2</v>
      </c>
      <c r="O23" s="10">
        <f t="shared" si="1"/>
        <v>0.17515863503341464</v>
      </c>
      <c r="P23" s="10">
        <f t="shared" si="1"/>
        <v>2.2871809846412794E-2</v>
      </c>
      <c r="Q23" s="10">
        <f t="shared" si="1"/>
        <v>-0.60261959747450689</v>
      </c>
      <c r="R23" s="10">
        <f t="shared" si="0"/>
        <v>-5.3993648983703721E-2</v>
      </c>
      <c r="S23" s="10">
        <f t="shared" si="0"/>
        <v>-1.9302219855204916E-2</v>
      </c>
      <c r="T23" s="10">
        <f t="shared" si="0"/>
        <v>0.33268453885759197</v>
      </c>
      <c r="U23" s="10">
        <f t="shared" si="0"/>
        <v>0.3477627603339849</v>
      </c>
      <c r="V23" s="10">
        <f t="shared" si="0"/>
        <v>0.16156847652975712</v>
      </c>
      <c r="W23" s="10">
        <f t="shared" si="0"/>
        <v>0.24231058164412592</v>
      </c>
      <c r="X23" s="10">
        <f t="shared" si="0"/>
        <v>8.6139650827005892E-2</v>
      </c>
      <c r="Y23" s="10">
        <f t="shared" si="0"/>
        <v>-0.18905016825506971</v>
      </c>
      <c r="Z23" s="10">
        <f t="shared" si="0"/>
        <v>-6.066157973678718E-2</v>
      </c>
      <c r="AA23" s="10">
        <f t="shared" si="0"/>
        <v>-4.3497244807048835E-2</v>
      </c>
      <c r="AB23" s="10">
        <f t="shared" si="0"/>
        <v>4.9088332202300244E-2</v>
      </c>
      <c r="AC23" s="10">
        <f t="shared" si="0"/>
        <v>0.11942559681128026</v>
      </c>
    </row>
    <row r="24" spans="1:30" x14ac:dyDescent="0.35">
      <c r="A24" s="9">
        <v>1990</v>
      </c>
      <c r="B24" s="10">
        <f t="shared" si="1"/>
        <v>-0.189981273418139</v>
      </c>
      <c r="C24" s="10">
        <f t="shared" si="0"/>
        <v>4.9812781672830167E-2</v>
      </c>
      <c r="D24" s="10">
        <f t="shared" si="0"/>
        <v>0.30592382827882203</v>
      </c>
      <c r="E24" s="10">
        <f t="shared" si="0"/>
        <v>0.25867832186138262</v>
      </c>
      <c r="F24" s="10">
        <f t="shared" si="0"/>
        <v>0.16644972218479359</v>
      </c>
      <c r="G24" s="10">
        <f t="shared" si="0"/>
        <v>-0.181102682659873</v>
      </c>
      <c r="H24" s="10">
        <f t="shared" si="0"/>
        <v>-2.4684821082293668E-2</v>
      </c>
      <c r="I24" s="10">
        <f t="shared" si="0"/>
        <v>-1.9327703095339502E-2</v>
      </c>
      <c r="J24" s="10">
        <f t="shared" si="0"/>
        <v>8.6965567281020034E-2</v>
      </c>
      <c r="K24" s="10">
        <f t="shared" si="0"/>
        <v>0.16009821845346842</v>
      </c>
      <c r="L24" s="10">
        <f t="shared" si="0"/>
        <v>0.11260670519362183</v>
      </c>
      <c r="M24" s="10">
        <f t="shared" si="0"/>
        <v>8.7362198127562976E-2</v>
      </c>
      <c r="N24" s="10">
        <f t="shared" si="0"/>
        <v>-4.5060537242042391E-2</v>
      </c>
      <c r="O24" s="10">
        <f t="shared" si="0"/>
        <v>-0.10005812064227435</v>
      </c>
      <c r="P24" s="10">
        <f t="shared" si="0"/>
        <v>-0.10833856019197469</v>
      </c>
      <c r="Q24" s="10">
        <f t="shared" si="0"/>
        <v>-0.55058480404316423</v>
      </c>
      <c r="R24" s="10">
        <f t="shared" si="0"/>
        <v>-0.13865190521593798</v>
      </c>
      <c r="S24" s="10">
        <f t="shared" si="0"/>
        <v>9.3627821714281384E-2</v>
      </c>
      <c r="T24" s="10">
        <f t="shared" si="0"/>
        <v>-3.8095688879948637E-2</v>
      </c>
      <c r="U24" s="10">
        <f t="shared" si="0"/>
        <v>0.30527042585609054</v>
      </c>
      <c r="V24" s="10">
        <f t="shared" si="0"/>
        <v>0.32525059050392674</v>
      </c>
      <c r="W24" s="10">
        <f t="shared" si="0"/>
        <v>-0.18874027672405749</v>
      </c>
      <c r="X24" s="10">
        <f t="shared" si="0"/>
        <v>9.6567956612993527E-2</v>
      </c>
      <c r="Y24" s="10">
        <f t="shared" si="0"/>
        <v>-0.12236811014859236</v>
      </c>
      <c r="Z24" s="10">
        <f t="shared" si="0"/>
        <v>3.266264800883411E-2</v>
      </c>
      <c r="AA24" s="10">
        <f t="shared" si="0"/>
        <v>2.9330761234560021E-2</v>
      </c>
      <c r="AB24" s="10">
        <f t="shared" si="0"/>
        <v>-0.19554032401615545</v>
      </c>
      <c r="AC24" s="10">
        <f t="shared" si="0"/>
        <v>0.28492001255179378</v>
      </c>
    </row>
    <row r="25" spans="1:30" x14ac:dyDescent="0.35">
      <c r="A25" s="9">
        <v>1991</v>
      </c>
      <c r="B25" s="10">
        <f t="shared" si="1"/>
        <v>-6.317488625528099E-2</v>
      </c>
      <c r="C25" s="10">
        <f t="shared" si="0"/>
        <v>0.46161529858056588</v>
      </c>
      <c r="D25" s="10">
        <f t="shared" si="0"/>
        <v>-2.0261468513022237E-2</v>
      </c>
      <c r="E25" s="10">
        <f t="shared" si="0"/>
        <v>3.2995707802644256E-2</v>
      </c>
      <c r="F25" s="10">
        <f t="shared" si="0"/>
        <v>-0.15057719380973161</v>
      </c>
      <c r="G25" s="10">
        <f t="shared" si="0"/>
        <v>-1.9956405807999882E-2</v>
      </c>
      <c r="H25" s="10">
        <f t="shared" si="0"/>
        <v>5.5315261658910306E-2</v>
      </c>
      <c r="I25" s="10">
        <f t="shared" si="0"/>
        <v>-0.41211709004055858</v>
      </c>
      <c r="J25" s="10">
        <f t="shared" si="0"/>
        <v>0.16342022103529677</v>
      </c>
      <c r="K25" s="10">
        <f t="shared" si="0"/>
        <v>-0.43252032770653909</v>
      </c>
      <c r="L25" s="10">
        <f t="shared" si="0"/>
        <v>0.13214929791513677</v>
      </c>
      <c r="M25" s="10">
        <f t="shared" si="0"/>
        <v>0.22229311147021175</v>
      </c>
      <c r="N25" s="10">
        <f t="shared" si="0"/>
        <v>-0.10386032789626752</v>
      </c>
      <c r="O25" s="10">
        <f t="shared" si="0"/>
        <v>-0.51691898892757282</v>
      </c>
      <c r="P25" s="10">
        <f t="shared" si="0"/>
        <v>-0.10349555474498763</v>
      </c>
      <c r="Q25" s="10">
        <f t="shared" si="0"/>
        <v>-8.7475023382343718E-3</v>
      </c>
      <c r="R25" s="10">
        <f t="shared" si="0"/>
        <v>-8.9566403765772615E-2</v>
      </c>
      <c r="S25" s="10">
        <f t="shared" si="0"/>
        <v>0.20222918541355711</v>
      </c>
      <c r="T25" s="10">
        <f t="shared" si="0"/>
        <v>0.12916135390732922</v>
      </c>
      <c r="U25" s="10">
        <f t="shared" si="0"/>
        <v>-0.83725813673010285</v>
      </c>
      <c r="V25" s="10">
        <f t="shared" si="0"/>
        <v>0.1219363115544308</v>
      </c>
      <c r="W25" s="10">
        <f t="shared" si="0"/>
        <v>0.20383739982276516</v>
      </c>
      <c r="X25" s="10">
        <f t="shared" si="0"/>
        <v>-4.0898492416152676E-2</v>
      </c>
      <c r="Y25" s="10">
        <f t="shared" si="0"/>
        <v>-7.6000429835916095E-2</v>
      </c>
      <c r="Z25" s="10">
        <f t="shared" si="0"/>
        <v>0.15292097714648067</v>
      </c>
      <c r="AA25" s="10">
        <f t="shared" si="0"/>
        <v>0.26463302836001018</v>
      </c>
      <c r="AB25" s="10">
        <f t="shared" si="0"/>
        <v>-0.13732935132787211</v>
      </c>
      <c r="AC25" s="10">
        <f t="shared" si="0"/>
        <v>7.804970966893586E-2</v>
      </c>
    </row>
    <row r="26" spans="1:30" x14ac:dyDescent="0.35">
      <c r="A26" s="9">
        <v>1992</v>
      </c>
      <c r="B26" s="10">
        <f t="shared" si="1"/>
        <v>5.3941470702455391E-2</v>
      </c>
      <c r="C26" s="10">
        <f t="shared" si="0"/>
        <v>-0.11302235290157638</v>
      </c>
      <c r="D26" s="10">
        <f t="shared" si="0"/>
        <v>-0.24989328039203565</v>
      </c>
      <c r="E26" s="10">
        <f t="shared" si="0"/>
        <v>0.29654582823206133</v>
      </c>
      <c r="F26" s="10">
        <f t="shared" si="0"/>
        <v>0.41896160308632957</v>
      </c>
      <c r="G26" s="10">
        <f t="shared" si="0"/>
        <v>1.8648173377589609E-3</v>
      </c>
      <c r="H26" s="10">
        <f t="shared" si="0"/>
        <v>-8.5289251135663713E-2</v>
      </c>
      <c r="I26" s="10">
        <f t="shared" si="0"/>
        <v>-0.16675661634836897</v>
      </c>
      <c r="J26" s="10">
        <f t="shared" si="0"/>
        <v>-0.12138597097065977</v>
      </c>
      <c r="K26" s="10">
        <f t="shared" si="0"/>
        <v>2.377946999674526E-2</v>
      </c>
      <c r="L26" s="10">
        <f t="shared" si="0"/>
        <v>8.3187261047674294E-2</v>
      </c>
      <c r="M26" s="10">
        <f t="shared" si="0"/>
        <v>-0.12151169085031283</v>
      </c>
      <c r="N26" s="10">
        <f t="shared" si="0"/>
        <v>0.15692476645003697</v>
      </c>
      <c r="O26" s="10">
        <f t="shared" si="0"/>
        <v>-0.10232467564353619</v>
      </c>
      <c r="P26" s="10">
        <f t="shared" si="0"/>
        <v>-7.8588092177529045E-2</v>
      </c>
      <c r="Q26" s="10">
        <f t="shared" si="0"/>
        <v>0.29141200773533604</v>
      </c>
      <c r="R26" s="10">
        <f t="shared" si="0"/>
        <v>-7.3706701951564285E-2</v>
      </c>
      <c r="S26" s="10">
        <f t="shared" si="0"/>
        <v>9.9923776789995283E-2</v>
      </c>
      <c r="T26" s="10">
        <f t="shared" si="0"/>
        <v>0.23287872423408182</v>
      </c>
      <c r="U26" s="10">
        <f t="shared" si="0"/>
        <v>-0.16392158937411197</v>
      </c>
      <c r="V26" s="10">
        <f t="shared" si="0"/>
        <v>-0.36245946034336651</v>
      </c>
      <c r="W26" s="10">
        <f t="shared" si="0"/>
        <v>1.26872606960277E-2</v>
      </c>
      <c r="X26" s="10">
        <f t="shared" si="0"/>
        <v>-0.22237900240179354</v>
      </c>
      <c r="Y26" s="10">
        <f t="shared" si="0"/>
        <v>0.1339693388830944</v>
      </c>
      <c r="Z26" s="10">
        <f t="shared" si="0"/>
        <v>5.4347811939327473E-2</v>
      </c>
      <c r="AA26" s="10">
        <f t="shared" si="0"/>
        <v>-0.33688060685118337</v>
      </c>
      <c r="AB26" s="10">
        <f t="shared" si="0"/>
        <v>8.0520430308406443E-2</v>
      </c>
      <c r="AC26" s="10">
        <f t="shared" si="0"/>
        <v>-0.35535555921788098</v>
      </c>
    </row>
    <row r="27" spans="1:30" x14ac:dyDescent="0.35">
      <c r="A27" s="9">
        <v>1993</v>
      </c>
      <c r="B27" s="10">
        <f t="shared" si="1"/>
        <v>0.21501278269125182</v>
      </c>
      <c r="C27" s="10">
        <f t="shared" si="0"/>
        <v>-0.45670931458582792</v>
      </c>
      <c r="D27" s="10">
        <f t="shared" si="0"/>
        <v>0.27592443140567779</v>
      </c>
      <c r="E27" s="10">
        <f t="shared" si="0"/>
        <v>0.26159843918266107</v>
      </c>
      <c r="F27" s="10">
        <f t="shared" si="0"/>
        <v>-4.0651327480049154E-2</v>
      </c>
      <c r="G27" s="10">
        <f t="shared" si="0"/>
        <v>-0.33371312788690366</v>
      </c>
      <c r="H27" s="10">
        <f t="shared" si="0"/>
        <v>-2.8373625446403393E-2</v>
      </c>
      <c r="I27" s="10">
        <f t="shared" si="0"/>
        <v>0.1442391970455329</v>
      </c>
      <c r="J27" s="10">
        <f t="shared" si="0"/>
        <v>6.4133313110267542E-2</v>
      </c>
      <c r="K27" s="10">
        <f t="shared" si="0"/>
        <v>-0.22264080893348623</v>
      </c>
      <c r="L27" s="10">
        <f t="shared" si="0"/>
        <v>8.8716239466861774E-2</v>
      </c>
      <c r="M27" s="10">
        <f t="shared" si="0"/>
        <v>-6.2972422451645554E-2</v>
      </c>
      <c r="N27" s="10">
        <f t="shared" si="0"/>
        <v>-0.23617773885979612</v>
      </c>
      <c r="O27" s="10">
        <f t="shared" si="0"/>
        <v>-0.16302222265086255</v>
      </c>
      <c r="P27" s="10">
        <f t="shared" si="0"/>
        <v>-8.7050598751331656E-2</v>
      </c>
      <c r="Q27" s="10">
        <f t="shared" si="0"/>
        <v>7.3431392534740667E-3</v>
      </c>
      <c r="R27" s="10">
        <f t="shared" si="0"/>
        <v>-3.8711561493981264E-2</v>
      </c>
      <c r="S27" s="10">
        <f t="shared" si="0"/>
        <v>0.10982648640213077</v>
      </c>
      <c r="T27" s="10">
        <f t="shared" si="0"/>
        <v>-0.10175244012879775</v>
      </c>
      <c r="U27" s="10">
        <f t="shared" si="0"/>
        <v>0.17297479433500459</v>
      </c>
      <c r="V27" s="10">
        <f t="shared" si="0"/>
        <v>-0.15697274332901173</v>
      </c>
      <c r="W27" s="10">
        <f t="shared" si="0"/>
        <v>0.10138662612233337</v>
      </c>
      <c r="X27" s="10">
        <f t="shared" si="0"/>
        <v>-0.53805898451534495</v>
      </c>
      <c r="Y27" s="10">
        <f t="shared" si="0"/>
        <v>-0.1602952183443192</v>
      </c>
      <c r="Z27" s="10">
        <f t="shared" si="0"/>
        <v>0.15158482518328203</v>
      </c>
      <c r="AA27" s="10">
        <f t="shared" si="0"/>
        <v>0.11275965127995421</v>
      </c>
      <c r="AB27" s="10">
        <f t="shared" si="0"/>
        <v>0.17391116157860087</v>
      </c>
      <c r="AC27" s="10">
        <f t="shared" si="0"/>
        <v>0.11471570254305569</v>
      </c>
    </row>
    <row r="28" spans="1:30" x14ac:dyDescent="0.35">
      <c r="A28" s="9">
        <v>1994</v>
      </c>
      <c r="B28" s="10">
        <f t="shared" si="1"/>
        <v>-8.7256113977373623E-2</v>
      </c>
      <c r="C28" s="10">
        <f t="shared" si="0"/>
        <v>-0.23000504806497338</v>
      </c>
      <c r="D28" s="10">
        <f t="shared" si="0"/>
        <v>-0.41626309606928003</v>
      </c>
      <c r="E28" s="10">
        <f t="shared" si="0"/>
        <v>0.15741181003574956</v>
      </c>
      <c r="F28" s="10">
        <f t="shared" si="0"/>
        <v>0.25996338368411026</v>
      </c>
      <c r="G28" s="10">
        <f t="shared" si="0"/>
        <v>-0.22943833826390506</v>
      </c>
      <c r="H28" s="10">
        <f t="shared" si="0"/>
        <v>-0.23019317017734592</v>
      </c>
      <c r="I28" s="10">
        <f t="shared" si="0"/>
        <v>0.37475767458304282</v>
      </c>
      <c r="J28" s="10">
        <f t="shared" si="0"/>
        <v>-5.9329770228067791E-2</v>
      </c>
      <c r="K28" s="10">
        <f t="shared" si="0"/>
        <v>-0.72090584978687078</v>
      </c>
      <c r="L28" s="10">
        <f t="shared" si="0"/>
        <v>-7.2787063679213171E-2</v>
      </c>
      <c r="M28" s="10">
        <f t="shared" si="0"/>
        <v>-6.4407382232538335E-2</v>
      </c>
      <c r="N28" s="10">
        <f t="shared" si="0"/>
        <v>-0.31381862519538511</v>
      </c>
      <c r="O28" s="10">
        <f t="shared" si="0"/>
        <v>6.7633892768537707E-3</v>
      </c>
      <c r="P28" s="10">
        <f t="shared" si="0"/>
        <v>9.319139442882679E-2</v>
      </c>
      <c r="Q28" s="10">
        <f t="shared" si="0"/>
        <v>0.34373172047138117</v>
      </c>
      <c r="R28" s="10">
        <f t="shared" si="0"/>
        <v>-5.0198810851993736E-2</v>
      </c>
      <c r="S28" s="10">
        <f t="shared" si="0"/>
        <v>-0.18159428436478839</v>
      </c>
      <c r="T28" s="10">
        <f t="shared" si="0"/>
        <v>6.5111918178184347E-2</v>
      </c>
      <c r="U28" s="10">
        <f t="shared" si="0"/>
        <v>0.40911118333675983</v>
      </c>
      <c r="V28" s="10">
        <f t="shared" si="0"/>
        <v>-3.9784547389518921E-2</v>
      </c>
      <c r="W28" s="10">
        <f t="shared" si="0"/>
        <v>-4.9623738726642441E-2</v>
      </c>
      <c r="X28" s="10">
        <f t="shared" si="0"/>
        <v>0.19650801237238497</v>
      </c>
      <c r="Y28" s="10">
        <f t="shared" si="0"/>
        <v>-0.39776901845144985</v>
      </c>
      <c r="Z28" s="10">
        <f t="shared" si="0"/>
        <v>-6.0155716057325559E-2</v>
      </c>
      <c r="AA28" s="10">
        <f t="shared" si="0"/>
        <v>-0.26815857926008591</v>
      </c>
      <c r="AB28" s="10">
        <f t="shared" si="0"/>
        <v>0.32906577811310272</v>
      </c>
      <c r="AC28" s="10">
        <f t="shared" si="0"/>
        <v>0.13406478501601782</v>
      </c>
    </row>
    <row r="29" spans="1:30" x14ac:dyDescent="0.35">
      <c r="A29" s="9">
        <v>1995</v>
      </c>
      <c r="B29" s="10">
        <f t="shared" si="1"/>
        <v>0.13602434826646681</v>
      </c>
      <c r="C29" s="10">
        <f t="shared" si="0"/>
        <v>-0.56824767551899602</v>
      </c>
      <c r="D29" s="10">
        <f t="shared" si="0"/>
        <v>-0.22012312839340326</v>
      </c>
      <c r="E29" s="10">
        <f t="shared" si="0"/>
        <v>7.853783661038137E-2</v>
      </c>
      <c r="F29" s="10">
        <f t="shared" si="0"/>
        <v>-0.11551298393898352</v>
      </c>
      <c r="G29" s="10">
        <f t="shared" si="0"/>
        <v>-1.1899850068883089</v>
      </c>
      <c r="H29" s="10">
        <f t="shared" si="0"/>
        <v>-1.5803151010420569E-2</v>
      </c>
      <c r="I29" s="10">
        <f t="shared" si="0"/>
        <v>4.2143545195182777E-2</v>
      </c>
      <c r="J29" s="10">
        <f t="shared" si="0"/>
        <v>-7.6629632207873458E-2</v>
      </c>
      <c r="K29" s="10">
        <f t="shared" si="0"/>
        <v>-0.17309282999844411</v>
      </c>
      <c r="L29" s="10">
        <f t="shared" si="0"/>
        <v>-0.12216000788675148</v>
      </c>
      <c r="M29" s="10">
        <f t="shared" si="0"/>
        <v>-0.10154965445891914</v>
      </c>
      <c r="N29" s="10">
        <f t="shared" si="0"/>
        <v>6.192128005751317E-2</v>
      </c>
      <c r="O29" s="10">
        <f t="shared" si="0"/>
        <v>0.32310785573507833</v>
      </c>
      <c r="P29" s="10">
        <f t="shared" si="0"/>
        <v>7.6109938297817412E-2</v>
      </c>
      <c r="Q29" s="10">
        <f t="shared" si="0"/>
        <v>-0.16264022939972994</v>
      </c>
      <c r="R29" s="10">
        <f t="shared" si="0"/>
        <v>0.69388317482617745</v>
      </c>
      <c r="S29" s="10">
        <f t="shared" si="0"/>
        <v>-7.0187602886643732E-2</v>
      </c>
      <c r="T29" s="10">
        <f t="shared" si="0"/>
        <v>-0.2257075336734877</v>
      </c>
      <c r="U29" s="10">
        <f t="shared" si="0"/>
        <v>-0.18487412964265837</v>
      </c>
      <c r="V29" s="10">
        <f t="shared" si="0"/>
        <v>0.21273208530876203</v>
      </c>
      <c r="W29" s="10">
        <f t="shared" si="0"/>
        <v>-1.0510647845077506E-2</v>
      </c>
      <c r="X29" s="10">
        <f t="shared" si="0"/>
        <v>0.25260166777075771</v>
      </c>
      <c r="Y29" s="10">
        <f t="shared" si="0"/>
        <v>-0.37804349398872017</v>
      </c>
      <c r="Z29" s="10">
        <f t="shared" si="0"/>
        <v>-2.4852324104082821E-2</v>
      </c>
      <c r="AA29" s="10">
        <f t="shared" si="0"/>
        <v>-3.513639577961386E-2</v>
      </c>
      <c r="AB29" s="10">
        <f t="shared" si="0"/>
        <v>0.12252900123503137</v>
      </c>
      <c r="AC29" s="10">
        <f t="shared" si="0"/>
        <v>-8.6545256377997537E-3</v>
      </c>
    </row>
    <row r="30" spans="1:30" x14ac:dyDescent="0.35">
      <c r="A30" s="9">
        <v>1996</v>
      </c>
      <c r="B30" s="10">
        <f t="shared" si="1"/>
        <v>0.10958733061044861</v>
      </c>
      <c r="C30" s="10">
        <f t="shared" si="0"/>
        <v>7.7290062816326818E-2</v>
      </c>
      <c r="D30" s="10">
        <f t="shared" si="0"/>
        <v>-1.8224753765942042E-3</v>
      </c>
      <c r="E30" s="10">
        <f t="shared" si="0"/>
        <v>0.33612605541916218</v>
      </c>
      <c r="F30" s="10">
        <f t="shared" si="0"/>
        <v>6.8945606503779525E-2</v>
      </c>
      <c r="G30" s="10">
        <f t="shared" si="0"/>
        <v>0.22919367776006483</v>
      </c>
      <c r="H30" s="10">
        <f t="shared" si="0"/>
        <v>5.7785516562025574E-4</v>
      </c>
      <c r="I30" s="10">
        <f t="shared" si="0"/>
        <v>0.27037975408011589</v>
      </c>
      <c r="J30" s="10">
        <f t="shared" si="0"/>
        <v>-0.10896246081968528</v>
      </c>
      <c r="K30" s="10">
        <f t="shared" si="0"/>
        <v>0.21680571021930012</v>
      </c>
      <c r="L30" s="10">
        <f t="shared" si="0"/>
        <v>0.12164120057569576</v>
      </c>
      <c r="M30" s="10">
        <f t="shared" si="0"/>
        <v>-0.15194958138859005</v>
      </c>
      <c r="N30" s="10">
        <f t="shared" si="0"/>
        <v>-0.16772367091630344</v>
      </c>
      <c r="O30" s="10">
        <f t="shared" si="0"/>
        <v>-1.4678174402656508E-2</v>
      </c>
      <c r="P30" s="10">
        <f t="shared" si="0"/>
        <v>-8.8086332336004547E-3</v>
      </c>
      <c r="Q30" s="10">
        <f t="shared" si="0"/>
        <v>-0.12281387314820379</v>
      </c>
      <c r="R30" s="10">
        <f t="shared" si="0"/>
        <v>-0.46085750362990535</v>
      </c>
      <c r="S30" s="10">
        <f t="shared" si="0"/>
        <v>-2.4285194373580565E-2</v>
      </c>
      <c r="T30" s="10">
        <f t="shared" si="0"/>
        <v>0.50457463470134734</v>
      </c>
      <c r="U30" s="10">
        <f t="shared" si="0"/>
        <v>2.6371956263597909E-2</v>
      </c>
      <c r="V30" s="10">
        <f t="shared" si="0"/>
        <v>6.4259552016158142E-2</v>
      </c>
      <c r="W30" s="10">
        <f t="shared" si="0"/>
        <v>0.1746090159268136</v>
      </c>
      <c r="X30" s="10">
        <f t="shared" si="0"/>
        <v>-0.34833542972879245</v>
      </c>
      <c r="Y30" s="10">
        <f t="shared" si="0"/>
        <v>1.8783277499809473E-2</v>
      </c>
      <c r="Z30" s="10">
        <f t="shared" si="0"/>
        <v>-5.1723370278977443E-2</v>
      </c>
      <c r="AA30" s="10">
        <f t="shared" si="0"/>
        <v>-5.4188461161647009E-2</v>
      </c>
      <c r="AB30" s="10">
        <f t="shared" si="0"/>
        <v>-0.36250647993926138</v>
      </c>
      <c r="AC30" s="10">
        <f t="shared" si="0"/>
        <v>-0.23993544939337474</v>
      </c>
    </row>
    <row r="31" spans="1:30" x14ac:dyDescent="0.35">
      <c r="A31" s="9">
        <v>1997</v>
      </c>
      <c r="B31" s="10">
        <f t="shared" si="1"/>
        <v>2.2927588906909352E-2</v>
      </c>
      <c r="C31" s="10">
        <f t="shared" si="0"/>
        <v>-8.1657496604219365E-2</v>
      </c>
      <c r="D31" s="10">
        <f t="shared" si="0"/>
        <v>0.23890368768266884</v>
      </c>
      <c r="E31" s="10">
        <f t="shared" si="0"/>
        <v>0.46637820581314648</v>
      </c>
      <c r="F31" s="10">
        <f t="shared" si="0"/>
        <v>-9.4884325983178169E-2</v>
      </c>
      <c r="G31" s="10">
        <f t="shared" si="0"/>
        <v>-5.0072573596713604E-2</v>
      </c>
      <c r="H31" s="10">
        <f t="shared" si="0"/>
        <v>-0.20877204497321902</v>
      </c>
      <c r="I31" s="10">
        <f t="shared" si="0"/>
        <v>6.79211208474301E-2</v>
      </c>
      <c r="J31" s="10">
        <f t="shared" si="0"/>
        <v>-0.32185201880297287</v>
      </c>
      <c r="K31" s="10">
        <f t="shared" si="0"/>
        <v>3.146454783413169E-2</v>
      </c>
      <c r="L31" s="10">
        <f t="shared" si="0"/>
        <v>0.1200791620660222</v>
      </c>
      <c r="M31" s="10">
        <f t="shared" si="0"/>
        <v>-3.1356264787482505E-2</v>
      </c>
      <c r="N31" s="10">
        <f t="shared" si="0"/>
        <v>-0.16320092511227868</v>
      </c>
      <c r="O31" s="10">
        <f t="shared" si="0"/>
        <v>-4.3183495186474366E-2</v>
      </c>
      <c r="P31" s="10">
        <f t="shared" si="0"/>
        <v>2.7464368655178345E-2</v>
      </c>
      <c r="Q31" s="10">
        <f t="shared" si="0"/>
        <v>7.6857488596492496E-2</v>
      </c>
      <c r="R31" s="10">
        <f t="shared" si="0"/>
        <v>-0.31782684823013607</v>
      </c>
      <c r="S31" s="10">
        <f t="shared" si="0"/>
        <v>-0.14190001411631487</v>
      </c>
      <c r="T31" s="10">
        <f t="shared" si="0"/>
        <v>5.3583554903637115E-2</v>
      </c>
      <c r="U31" s="10">
        <f t="shared" si="0"/>
        <v>0.48573457325690461</v>
      </c>
      <c r="V31" s="10">
        <f t="shared" si="0"/>
        <v>4.719812015912947E-2</v>
      </c>
      <c r="W31" s="10">
        <f t="shared" si="0"/>
        <v>9.8466873950337208E-3</v>
      </c>
      <c r="X31" s="10">
        <f t="shared" si="0"/>
        <v>0.13489478650635056</v>
      </c>
      <c r="Y31" s="10">
        <f t="shared" si="0"/>
        <v>-4.3118690095655207E-2</v>
      </c>
      <c r="Z31" s="10">
        <f t="shared" si="0"/>
        <v>3.202427558156401E-2</v>
      </c>
      <c r="AA31" s="10">
        <f t="shared" si="0"/>
        <v>1.6470361728525951E-2</v>
      </c>
      <c r="AB31" s="10">
        <f t="shared" si="0"/>
        <v>4.080596834498007E-2</v>
      </c>
      <c r="AC31" s="10">
        <f t="shared" si="0"/>
        <v>0.13963735751603018</v>
      </c>
    </row>
    <row r="32" spans="1:30" x14ac:dyDescent="0.35">
      <c r="A32" s="9">
        <v>1998</v>
      </c>
      <c r="B32" s="10">
        <f t="shared" si="1"/>
        <v>-0.13966287599266869</v>
      </c>
      <c r="C32" s="10">
        <f t="shared" ref="C32:AC37" si="2">C13-$AD13</f>
        <v>-0.95984742208893314</v>
      </c>
      <c r="D32" s="10">
        <f t="shared" si="2"/>
        <v>0.26015865504011337</v>
      </c>
      <c r="E32" s="10">
        <f t="shared" si="2"/>
        <v>3.5892758100803057E-2</v>
      </c>
      <c r="F32" s="10">
        <f t="shared" si="2"/>
        <v>0.10995485183623904</v>
      </c>
      <c r="G32" s="10">
        <f t="shared" si="2"/>
        <v>-0.23014475868517151</v>
      </c>
      <c r="H32" s="10">
        <f t="shared" si="2"/>
        <v>-0.12498633540256243</v>
      </c>
      <c r="I32" s="10">
        <f t="shared" si="2"/>
        <v>-8.8381968573661901E-2</v>
      </c>
      <c r="J32" s="10">
        <f t="shared" si="2"/>
        <v>0.14492651161126821</v>
      </c>
      <c r="K32" s="10">
        <f t="shared" si="2"/>
        <v>-3.5976715936537479E-2</v>
      </c>
      <c r="L32" s="10">
        <f t="shared" si="2"/>
        <v>1.4371957441048827E-2</v>
      </c>
      <c r="M32" s="10">
        <f t="shared" si="2"/>
        <v>-7.9540990795235911E-2</v>
      </c>
      <c r="N32" s="10">
        <f t="shared" si="2"/>
        <v>-0.33097380641476259</v>
      </c>
      <c r="O32" s="10">
        <f t="shared" si="2"/>
        <v>0.19470814813080958</v>
      </c>
      <c r="P32" s="10">
        <f t="shared" si="2"/>
        <v>-1.735603546076174E-2</v>
      </c>
      <c r="Q32" s="10">
        <f t="shared" si="2"/>
        <v>3.6489186172068144E-3</v>
      </c>
      <c r="R32" s="10">
        <f t="shared" si="2"/>
        <v>-6.9102451218566605E-2</v>
      </c>
      <c r="S32" s="10">
        <f t="shared" si="2"/>
        <v>2.8490631983659642E-2</v>
      </c>
      <c r="T32" s="10">
        <f t="shared" si="2"/>
        <v>-9.7476653387649534E-2</v>
      </c>
      <c r="U32" s="10">
        <f t="shared" si="2"/>
        <v>0.11753074768728625</v>
      </c>
      <c r="V32" s="10">
        <f t="shared" si="2"/>
        <v>-2.7806778741632149E-2</v>
      </c>
      <c r="W32" s="10">
        <f t="shared" si="2"/>
        <v>-6.5745382461337931E-2</v>
      </c>
      <c r="X32" s="10">
        <f t="shared" si="2"/>
        <v>-1.8930075406068669E-3</v>
      </c>
      <c r="Y32" s="10">
        <f t="shared" si="2"/>
        <v>-0.28950346669498794</v>
      </c>
      <c r="Z32" s="10">
        <f t="shared" si="2"/>
        <v>-7.4842119104417543E-2</v>
      </c>
      <c r="AA32" s="10">
        <f t="shared" si="2"/>
        <v>-0.16084500768046744</v>
      </c>
      <c r="AB32" s="10">
        <f t="shared" si="2"/>
        <v>-9.5444889439288902E-2</v>
      </c>
      <c r="AC32" s="10">
        <f t="shared" si="2"/>
        <v>0.2267794779047049</v>
      </c>
    </row>
    <row r="33" spans="1:29" x14ac:dyDescent="0.35">
      <c r="A33" s="9">
        <v>1999</v>
      </c>
      <c r="B33" s="10">
        <f t="shared" si="1"/>
        <v>-3.0540107346030024E-2</v>
      </c>
      <c r="C33" s="10">
        <f t="shared" si="2"/>
        <v>-0.46095418376242964</v>
      </c>
      <c r="D33" s="10">
        <f t="shared" si="2"/>
        <v>-1.190409322584477</v>
      </c>
      <c r="E33" s="10">
        <f t="shared" si="2"/>
        <v>-0.10309541270705018</v>
      </c>
      <c r="F33" s="10">
        <f t="shared" si="2"/>
        <v>0.16892042215665767</v>
      </c>
      <c r="G33" s="10">
        <f t="shared" si="2"/>
        <v>7.4407424376043488E-2</v>
      </c>
      <c r="H33" s="10">
        <f t="shared" si="2"/>
        <v>-0.14476082419365641</v>
      </c>
      <c r="I33" s="10">
        <f t="shared" si="2"/>
        <v>7.6859985471463152E-2</v>
      </c>
      <c r="J33" s="10">
        <f t="shared" si="2"/>
        <v>7.5295110671141405E-2</v>
      </c>
      <c r="K33" s="10">
        <f t="shared" si="2"/>
        <v>-8.5963052637167872E-2</v>
      </c>
      <c r="L33" s="10">
        <f t="shared" si="2"/>
        <v>0.17171578634301302</v>
      </c>
      <c r="M33" s="10">
        <f t="shared" si="2"/>
        <v>5.3962875966341297E-3</v>
      </c>
      <c r="N33" s="10">
        <f t="shared" si="2"/>
        <v>-5.3627225357005551E-2</v>
      </c>
      <c r="O33" s="10">
        <f t="shared" si="2"/>
        <v>-0.28332611000423036</v>
      </c>
      <c r="P33" s="10">
        <f t="shared" si="2"/>
        <v>-9.5912735994866161E-2</v>
      </c>
      <c r="Q33" s="10">
        <f t="shared" si="2"/>
        <v>-4.3675478592758044E-3</v>
      </c>
      <c r="R33" s="10">
        <f t="shared" si="2"/>
        <v>9.8512919441785723E-2</v>
      </c>
      <c r="S33" s="10">
        <f t="shared" si="2"/>
        <v>8.7536767138601271E-2</v>
      </c>
      <c r="T33" s="10">
        <f t="shared" si="2"/>
        <v>0.78111500839805748</v>
      </c>
      <c r="U33" s="10">
        <f t="shared" si="2"/>
        <v>0.50340021660806045</v>
      </c>
      <c r="V33" s="10">
        <f t="shared" si="2"/>
        <v>7.9594725278107556E-2</v>
      </c>
      <c r="W33" s="10">
        <f t="shared" si="2"/>
        <v>3.9144427848537958E-2</v>
      </c>
      <c r="X33" s="10">
        <f t="shared" si="2"/>
        <v>-1.0819090946657253E-2</v>
      </c>
      <c r="Y33" s="10">
        <f t="shared" si="2"/>
        <v>-0.16399980745607845</v>
      </c>
      <c r="Z33" s="10">
        <f t="shared" si="2"/>
        <v>0.12210098023193934</v>
      </c>
      <c r="AA33" s="10">
        <f t="shared" si="2"/>
        <v>7.5556913243894769E-2</v>
      </c>
      <c r="AB33" s="10">
        <f t="shared" si="2"/>
        <v>0.17186228752705771</v>
      </c>
      <c r="AC33" s="10">
        <f t="shared" si="2"/>
        <v>-0.37271753224443377</v>
      </c>
    </row>
    <row r="34" spans="1:29" x14ac:dyDescent="0.35">
      <c r="A34" s="9">
        <v>2000</v>
      </c>
      <c r="B34" s="10">
        <f t="shared" si="1"/>
        <v>1.586162355633608E-2</v>
      </c>
      <c r="C34" s="10">
        <f t="shared" si="2"/>
        <v>7.3974047650390132E-2</v>
      </c>
      <c r="D34" s="10">
        <f t="shared" si="2"/>
        <v>1.1189904353316877</v>
      </c>
      <c r="E34" s="10">
        <f t="shared" si="2"/>
        <v>-0.43848087995464813</v>
      </c>
      <c r="F34" s="10">
        <f t="shared" si="2"/>
        <v>0.16361510376762331</v>
      </c>
      <c r="G34" s="10">
        <f t="shared" si="2"/>
        <v>0.13299642746755699</v>
      </c>
      <c r="H34" s="10">
        <f t="shared" si="2"/>
        <v>-0.2294051721480462</v>
      </c>
      <c r="I34" s="10">
        <f t="shared" si="2"/>
        <v>-8.2628675570033203E-3</v>
      </c>
      <c r="J34" s="10">
        <f t="shared" si="2"/>
        <v>1.352477254471268E-2</v>
      </c>
      <c r="K34" s="10">
        <f t="shared" si="2"/>
        <v>0.10177268465824899</v>
      </c>
      <c r="L34" s="10">
        <f t="shared" si="2"/>
        <v>0.13117558594222692</v>
      </c>
      <c r="M34" s="10">
        <f t="shared" si="2"/>
        <v>-2.6829904143987539E-2</v>
      </c>
      <c r="N34" s="10">
        <f t="shared" si="2"/>
        <v>-5.3413695385754511E-3</v>
      </c>
      <c r="O34" s="10">
        <f t="shared" si="2"/>
        <v>-1.4273974725024438E-3</v>
      </c>
      <c r="P34" s="10">
        <f t="shared" si="2"/>
        <v>-4.1475457352057571E-2</v>
      </c>
      <c r="Q34" s="10">
        <f t="shared" si="2"/>
        <v>-0.18161946837894599</v>
      </c>
      <c r="R34" s="10">
        <f t="shared" si="2"/>
        <v>0.21317693954850181</v>
      </c>
      <c r="S34" s="10">
        <f t="shared" si="2"/>
        <v>2.7059986072330552E-2</v>
      </c>
      <c r="T34" s="10">
        <f t="shared" si="2"/>
        <v>-0.47883956111253023</v>
      </c>
      <c r="U34" s="10">
        <f t="shared" si="2"/>
        <v>0.15741607885701536</v>
      </c>
      <c r="V34" s="10">
        <f t="shared" si="2"/>
        <v>0.22511562518368622</v>
      </c>
      <c r="W34" s="10">
        <f t="shared" si="2"/>
        <v>-0.17826786304307277</v>
      </c>
      <c r="X34" s="10">
        <f t="shared" si="2"/>
        <v>-0.13750075416853905</v>
      </c>
      <c r="Y34" s="10">
        <f t="shared" si="2"/>
        <v>7.2419490516844848E-2</v>
      </c>
      <c r="Z34" s="10">
        <f t="shared" si="2"/>
        <v>9.9590141934169443E-2</v>
      </c>
      <c r="AA34" s="10">
        <f t="shared" si="2"/>
        <v>0.28286562994135872</v>
      </c>
      <c r="AB34" s="10">
        <f t="shared" si="2"/>
        <v>-6.4172202395367361E-2</v>
      </c>
      <c r="AC34" s="10">
        <f t="shared" si="2"/>
        <v>-0.13726006727365142</v>
      </c>
    </row>
    <row r="35" spans="1:29" x14ac:dyDescent="0.35">
      <c r="A35" s="9">
        <v>2001</v>
      </c>
      <c r="B35" s="10">
        <f t="shared" si="1"/>
        <v>-0.13688104799666831</v>
      </c>
      <c r="C35" s="10">
        <f t="shared" si="2"/>
        <v>-0.5888493319293614</v>
      </c>
      <c r="D35" s="10">
        <f t="shared" si="2"/>
        <v>0.64948484501528758</v>
      </c>
      <c r="E35" s="10">
        <f t="shared" si="2"/>
        <v>0.38714500270519125</v>
      </c>
      <c r="F35" s="10">
        <f t="shared" si="2"/>
        <v>0.37317720047364555</v>
      </c>
      <c r="G35" s="10">
        <f t="shared" si="2"/>
        <v>-0.84426015790754316</v>
      </c>
      <c r="H35" s="10">
        <f t="shared" si="2"/>
        <v>-4.1195362217395379E-2</v>
      </c>
      <c r="I35" s="10">
        <f t="shared" si="2"/>
        <v>-0.39011799679319759</v>
      </c>
      <c r="J35" s="10">
        <f t="shared" si="2"/>
        <v>0.12943562174924073</v>
      </c>
      <c r="K35" s="10">
        <f t="shared" si="2"/>
        <v>-7.0725222492790285E-2</v>
      </c>
      <c r="L35" s="10">
        <f t="shared" si="2"/>
        <v>6.4000618457982481E-2</v>
      </c>
      <c r="M35" s="10">
        <f t="shared" si="2"/>
        <v>5.3554417906367058E-2</v>
      </c>
      <c r="N35" s="10">
        <f t="shared" si="2"/>
        <v>-6.1634701226926783E-2</v>
      </c>
      <c r="O35" s="10">
        <f t="shared" si="2"/>
        <v>-1.4191134974343954E-3</v>
      </c>
      <c r="P35" s="10">
        <f t="shared" si="2"/>
        <v>-0.22217042602759943</v>
      </c>
      <c r="Q35" s="10">
        <f t="shared" si="2"/>
        <v>-3.5318942655893332E-2</v>
      </c>
      <c r="R35" s="10">
        <f t="shared" si="2"/>
        <v>-0.37818461540260606</v>
      </c>
      <c r="S35" s="10">
        <f t="shared" si="2"/>
        <v>6.7926997629640981E-2</v>
      </c>
      <c r="T35" s="10">
        <f t="shared" si="2"/>
        <v>0.11887059444847027</v>
      </c>
      <c r="U35" s="10">
        <f t="shared" si="2"/>
        <v>-1.2765466987931859</v>
      </c>
      <c r="V35" s="10">
        <f t="shared" si="2"/>
        <v>0.11412841019512331</v>
      </c>
      <c r="W35" s="10">
        <f t="shared" si="2"/>
        <v>-8.8551363090212068E-2</v>
      </c>
      <c r="X35" s="10">
        <f t="shared" si="2"/>
        <v>0.73808032586574202</v>
      </c>
      <c r="Y35" s="10">
        <f t="shared" si="2"/>
        <v>1.7941002804707097E-2</v>
      </c>
      <c r="Z35" s="10">
        <f t="shared" si="2"/>
        <v>9.2552855246950325E-2</v>
      </c>
      <c r="AA35" s="10">
        <f t="shared" si="2"/>
        <v>6.5487594588734932E-2</v>
      </c>
      <c r="AB35" s="10">
        <f t="shared" si="2"/>
        <v>-6.9818833044258087E-3</v>
      </c>
      <c r="AC35" s="10">
        <f t="shared" si="2"/>
        <v>0.13861841045183335</v>
      </c>
    </row>
    <row r="36" spans="1:29" x14ac:dyDescent="0.35">
      <c r="A36" s="9">
        <v>2002</v>
      </c>
      <c r="B36" s="10">
        <f t="shared" si="1"/>
        <v>-0.12946481648063299</v>
      </c>
      <c r="C36" s="10">
        <f t="shared" si="2"/>
        <v>-0.17925392225188042</v>
      </c>
      <c r="D36" s="10">
        <f t="shared" si="2"/>
        <v>-1.1854393548138336</v>
      </c>
      <c r="E36" s="10">
        <f t="shared" si="2"/>
        <v>0.29813227008357845</v>
      </c>
      <c r="F36" s="10">
        <f t="shared" si="2"/>
        <v>0.21920848449895791</v>
      </c>
      <c r="G36" s="10">
        <f t="shared" si="2"/>
        <v>-0.61859555884212147</v>
      </c>
      <c r="H36" s="10">
        <f t="shared" si="2"/>
        <v>0.11583326421358764</v>
      </c>
      <c r="I36" s="10">
        <f t="shared" si="2"/>
        <v>1.9191039174146503E-2</v>
      </c>
      <c r="J36" s="10">
        <f t="shared" si="2"/>
        <v>-9.1712074956101161E-2</v>
      </c>
      <c r="K36" s="10">
        <f t="shared" si="2"/>
        <v>-0.28911377547209249</v>
      </c>
      <c r="L36" s="10">
        <f t="shared" si="2"/>
        <v>0.20080017582180215</v>
      </c>
      <c r="M36" s="10">
        <f t="shared" si="2"/>
        <v>5.8463967804295781E-2</v>
      </c>
      <c r="N36" s="10">
        <f t="shared" si="2"/>
        <v>-0.46769311235646793</v>
      </c>
      <c r="O36" s="10">
        <f t="shared" si="2"/>
        <v>-5.4644953377567071E-2</v>
      </c>
      <c r="P36" s="10">
        <f t="shared" si="2"/>
        <v>-2.5599643895580483E-2</v>
      </c>
      <c r="Q36" s="10">
        <f t="shared" si="2"/>
        <v>5.0892582097091112E-2</v>
      </c>
      <c r="R36" s="10">
        <f t="shared" si="2"/>
        <v>-7.1941255036508112E-2</v>
      </c>
      <c r="S36" s="10">
        <f t="shared" si="2"/>
        <v>-2.2703408065611615E-2</v>
      </c>
      <c r="T36" s="10">
        <f t="shared" si="2"/>
        <v>6.6739776651294852E-2</v>
      </c>
      <c r="U36" s="10">
        <f t="shared" si="2"/>
        <v>1.5301692839219602E-3</v>
      </c>
      <c r="V36" s="10">
        <f t="shared" si="2"/>
        <v>1.2726715411547553E-2</v>
      </c>
      <c r="W36" s="10">
        <f t="shared" si="2"/>
        <v>0.13058571989426759</v>
      </c>
      <c r="X36" s="10">
        <f t="shared" si="2"/>
        <v>1.4059788455254484E-2</v>
      </c>
      <c r="Y36" s="10">
        <f t="shared" si="2"/>
        <v>-0.13748297578383728</v>
      </c>
      <c r="Z36" s="10">
        <f t="shared" si="2"/>
        <v>-0.1520166996120067</v>
      </c>
      <c r="AA36" s="10">
        <f t="shared" si="2"/>
        <v>-9.261892352474814E-2</v>
      </c>
      <c r="AB36" s="10">
        <f t="shared" si="2"/>
        <v>-0.17635279487580027</v>
      </c>
      <c r="AC36" s="10">
        <f t="shared" si="2"/>
        <v>-0.14260939273463419</v>
      </c>
    </row>
    <row r="37" spans="1:29" x14ac:dyDescent="0.35">
      <c r="A37" s="9">
        <v>2003</v>
      </c>
      <c r="B37" s="10">
        <f t="shared" si="1"/>
        <v>0.17504313734857033</v>
      </c>
      <c r="C37" s="10">
        <f t="shared" si="2"/>
        <v>-0.18818767839760442</v>
      </c>
      <c r="D37" s="10">
        <f t="shared" si="2"/>
        <v>0.71439855466425306</v>
      </c>
      <c r="E37" s="10">
        <f t="shared" si="2"/>
        <v>0.38047978918942738</v>
      </c>
      <c r="F37" s="10">
        <f t="shared" si="2"/>
        <v>0.22740486877443747</v>
      </c>
      <c r="G37" s="10">
        <f t="shared" si="2"/>
        <v>8.8511452902948068E-2</v>
      </c>
      <c r="H37" s="10">
        <f t="shared" si="2"/>
        <v>0.10294008022787887</v>
      </c>
      <c r="I37" s="10">
        <f t="shared" si="2"/>
        <v>0.15046341227143009</v>
      </c>
      <c r="J37" s="10">
        <f t="shared" si="2"/>
        <v>-0.33610941024867313</v>
      </c>
      <c r="K37" s="10">
        <f t="shared" si="2"/>
        <v>-0.71568022331931047</v>
      </c>
      <c r="L37" s="10">
        <f t="shared" si="2"/>
        <v>-6.2501543894706274E-2</v>
      </c>
      <c r="M37" s="10">
        <f t="shared" si="2"/>
        <v>-0.13347904419083825</v>
      </c>
      <c r="N37" s="10">
        <f t="shared" si="2"/>
        <v>-0.16382233817066758</v>
      </c>
      <c r="O37" s="10">
        <f t="shared" si="2"/>
        <v>-0.28682917269913283</v>
      </c>
      <c r="P37" s="10">
        <f t="shared" si="2"/>
        <v>-0.15908677354661904</v>
      </c>
      <c r="Q37" s="10">
        <f t="shared" si="2"/>
        <v>-0.87818736270060449</v>
      </c>
      <c r="R37" s="10">
        <f t="shared" si="2"/>
        <v>-8.3334163405372405E-2</v>
      </c>
      <c r="S37" s="10">
        <f t="shared" si="2"/>
        <v>6.9434398351805232E-2</v>
      </c>
      <c r="T37" s="10">
        <f t="shared" si="2"/>
        <v>0.19512174991631689</v>
      </c>
      <c r="U37" s="10">
        <f t="shared" si="2"/>
        <v>-0.3333258368879165</v>
      </c>
      <c r="V37" s="10">
        <f t="shared" si="2"/>
        <v>4.1347264921643589E-2</v>
      </c>
      <c r="W37" s="10">
        <f t="shared" si="2"/>
        <v>-4.367009733937581E-2</v>
      </c>
      <c r="X37" s="10">
        <f t="shared" si="2"/>
        <v>0.31562362508102726</v>
      </c>
      <c r="Y37" s="10">
        <f t="shared" si="2"/>
        <v>-0.36736849662584359</v>
      </c>
      <c r="Z37" s="10">
        <f t="shared" si="2"/>
        <v>5.4352560275045397E-2</v>
      </c>
      <c r="AA37" s="10">
        <f t="shared" si="2"/>
        <v>2.0850671541304322E-2</v>
      </c>
      <c r="AB37" s="10">
        <f t="shared" si="2"/>
        <v>0.17688867049781834</v>
      </c>
      <c r="AC37" s="10">
        <f t="shared" si="2"/>
        <v>-0.12169096236710075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2</vt:i4>
      </vt:variant>
    </vt:vector>
  </HeadingPairs>
  <TitlesOfParts>
    <vt:vector size="9" baseType="lpstr">
      <vt:lpstr>Documentation </vt:lpstr>
      <vt:lpstr>SalterprodvtyData</vt:lpstr>
      <vt:lpstr>Salterulcprice</vt:lpstr>
      <vt:lpstr>ropdataUSind</vt:lpstr>
      <vt:lpstr>iropdataUSind</vt:lpstr>
      <vt:lpstr>iropOECDPPP</vt:lpstr>
      <vt:lpstr>Sheet1</vt:lpstr>
      <vt:lpstr>FigUSulcpricesalter</vt:lpstr>
      <vt:lpstr>FigUKulcpricesalter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shaikh@newschool.edu</dc:creator>
  <cp:lastModifiedBy>shaikh@newschool.edu</cp:lastModifiedBy>
  <dcterms:created xsi:type="dcterms:W3CDTF">2014-06-09T18:32:13Z</dcterms:created>
  <dcterms:modified xsi:type="dcterms:W3CDTF">2015-01-20T04:01:52Z</dcterms:modified>
</cp:coreProperties>
</file>