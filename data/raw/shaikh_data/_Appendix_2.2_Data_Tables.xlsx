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3.xml" ContentType="application/vnd.openxmlformats-officedocument.spreadsheetml.work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7020" windowHeight="9290" activeTab="3"/>
  </bookViews>
  <sheets>
    <sheet name="App2DataFig2.1-2.9" sheetId="1" r:id="rId1"/>
    <sheet name="App2DataFigs2.14-2.16" sheetId="13" r:id="rId2"/>
    <sheet name="Fig2.1 IndProdUS" sheetId="3" r:id="rId3"/>
    <sheet name="Fig2.2 InvestUS" sheetId="4" r:id="rId4"/>
    <sheet name="Fig2.3 GdPpercap" sheetId="5" r:id="rId5"/>
    <sheet name="Fig2.4A BusCycle1" sheetId="6" r:id="rId6"/>
    <sheet name="Fig2.4B BusCycle2" sheetId="7" r:id="rId7"/>
    <sheet name="Fig2.4C BusCycle3" sheetId="8" r:id="rId8"/>
    <sheet name="Fig2.5 Mfgprodvty&amp;ec" sheetId="9" r:id="rId9"/>
    <sheet name="Fig2.6 MfgRULC" sheetId="10" r:id="rId10"/>
    <sheet name="Fig 2.7 unempl" sheetId="11" r:id="rId11"/>
    <sheet name="Figs 2.8-2.14" sheetId="12" r:id="rId12"/>
    <sheet name="Fig2.15GDPpc" sheetId="14" r:id="rId13"/>
    <sheet name="Fig2.16rich4&amp;poor4" sheetId="15" r:id="rId14"/>
    <sheet name="Fig2.17Chartrich4poor4 Ratio" sheetId="16" r:id="rId15"/>
  </sheets>
  <externalReferences>
    <externalReference r:id="rId16"/>
  </externalReferences>
  <definedNames>
    <definedName name="_xlnm.Print_Area" localSheetId="1">'App2DataFigs2.14-2.16'!$A$1:$AQ$226</definedName>
    <definedName name="_xlnm.Print_Titles" localSheetId="1">'App2DataFigs2.14-2.16'!$A:$A,'App2DataFigs2.14-2.16'!$1:$3</definedName>
  </definedNames>
  <calcPr calcId="145621" iterate="1" iterateCount="1"/>
</workbook>
</file>

<file path=xl/calcChain.xml><?xml version="1.0" encoding="utf-8"?>
<calcChain xmlns="http://schemas.openxmlformats.org/spreadsheetml/2006/main">
  <c r="AG228" i="13" l="1"/>
  <c r="AH228" i="13" s="1"/>
  <c r="AI228" i="13" s="1"/>
  <c r="AJ228" i="13" s="1"/>
  <c r="AD228" i="13"/>
  <c r="AE228" i="13" s="1"/>
  <c r="Y228" i="13"/>
  <c r="Z228" i="13" s="1"/>
  <c r="AA228" i="13" s="1"/>
  <c r="AB228" i="13" s="1"/>
  <c r="M228" i="13"/>
  <c r="N228" i="13" s="1"/>
  <c r="O228" i="13" s="1"/>
  <c r="P228" i="13" s="1"/>
  <c r="Q228" i="13" s="1"/>
  <c r="R228" i="13" s="1"/>
  <c r="S228" i="13" s="1"/>
  <c r="T228" i="13" s="1"/>
  <c r="U228" i="13" s="1"/>
  <c r="V228" i="13" s="1"/>
  <c r="W228" i="13" s="1"/>
  <c r="C228" i="13"/>
  <c r="D228" i="13" s="1"/>
  <c r="E228" i="13" s="1"/>
  <c r="F228" i="13" s="1"/>
  <c r="G228" i="13" s="1"/>
  <c r="H228" i="13" s="1"/>
  <c r="I228" i="13" s="1"/>
  <c r="J228" i="13" s="1"/>
  <c r="K228" i="13" s="1"/>
  <c r="AG226" i="13"/>
  <c r="AH226" i="13" s="1"/>
  <c r="AI226" i="13" s="1"/>
  <c r="AJ226" i="13" s="1"/>
  <c r="AD226" i="13"/>
  <c r="AE226" i="13" s="1"/>
  <c r="Y226" i="13"/>
  <c r="Z226" i="13" s="1"/>
  <c r="AA226" i="13" s="1"/>
  <c r="AB226" i="13" s="1"/>
  <c r="N226" i="13"/>
  <c r="O226" i="13" s="1"/>
  <c r="P226" i="13" s="1"/>
  <c r="Q226" i="13" s="1"/>
  <c r="R226" i="13" s="1"/>
  <c r="S226" i="13" s="1"/>
  <c r="T226" i="13" s="1"/>
  <c r="U226" i="13" s="1"/>
  <c r="V226" i="13" s="1"/>
  <c r="W226" i="13" s="1"/>
  <c r="M226" i="13"/>
  <c r="C226" i="13"/>
  <c r="D226" i="13" s="1"/>
  <c r="E226" i="13" s="1"/>
  <c r="F226" i="13" s="1"/>
  <c r="G226" i="13" s="1"/>
  <c r="H226" i="13" s="1"/>
  <c r="I226" i="13" s="1"/>
  <c r="J226" i="13" s="1"/>
  <c r="K226" i="13" s="1"/>
  <c r="AG219" i="13"/>
  <c r="AH219" i="13" s="1"/>
  <c r="AI219" i="13" s="1"/>
  <c r="AJ219" i="13" s="1"/>
  <c r="AD219" i="13"/>
  <c r="AE219" i="13" s="1"/>
  <c r="Y219" i="13"/>
  <c r="Z219" i="13" s="1"/>
  <c r="AA219" i="13" s="1"/>
  <c r="AB219" i="13" s="1"/>
  <c r="N219" i="13"/>
  <c r="O219" i="13" s="1"/>
  <c r="P219" i="13" s="1"/>
  <c r="Q219" i="13" s="1"/>
  <c r="R219" i="13" s="1"/>
  <c r="S219" i="13" s="1"/>
  <c r="T219" i="13" s="1"/>
  <c r="U219" i="13" s="1"/>
  <c r="V219" i="13" s="1"/>
  <c r="W219" i="13" s="1"/>
  <c r="M219" i="13"/>
  <c r="C219" i="13"/>
  <c r="D219" i="13" s="1"/>
  <c r="E219" i="13" s="1"/>
  <c r="F219" i="13" s="1"/>
  <c r="G219" i="13" s="1"/>
  <c r="H219" i="13" s="1"/>
  <c r="I219" i="13" s="1"/>
  <c r="J219" i="13" s="1"/>
  <c r="K219" i="13" s="1"/>
  <c r="AG166" i="13"/>
  <c r="AH166" i="13" s="1"/>
  <c r="AI166" i="13" s="1"/>
  <c r="AJ166" i="13" s="1"/>
  <c r="AD166" i="13"/>
  <c r="AE166" i="13" s="1"/>
  <c r="Y166" i="13"/>
  <c r="Z166" i="13" s="1"/>
  <c r="AA166" i="13" s="1"/>
  <c r="AB166" i="13" s="1"/>
  <c r="N166" i="13"/>
  <c r="O166" i="13" s="1"/>
  <c r="P166" i="13" s="1"/>
  <c r="Q166" i="13" s="1"/>
  <c r="R166" i="13" s="1"/>
  <c r="S166" i="13" s="1"/>
  <c r="T166" i="13" s="1"/>
  <c r="U166" i="13" s="1"/>
  <c r="V166" i="13" s="1"/>
  <c r="W166" i="13" s="1"/>
  <c r="M166" i="13"/>
  <c r="C166" i="13"/>
  <c r="D166" i="13" s="1"/>
  <c r="E166" i="13" s="1"/>
  <c r="F166" i="13" s="1"/>
  <c r="G166" i="13" s="1"/>
  <c r="H166" i="13" s="1"/>
  <c r="I166" i="13" s="1"/>
  <c r="J166" i="13" s="1"/>
  <c r="K166" i="13" s="1"/>
  <c r="AG121" i="13"/>
  <c r="AH121" i="13" s="1"/>
  <c r="AI121" i="13" s="1"/>
  <c r="AJ121" i="13" s="1"/>
  <c r="AD121" i="13"/>
  <c r="AE121" i="13" s="1"/>
  <c r="Y121" i="13"/>
  <c r="Z121" i="13" s="1"/>
  <c r="AA121" i="13" s="1"/>
  <c r="AB121" i="13" s="1"/>
  <c r="AG119" i="13"/>
  <c r="AH119" i="13" s="1"/>
  <c r="AD119" i="13"/>
  <c r="AE119" i="13" s="1"/>
  <c r="Y119" i="13"/>
  <c r="Z119" i="13" s="1"/>
  <c r="AA119" i="13" s="1"/>
  <c r="N55" i="13"/>
  <c r="O55" i="13" s="1"/>
  <c r="P55" i="13" s="1"/>
  <c r="Q55" i="13" s="1"/>
  <c r="R55" i="13" s="1"/>
  <c r="S55" i="13" s="1"/>
  <c r="T55" i="13" s="1"/>
  <c r="U55" i="13" s="1"/>
  <c r="V55" i="13" s="1"/>
  <c r="W55" i="13" s="1"/>
  <c r="M55" i="13"/>
  <c r="C55" i="13"/>
  <c r="D55" i="13" s="1"/>
  <c r="E55" i="13" s="1"/>
  <c r="F55" i="13" s="1"/>
  <c r="G55" i="13" s="1"/>
  <c r="H55" i="13" s="1"/>
  <c r="I55" i="13" s="1"/>
  <c r="J55" i="13" s="1"/>
  <c r="K55" i="13" s="1"/>
  <c r="Y49" i="13"/>
  <c r="Z49" i="13" s="1"/>
  <c r="Z48" i="13" s="1"/>
  <c r="Z19" i="13" s="1"/>
  <c r="N49" i="13"/>
  <c r="O49" i="13" s="1"/>
  <c r="P49" i="13" s="1"/>
  <c r="Q49" i="13" s="1"/>
  <c r="R49" i="13" s="1"/>
  <c r="S49" i="13" s="1"/>
  <c r="T49" i="13" s="1"/>
  <c r="U49" i="13" s="1"/>
  <c r="V49" i="13" s="1"/>
  <c r="W49" i="13" s="1"/>
  <c r="M49" i="13"/>
  <c r="C49" i="13"/>
  <c r="D49" i="13" s="1"/>
  <c r="E49" i="13" s="1"/>
  <c r="F49" i="13" s="1"/>
  <c r="G49" i="13" s="1"/>
  <c r="H49" i="13" s="1"/>
  <c r="I49" i="13" s="1"/>
  <c r="J49" i="13" s="1"/>
  <c r="K49" i="13" s="1"/>
  <c r="AB43" i="13"/>
  <c r="Y43" i="13"/>
  <c r="Z43" i="13" s="1"/>
  <c r="N43" i="13"/>
  <c r="O43" i="13" s="1"/>
  <c r="P43" i="13" s="1"/>
  <c r="Q43" i="13" s="1"/>
  <c r="R43" i="13" s="1"/>
  <c r="S43" i="13" s="1"/>
  <c r="T43" i="13" s="1"/>
  <c r="U43" i="13" s="1"/>
  <c r="V43" i="13" s="1"/>
  <c r="W43" i="13" s="1"/>
  <c r="M43" i="13"/>
  <c r="C43" i="13"/>
  <c r="D43" i="13" s="1"/>
  <c r="E43" i="13" s="1"/>
  <c r="F43" i="13" s="1"/>
  <c r="G43" i="13" s="1"/>
  <c r="H43" i="13" s="1"/>
  <c r="I43" i="13" s="1"/>
  <c r="J43" i="13" s="1"/>
  <c r="K43" i="13" s="1"/>
  <c r="Z32" i="13"/>
  <c r="AP25" i="13"/>
  <c r="AO25" i="13"/>
  <c r="AN25" i="13"/>
  <c r="AM25" i="13"/>
  <c r="AL25" i="13"/>
  <c r="AK25" i="13"/>
  <c r="AG25" i="13"/>
  <c r="AF25" i="13"/>
  <c r="AD25" i="13"/>
  <c r="AC25" i="13"/>
  <c r="Y25" i="13"/>
  <c r="X25" i="13"/>
  <c r="L25" i="13"/>
  <c r="B25" i="13"/>
  <c r="AP24" i="13"/>
  <c r="AO24" i="13"/>
  <c r="AN24" i="13"/>
  <c r="AM24" i="13"/>
  <c r="AL24" i="13"/>
  <c r="AK24" i="13"/>
  <c r="AG24" i="13"/>
  <c r="AF24" i="13"/>
  <c r="AD24" i="13"/>
  <c r="AC24" i="13"/>
  <c r="Y24" i="13"/>
  <c r="X24" i="13"/>
  <c r="L24" i="13"/>
  <c r="B24" i="13"/>
  <c r="AP23" i="13"/>
  <c r="AO23" i="13"/>
  <c r="AN23" i="13"/>
  <c r="AM23" i="13"/>
  <c r="AL23" i="13"/>
  <c r="AK23" i="13"/>
  <c r="AG23" i="13"/>
  <c r="AF23" i="13"/>
  <c r="AD23" i="13"/>
  <c r="AC23" i="13"/>
  <c r="Y23" i="13"/>
  <c r="X23" i="13"/>
  <c r="L23" i="13"/>
  <c r="B23" i="13"/>
  <c r="AP22" i="13"/>
  <c r="AO22" i="13"/>
  <c r="AN22" i="13"/>
  <c r="AM22" i="13"/>
  <c r="AL22" i="13"/>
  <c r="AK22" i="13"/>
  <c r="AG22" i="13"/>
  <c r="AF22" i="13"/>
  <c r="AD22" i="13"/>
  <c r="AC22" i="13"/>
  <c r="Y22" i="13"/>
  <c r="X22" i="13"/>
  <c r="L22" i="13"/>
  <c r="B22" i="13"/>
  <c r="AP21" i="13"/>
  <c r="AO21" i="13"/>
  <c r="AN21" i="13"/>
  <c r="AM21" i="13"/>
  <c r="AL21" i="13"/>
  <c r="AK21" i="13"/>
  <c r="AJ21" i="13"/>
  <c r="AI21" i="13"/>
  <c r="AH21" i="13"/>
  <c r="AG21" i="13"/>
  <c r="AF21" i="13"/>
  <c r="AD21" i="13"/>
  <c r="AC21" i="13"/>
  <c r="Y21" i="13"/>
  <c r="X21" i="13"/>
  <c r="L21" i="13"/>
  <c r="B21" i="13"/>
  <c r="AP20" i="13"/>
  <c r="AO20" i="13"/>
  <c r="AN20" i="13"/>
  <c r="AM20" i="13"/>
  <c r="AL20" i="13"/>
  <c r="AK20" i="13"/>
  <c r="AJ20" i="13"/>
  <c r="AI20" i="13"/>
  <c r="AH20" i="13"/>
  <c r="AG20" i="13"/>
  <c r="AF20" i="13"/>
  <c r="AD20" i="13"/>
  <c r="AC20" i="13"/>
  <c r="Y20" i="13"/>
  <c r="X20" i="13"/>
  <c r="L20" i="13"/>
  <c r="B20" i="13"/>
  <c r="AP19" i="13"/>
  <c r="AO19" i="13"/>
  <c r="AN19" i="13"/>
  <c r="AM19" i="13"/>
  <c r="AL19" i="13"/>
  <c r="AK19" i="13"/>
  <c r="AH19" i="13"/>
  <c r="AG19" i="13"/>
  <c r="AF19" i="13"/>
  <c r="AD19" i="13"/>
  <c r="AC19" i="13"/>
  <c r="Y19" i="13"/>
  <c r="X19" i="13"/>
  <c r="L19" i="13"/>
  <c r="B19" i="13"/>
  <c r="AP18" i="13"/>
  <c r="AP16" i="13" s="1"/>
  <c r="AO18" i="13"/>
  <c r="AN18" i="13"/>
  <c r="AM18" i="13"/>
  <c r="AL18" i="13"/>
  <c r="AL16" i="13" s="1"/>
  <c r="AK18" i="13"/>
  <c r="AH18" i="13"/>
  <c r="AG18" i="13"/>
  <c r="AF18" i="13"/>
  <c r="AE18" i="13"/>
  <c r="AD18" i="13"/>
  <c r="AD16" i="13" s="1"/>
  <c r="AC18" i="13"/>
  <c r="AC16" i="13" s="1"/>
  <c r="AC15" i="13" s="1"/>
  <c r="AA18" i="13"/>
  <c r="Z18" i="13"/>
  <c r="Y18" i="13"/>
  <c r="X18" i="13"/>
  <c r="L18" i="13"/>
  <c r="B18" i="13"/>
  <c r="B16" i="13" s="1"/>
  <c r="AP17" i="13"/>
  <c r="AO17" i="13"/>
  <c r="AN17" i="13"/>
  <c r="AM17" i="13"/>
  <c r="AL17" i="13"/>
  <c r="AK17" i="13"/>
  <c r="AG17" i="13"/>
  <c r="AF17" i="13"/>
  <c r="AF15" i="13" s="1"/>
  <c r="AD17" i="13"/>
  <c r="AC17" i="13"/>
  <c r="Y17" i="13"/>
  <c r="X17" i="13"/>
  <c r="L17" i="13"/>
  <c r="B17" i="13"/>
  <c r="AO16" i="13"/>
  <c r="AN16" i="13"/>
  <c r="AM16" i="13"/>
  <c r="AM15" i="13" s="1"/>
  <c r="AK16" i="13"/>
  <c r="AG16" i="13"/>
  <c r="AF16" i="13"/>
  <c r="Y16" i="13"/>
  <c r="X16" i="13"/>
  <c r="L16" i="13"/>
  <c r="L15" i="13" s="1"/>
  <c r="AP15" i="13"/>
  <c r="AO15" i="13"/>
  <c r="AN15" i="13"/>
  <c r="AL15" i="13"/>
  <c r="AK15" i="13"/>
  <c r="AG15" i="13"/>
  <c r="AD15" i="13"/>
  <c r="Y15" i="13"/>
  <c r="X15" i="13"/>
  <c r="B15" i="13"/>
  <c r="AP13" i="13"/>
  <c r="AO13" i="13"/>
  <c r="AN13" i="13"/>
  <c r="AM13" i="13"/>
  <c r="AL13" i="13"/>
  <c r="AK13" i="13"/>
  <c r="AF13" i="13"/>
  <c r="AC13" i="13"/>
  <c r="X13" i="13"/>
  <c r="L13" i="13"/>
  <c r="B13" i="13"/>
  <c r="AP12" i="13"/>
  <c r="AO12" i="13"/>
  <c r="AN12" i="13"/>
  <c r="AM12" i="13"/>
  <c r="AL12" i="13"/>
  <c r="AK12" i="13"/>
  <c r="AF12" i="13"/>
  <c r="AC12" i="13"/>
  <c r="X12" i="13"/>
  <c r="L12" i="13"/>
  <c r="B12" i="13"/>
  <c r="AG10" i="13"/>
  <c r="AH10" i="13" s="1"/>
  <c r="AI10" i="13" s="1"/>
  <c r="AJ10" i="13" s="1"/>
  <c r="AD10" i="13"/>
  <c r="AD12" i="13" s="1"/>
  <c r="Y10" i="13"/>
  <c r="Y12" i="13" s="1"/>
  <c r="N10" i="13"/>
  <c r="O10" i="13" s="1"/>
  <c r="P10" i="13" s="1"/>
  <c r="Q10" i="13" s="1"/>
  <c r="R10" i="13" s="1"/>
  <c r="S10" i="13" s="1"/>
  <c r="T10" i="13" s="1"/>
  <c r="U10" i="13" s="1"/>
  <c r="V10" i="13" s="1"/>
  <c r="W10" i="13" s="1"/>
  <c r="M10" i="13"/>
  <c r="M12" i="13" s="1"/>
  <c r="C10" i="13"/>
  <c r="D10" i="13" s="1"/>
  <c r="E10" i="13" s="1"/>
  <c r="F10" i="13" s="1"/>
  <c r="G10" i="13" s="1"/>
  <c r="H10" i="13" s="1"/>
  <c r="I10" i="13" s="1"/>
  <c r="J10" i="13" s="1"/>
  <c r="K10" i="13" s="1"/>
  <c r="AG9" i="13"/>
  <c r="AG13" i="13" s="1"/>
  <c r="AD9" i="13"/>
  <c r="AE9" i="13" s="1"/>
  <c r="Y9" i="13"/>
  <c r="Z9" i="13" s="1"/>
  <c r="AA9" i="13" s="1"/>
  <c r="AB9" i="13" s="1"/>
  <c r="N9" i="13"/>
  <c r="O9" i="13" s="1"/>
  <c r="P9" i="13" s="1"/>
  <c r="Q9" i="13" s="1"/>
  <c r="R9" i="13" s="1"/>
  <c r="S9" i="13" s="1"/>
  <c r="T9" i="13" s="1"/>
  <c r="U9" i="13" s="1"/>
  <c r="V9" i="13" s="1"/>
  <c r="W9" i="13" s="1"/>
  <c r="M9" i="13"/>
  <c r="C9" i="13"/>
  <c r="D9" i="13" s="1"/>
  <c r="E9" i="13" s="1"/>
  <c r="F9" i="13" s="1"/>
  <c r="G9" i="13" s="1"/>
  <c r="H9" i="13" s="1"/>
  <c r="I9" i="13" s="1"/>
  <c r="J9" i="13" s="1"/>
  <c r="K9" i="13" s="1"/>
  <c r="AG8" i="13"/>
  <c r="AH8" i="13" s="1"/>
  <c r="AI8" i="13" s="1"/>
  <c r="AJ8" i="13" s="1"/>
  <c r="AD8" i="13"/>
  <c r="AE8" i="13" s="1"/>
  <c r="Y8" i="13"/>
  <c r="Z8" i="13" s="1"/>
  <c r="AA8" i="13" s="1"/>
  <c r="AB8" i="13" s="1"/>
  <c r="N7" i="13"/>
  <c r="O7" i="13" s="1"/>
  <c r="P7" i="13" s="1"/>
  <c r="Q7" i="13" s="1"/>
  <c r="R7" i="13" s="1"/>
  <c r="S7" i="13" s="1"/>
  <c r="T7" i="13" s="1"/>
  <c r="U7" i="13" s="1"/>
  <c r="V7" i="13" s="1"/>
  <c r="W7" i="13" s="1"/>
  <c r="M7" i="13"/>
  <c r="C7" i="13"/>
  <c r="C13" i="13" s="1"/>
  <c r="Y6" i="13"/>
  <c r="Z6" i="13" s="1"/>
  <c r="N6" i="13"/>
  <c r="N12" i="13" s="1"/>
  <c r="M6" i="13"/>
  <c r="C6" i="13"/>
  <c r="C12" i="13" s="1"/>
  <c r="AB5" i="13"/>
  <c r="Z5" i="13"/>
  <c r="Y5" i="13"/>
  <c r="M5" i="13"/>
  <c r="M13" i="13" s="1"/>
  <c r="D5" i="13"/>
  <c r="E5" i="13" s="1"/>
  <c r="C5" i="13"/>
  <c r="AH4" i="13"/>
  <c r="AI4" i="13" s="1"/>
  <c r="AJ4" i="13" s="1"/>
  <c r="AG4" i="13"/>
  <c r="AE4" i="13"/>
  <c r="AD4" i="13"/>
  <c r="Z4" i="13"/>
  <c r="AA4" i="13" s="1"/>
  <c r="AB4" i="13" s="1"/>
  <c r="Y4" i="13"/>
  <c r="M4" i="13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D4" i="13"/>
  <c r="E4" i="13" s="1"/>
  <c r="F4" i="13" s="1"/>
  <c r="G4" i="13" s="1"/>
  <c r="H4" i="13" s="1"/>
  <c r="I4" i="13" s="1"/>
  <c r="J4" i="13" s="1"/>
  <c r="K4" i="13" s="1"/>
  <c r="C4" i="13"/>
  <c r="M3" i="13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D3" i="13"/>
  <c r="E3" i="13" s="1"/>
  <c r="F3" i="13" s="1"/>
  <c r="G3" i="13" s="1"/>
  <c r="H3" i="13" s="1"/>
  <c r="I3" i="13" s="1"/>
  <c r="J3" i="13" s="1"/>
  <c r="K3" i="13" s="1"/>
  <c r="C3" i="13"/>
  <c r="E13" i="13" l="1"/>
  <c r="F5" i="13"/>
  <c r="Y13" i="13"/>
  <c r="D6" i="13"/>
  <c r="AD13" i="13"/>
  <c r="AH16" i="13"/>
  <c r="AE23" i="13"/>
  <c r="AE19" i="13"/>
  <c r="AE16" i="13" s="1"/>
  <c r="AE22" i="13"/>
  <c r="AE25" i="13"/>
  <c r="AE21" i="13"/>
  <c r="AE24" i="13"/>
  <c r="AE20" i="13"/>
  <c r="AH24" i="13"/>
  <c r="AH23" i="13"/>
  <c r="AH22" i="13"/>
  <c r="AI119" i="13"/>
  <c r="AH25" i="13"/>
  <c r="AG12" i="13"/>
  <c r="N5" i="13"/>
  <c r="O6" i="13"/>
  <c r="D7" i="13"/>
  <c r="E7" i="13" s="1"/>
  <c r="F7" i="13" s="1"/>
  <c r="G7" i="13" s="1"/>
  <c r="H7" i="13" s="1"/>
  <c r="I7" i="13" s="1"/>
  <c r="J7" i="13" s="1"/>
  <c r="K7" i="13" s="1"/>
  <c r="AH9" i="13"/>
  <c r="Z10" i="13"/>
  <c r="AE10" i="13"/>
  <c r="Z24" i="13"/>
  <c r="Z20" i="13"/>
  <c r="Z16" i="13" s="1"/>
  <c r="Z23" i="13"/>
  <c r="Z22" i="13"/>
  <c r="Z25" i="13"/>
  <c r="Z21" i="13"/>
  <c r="AB119" i="13"/>
  <c r="AA23" i="13"/>
  <c r="AA19" i="13"/>
  <c r="AA16" i="13" s="1"/>
  <c r="AA15" i="13" s="1"/>
  <c r="AA22" i="13"/>
  <c r="AA17" i="13" s="1"/>
  <c r="AA25" i="13"/>
  <c r="AA21" i="13"/>
  <c r="AA24" i="13"/>
  <c r="AA20" i="13"/>
  <c r="AN248" i="1"/>
  <c r="AE248" i="1"/>
  <c r="AF248" i="1" s="1"/>
  <c r="X248" i="1"/>
  <c r="Y248" i="1" s="1"/>
  <c r="Z248" i="1" s="1"/>
  <c r="K248" i="1"/>
  <c r="L248" i="1" s="1"/>
  <c r="E248" i="1"/>
  <c r="AN247" i="1"/>
  <c r="AE247" i="1"/>
  <c r="AF247" i="1" s="1"/>
  <c r="Y247" i="1"/>
  <c r="Z247" i="1" s="1"/>
  <c r="K247" i="1"/>
  <c r="L247" i="1" s="1"/>
  <c r="E247" i="1"/>
  <c r="AN246" i="1"/>
  <c r="AE246" i="1"/>
  <c r="AF246" i="1" s="1"/>
  <c r="Y246" i="1"/>
  <c r="Z246" i="1" s="1"/>
  <c r="K246" i="1"/>
  <c r="L246" i="1" s="1"/>
  <c r="E246" i="1"/>
  <c r="AN245" i="1"/>
  <c r="AE245" i="1"/>
  <c r="AF245" i="1" s="1"/>
  <c r="Y245" i="1"/>
  <c r="Z245" i="1" s="1"/>
  <c r="K245" i="1"/>
  <c r="L245" i="1" s="1"/>
  <c r="E245" i="1"/>
  <c r="A245" i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N244" i="1"/>
  <c r="AE244" i="1"/>
  <c r="AF244" i="1" s="1"/>
  <c r="Y244" i="1"/>
  <c r="Z244" i="1" s="1"/>
  <c r="L244" i="1"/>
  <c r="K244" i="1"/>
  <c r="E244" i="1"/>
  <c r="AN243" i="1"/>
  <c r="AE243" i="1"/>
  <c r="AF243" i="1" s="1"/>
  <c r="Y243" i="1"/>
  <c r="Z243" i="1" s="1"/>
  <c r="K243" i="1"/>
  <c r="L243" i="1" s="1"/>
  <c r="E243" i="1"/>
  <c r="AN242" i="1"/>
  <c r="AE242" i="1"/>
  <c r="AF242" i="1" s="1"/>
  <c r="Y242" i="1"/>
  <c r="Z242" i="1" s="1"/>
  <c r="K242" i="1"/>
  <c r="L242" i="1" s="1"/>
  <c r="E242" i="1"/>
  <c r="AN241" i="1"/>
  <c r="AE241" i="1"/>
  <c r="AF241" i="1" s="1"/>
  <c r="Y241" i="1"/>
  <c r="Z241" i="1" s="1"/>
  <c r="K241" i="1"/>
  <c r="L241" i="1" s="1"/>
  <c r="E241" i="1"/>
  <c r="AN240" i="1"/>
  <c r="AE240" i="1"/>
  <c r="AF240" i="1" s="1"/>
  <c r="Y240" i="1"/>
  <c r="Z240" i="1" s="1"/>
  <c r="K240" i="1"/>
  <c r="L240" i="1" s="1"/>
  <c r="E240" i="1"/>
  <c r="AN239" i="1"/>
  <c r="AE239" i="1"/>
  <c r="AF239" i="1" s="1"/>
  <c r="Y239" i="1"/>
  <c r="Z239" i="1" s="1"/>
  <c r="K239" i="1"/>
  <c r="L239" i="1" s="1"/>
  <c r="E239" i="1"/>
  <c r="AN238" i="1"/>
  <c r="AE238" i="1"/>
  <c r="AF238" i="1" s="1"/>
  <c r="Y238" i="1"/>
  <c r="Z238" i="1" s="1"/>
  <c r="K238" i="1"/>
  <c r="L238" i="1" s="1"/>
  <c r="E238" i="1"/>
  <c r="AN237" i="1"/>
  <c r="AE237" i="1"/>
  <c r="AF237" i="1" s="1"/>
  <c r="Z237" i="1"/>
  <c r="Y237" i="1"/>
  <c r="K237" i="1"/>
  <c r="L237" i="1" s="1"/>
  <c r="E237" i="1"/>
  <c r="AN236" i="1"/>
  <c r="AE236" i="1"/>
  <c r="AF236" i="1" s="1"/>
  <c r="Z236" i="1"/>
  <c r="Y236" i="1"/>
  <c r="L236" i="1"/>
  <c r="K236" i="1"/>
  <c r="E236" i="1"/>
  <c r="AN235" i="1"/>
  <c r="AE235" i="1"/>
  <c r="AF235" i="1" s="1"/>
  <c r="Y235" i="1"/>
  <c r="Z235" i="1" s="1"/>
  <c r="K235" i="1"/>
  <c r="L235" i="1" s="1"/>
  <c r="E235" i="1"/>
  <c r="AN234" i="1"/>
  <c r="AE234" i="1"/>
  <c r="AF234" i="1" s="1"/>
  <c r="Z234" i="1"/>
  <c r="Y234" i="1"/>
  <c r="K234" i="1"/>
  <c r="L234" i="1" s="1"/>
  <c r="E234" i="1"/>
  <c r="AN233" i="1"/>
  <c r="AE233" i="1"/>
  <c r="AF233" i="1" s="1"/>
  <c r="Y233" i="1"/>
  <c r="Z233" i="1" s="1"/>
  <c r="K233" i="1"/>
  <c r="L233" i="1" s="1"/>
  <c r="E233" i="1"/>
  <c r="AN232" i="1"/>
  <c r="AE232" i="1"/>
  <c r="AF232" i="1" s="1"/>
  <c r="Y232" i="1"/>
  <c r="Z232" i="1" s="1"/>
  <c r="L232" i="1"/>
  <c r="K232" i="1"/>
  <c r="E232" i="1"/>
  <c r="AN231" i="1"/>
  <c r="AF231" i="1"/>
  <c r="AE231" i="1"/>
  <c r="Y231" i="1"/>
  <c r="Z231" i="1" s="1"/>
  <c r="K231" i="1"/>
  <c r="L231" i="1" s="1"/>
  <c r="E231" i="1"/>
  <c r="AN230" i="1"/>
  <c r="AE230" i="1"/>
  <c r="AF230" i="1" s="1"/>
  <c r="Y230" i="1"/>
  <c r="Z230" i="1" s="1"/>
  <c r="K230" i="1"/>
  <c r="L230" i="1" s="1"/>
  <c r="E230" i="1"/>
  <c r="AN229" i="1"/>
  <c r="AE229" i="1"/>
  <c r="AF229" i="1" s="1"/>
  <c r="Y229" i="1"/>
  <c r="Z229" i="1" s="1"/>
  <c r="K229" i="1"/>
  <c r="L229" i="1" s="1"/>
  <c r="E229" i="1"/>
  <c r="AN228" i="1"/>
  <c r="AE228" i="1"/>
  <c r="AF228" i="1" s="1"/>
  <c r="Y228" i="1"/>
  <c r="Z228" i="1" s="1"/>
  <c r="K228" i="1"/>
  <c r="L228" i="1" s="1"/>
  <c r="E228" i="1"/>
  <c r="AN227" i="1"/>
  <c r="AF227" i="1"/>
  <c r="AE227" i="1"/>
  <c r="Y227" i="1"/>
  <c r="Z227" i="1" s="1"/>
  <c r="K227" i="1"/>
  <c r="L227" i="1" s="1"/>
  <c r="E227" i="1"/>
  <c r="AN226" i="1"/>
  <c r="AE226" i="1"/>
  <c r="AF226" i="1" s="1"/>
  <c r="Y226" i="1"/>
  <c r="Z226" i="1" s="1"/>
  <c r="K226" i="1"/>
  <c r="L226" i="1" s="1"/>
  <c r="E226" i="1"/>
  <c r="AN225" i="1"/>
  <c r="AE225" i="1"/>
  <c r="AF225" i="1" s="1"/>
  <c r="Y225" i="1"/>
  <c r="Z225" i="1" s="1"/>
  <c r="K225" i="1"/>
  <c r="L225" i="1" s="1"/>
  <c r="E225" i="1"/>
  <c r="AN224" i="1"/>
  <c r="AE224" i="1"/>
  <c r="AF224" i="1" s="1"/>
  <c r="Y224" i="1"/>
  <c r="Z224" i="1" s="1"/>
  <c r="K224" i="1"/>
  <c r="L224" i="1" s="1"/>
  <c r="E224" i="1"/>
  <c r="AN223" i="1"/>
  <c r="AE223" i="1"/>
  <c r="AF223" i="1" s="1"/>
  <c r="Y223" i="1"/>
  <c r="Z223" i="1" s="1"/>
  <c r="K223" i="1"/>
  <c r="L223" i="1" s="1"/>
  <c r="E223" i="1"/>
  <c r="AN222" i="1"/>
  <c r="AE222" i="1"/>
  <c r="AF222" i="1" s="1"/>
  <c r="Y222" i="1"/>
  <c r="Z222" i="1" s="1"/>
  <c r="K222" i="1"/>
  <c r="L222" i="1" s="1"/>
  <c r="E222" i="1"/>
  <c r="AN221" i="1"/>
  <c r="AE221" i="1"/>
  <c r="AF221" i="1" s="1"/>
  <c r="Y221" i="1"/>
  <c r="Z221" i="1" s="1"/>
  <c r="K221" i="1"/>
  <c r="L221" i="1" s="1"/>
  <c r="E221" i="1"/>
  <c r="AN220" i="1"/>
  <c r="AE220" i="1"/>
  <c r="AF220" i="1" s="1"/>
  <c r="Y220" i="1"/>
  <c r="Z220" i="1" s="1"/>
  <c r="K220" i="1"/>
  <c r="L220" i="1" s="1"/>
  <c r="E220" i="1"/>
  <c r="AN219" i="1"/>
  <c r="AE219" i="1"/>
  <c r="AF219" i="1" s="1"/>
  <c r="Y219" i="1"/>
  <c r="Z219" i="1" s="1"/>
  <c r="K219" i="1"/>
  <c r="L219" i="1" s="1"/>
  <c r="E219" i="1"/>
  <c r="AN218" i="1"/>
  <c r="AE218" i="1"/>
  <c r="AF218" i="1" s="1"/>
  <c r="Y218" i="1"/>
  <c r="Z218" i="1" s="1"/>
  <c r="K218" i="1"/>
  <c r="L218" i="1" s="1"/>
  <c r="E218" i="1"/>
  <c r="AN217" i="1"/>
  <c r="AE217" i="1"/>
  <c r="AF217" i="1" s="1"/>
  <c r="Y217" i="1"/>
  <c r="Z217" i="1" s="1"/>
  <c r="K217" i="1"/>
  <c r="L217" i="1" s="1"/>
  <c r="E217" i="1"/>
  <c r="AN216" i="1"/>
  <c r="AE216" i="1"/>
  <c r="AF216" i="1" s="1"/>
  <c r="Y216" i="1"/>
  <c r="Z216" i="1" s="1"/>
  <c r="K216" i="1"/>
  <c r="L216" i="1" s="1"/>
  <c r="E216" i="1"/>
  <c r="AN215" i="1"/>
  <c r="AE215" i="1"/>
  <c r="AF215" i="1" s="1"/>
  <c r="Z215" i="1"/>
  <c r="Y215" i="1"/>
  <c r="L215" i="1"/>
  <c r="K215" i="1"/>
  <c r="E215" i="1"/>
  <c r="AN214" i="1"/>
  <c r="AF214" i="1"/>
  <c r="AE214" i="1"/>
  <c r="Y214" i="1"/>
  <c r="Z214" i="1" s="1"/>
  <c r="K214" i="1"/>
  <c r="L214" i="1" s="1"/>
  <c r="E214" i="1"/>
  <c r="AN213" i="1"/>
  <c r="AE213" i="1"/>
  <c r="AF213" i="1" s="1"/>
  <c r="Y213" i="1"/>
  <c r="Z213" i="1" s="1"/>
  <c r="K213" i="1"/>
  <c r="L213" i="1" s="1"/>
  <c r="E213" i="1"/>
  <c r="AN212" i="1"/>
  <c r="AE212" i="1"/>
  <c r="AF212" i="1" s="1"/>
  <c r="Y212" i="1"/>
  <c r="Z212" i="1" s="1"/>
  <c r="K212" i="1"/>
  <c r="L212" i="1" s="1"/>
  <c r="E212" i="1"/>
  <c r="AN211" i="1"/>
  <c r="AE211" i="1"/>
  <c r="AF211" i="1" s="1"/>
  <c r="Y211" i="1"/>
  <c r="Z211" i="1" s="1"/>
  <c r="L211" i="1"/>
  <c r="K211" i="1"/>
  <c r="E211" i="1"/>
  <c r="AN210" i="1"/>
  <c r="AE210" i="1"/>
  <c r="AF210" i="1" s="1"/>
  <c r="Y210" i="1"/>
  <c r="Z210" i="1" s="1"/>
  <c r="K210" i="1"/>
  <c r="L210" i="1" s="1"/>
  <c r="E210" i="1"/>
  <c r="AN209" i="1"/>
  <c r="AE209" i="1"/>
  <c r="AF209" i="1" s="1"/>
  <c r="Y209" i="1"/>
  <c r="Z209" i="1" s="1"/>
  <c r="K209" i="1"/>
  <c r="L209" i="1" s="1"/>
  <c r="E209" i="1"/>
  <c r="AN208" i="1"/>
  <c r="AE208" i="1"/>
  <c r="AF208" i="1" s="1"/>
  <c r="Y208" i="1"/>
  <c r="Z208" i="1" s="1"/>
  <c r="K208" i="1"/>
  <c r="L208" i="1" s="1"/>
  <c r="E208" i="1"/>
  <c r="AN207" i="1"/>
  <c r="AE207" i="1"/>
  <c r="AF207" i="1" s="1"/>
  <c r="Y207" i="1"/>
  <c r="Z207" i="1" s="1"/>
  <c r="K207" i="1"/>
  <c r="L207" i="1" s="1"/>
  <c r="E207" i="1"/>
  <c r="AN206" i="1"/>
  <c r="AE206" i="1"/>
  <c r="AF206" i="1" s="1"/>
  <c r="Y206" i="1"/>
  <c r="Z206" i="1" s="1"/>
  <c r="K206" i="1"/>
  <c r="L206" i="1" s="1"/>
  <c r="E206" i="1"/>
  <c r="AN205" i="1"/>
  <c r="AE205" i="1"/>
  <c r="AF205" i="1" s="1"/>
  <c r="Y205" i="1"/>
  <c r="Z205" i="1" s="1"/>
  <c r="K205" i="1"/>
  <c r="L205" i="1" s="1"/>
  <c r="E205" i="1"/>
  <c r="AN204" i="1"/>
  <c r="AE204" i="1"/>
  <c r="AF204" i="1" s="1"/>
  <c r="Y204" i="1"/>
  <c r="Z204" i="1" s="1"/>
  <c r="K204" i="1"/>
  <c r="L204" i="1" s="1"/>
  <c r="E204" i="1"/>
  <c r="AN203" i="1"/>
  <c r="AE203" i="1"/>
  <c r="AF203" i="1" s="1"/>
  <c r="Y203" i="1"/>
  <c r="Z203" i="1" s="1"/>
  <c r="K203" i="1"/>
  <c r="L203" i="1" s="1"/>
  <c r="E203" i="1"/>
  <c r="AN202" i="1"/>
  <c r="AE202" i="1"/>
  <c r="AF202" i="1" s="1"/>
  <c r="Z202" i="1"/>
  <c r="Y202" i="1"/>
  <c r="K202" i="1"/>
  <c r="L202" i="1" s="1"/>
  <c r="E202" i="1"/>
  <c r="AN201" i="1"/>
  <c r="AE201" i="1"/>
  <c r="AF201" i="1" s="1"/>
  <c r="Y201" i="1"/>
  <c r="Z201" i="1" s="1"/>
  <c r="K201" i="1"/>
  <c r="L201" i="1" s="1"/>
  <c r="E201" i="1"/>
  <c r="AN200" i="1"/>
  <c r="AE200" i="1"/>
  <c r="AF200" i="1" s="1"/>
  <c r="Y200" i="1"/>
  <c r="Z200" i="1" s="1"/>
  <c r="K200" i="1"/>
  <c r="L200" i="1" s="1"/>
  <c r="E200" i="1"/>
  <c r="AN199" i="1"/>
  <c r="AE199" i="1"/>
  <c r="AF199" i="1" s="1"/>
  <c r="Y199" i="1"/>
  <c r="Z199" i="1" s="1"/>
  <c r="K199" i="1"/>
  <c r="L199" i="1" s="1"/>
  <c r="E199" i="1"/>
  <c r="AN198" i="1"/>
  <c r="AE198" i="1"/>
  <c r="AF198" i="1" s="1"/>
  <c r="Y198" i="1"/>
  <c r="Z198" i="1" s="1"/>
  <c r="K198" i="1"/>
  <c r="L198" i="1" s="1"/>
  <c r="E198" i="1"/>
  <c r="AN197" i="1"/>
  <c r="AE197" i="1"/>
  <c r="AF197" i="1" s="1"/>
  <c r="Y197" i="1"/>
  <c r="Z197" i="1" s="1"/>
  <c r="K197" i="1"/>
  <c r="L197" i="1" s="1"/>
  <c r="E197" i="1"/>
  <c r="C197" i="1"/>
  <c r="AN196" i="1"/>
  <c r="AF196" i="1"/>
  <c r="AE196" i="1"/>
  <c r="Y196" i="1"/>
  <c r="Z196" i="1" s="1"/>
  <c r="K196" i="1"/>
  <c r="L196" i="1" s="1"/>
  <c r="E196" i="1"/>
  <c r="C196" i="1"/>
  <c r="AN195" i="1"/>
  <c r="AE195" i="1"/>
  <c r="AF195" i="1" s="1"/>
  <c r="Y195" i="1"/>
  <c r="Z195" i="1" s="1"/>
  <c r="K195" i="1"/>
  <c r="L195" i="1" s="1"/>
  <c r="E195" i="1"/>
  <c r="C195" i="1"/>
  <c r="AN194" i="1"/>
  <c r="AE194" i="1"/>
  <c r="AF194" i="1" s="1"/>
  <c r="Y194" i="1"/>
  <c r="Z194" i="1" s="1"/>
  <c r="K194" i="1"/>
  <c r="L194" i="1" s="1"/>
  <c r="E194" i="1"/>
  <c r="C194" i="1"/>
  <c r="AN193" i="1"/>
  <c r="AE193" i="1"/>
  <c r="AF193" i="1" s="1"/>
  <c r="Y193" i="1"/>
  <c r="Z193" i="1" s="1"/>
  <c r="K193" i="1"/>
  <c r="L193" i="1" s="1"/>
  <c r="E193" i="1"/>
  <c r="C193" i="1"/>
  <c r="AN192" i="1"/>
  <c r="AE192" i="1"/>
  <c r="AF192" i="1" s="1"/>
  <c r="Y192" i="1"/>
  <c r="Z192" i="1" s="1"/>
  <c r="K192" i="1"/>
  <c r="L192" i="1" s="1"/>
  <c r="E192" i="1"/>
  <c r="C192" i="1"/>
  <c r="AN191" i="1"/>
  <c r="AE191" i="1"/>
  <c r="AF191" i="1" s="1"/>
  <c r="Y191" i="1"/>
  <c r="Z191" i="1" s="1"/>
  <c r="U191" i="1"/>
  <c r="K191" i="1"/>
  <c r="L191" i="1" s="1"/>
  <c r="E191" i="1"/>
  <c r="C191" i="1"/>
  <c r="AN190" i="1"/>
  <c r="AE190" i="1"/>
  <c r="AF190" i="1" s="1"/>
  <c r="Y190" i="1"/>
  <c r="Z190" i="1" s="1"/>
  <c r="K190" i="1"/>
  <c r="L190" i="1" s="1"/>
  <c r="E190" i="1"/>
  <c r="C190" i="1"/>
  <c r="AN189" i="1"/>
  <c r="AE189" i="1"/>
  <c r="AF189" i="1" s="1"/>
  <c r="Y189" i="1"/>
  <c r="Z189" i="1" s="1"/>
  <c r="K189" i="1"/>
  <c r="L189" i="1" s="1"/>
  <c r="E189" i="1"/>
  <c r="C189" i="1"/>
  <c r="AN188" i="1"/>
  <c r="AE188" i="1"/>
  <c r="AF188" i="1" s="1"/>
  <c r="Y188" i="1"/>
  <c r="Z188" i="1" s="1"/>
  <c r="K188" i="1"/>
  <c r="L188" i="1" s="1"/>
  <c r="E188" i="1"/>
  <c r="C188" i="1"/>
  <c r="AN187" i="1"/>
  <c r="AE187" i="1"/>
  <c r="AF187" i="1" s="1"/>
  <c r="Z187" i="1"/>
  <c r="K187" i="1"/>
  <c r="L187" i="1" s="1"/>
  <c r="E187" i="1"/>
  <c r="C187" i="1"/>
  <c r="AN186" i="1"/>
  <c r="AE186" i="1"/>
  <c r="AF186" i="1" s="1"/>
  <c r="Z186" i="1"/>
  <c r="K186" i="1"/>
  <c r="L186" i="1" s="1"/>
  <c r="E186" i="1"/>
  <c r="C186" i="1"/>
  <c r="AN185" i="1"/>
  <c r="AE185" i="1"/>
  <c r="AF185" i="1" s="1"/>
  <c r="Z185" i="1"/>
  <c r="K185" i="1"/>
  <c r="L185" i="1" s="1"/>
  <c r="E185" i="1"/>
  <c r="C185" i="1"/>
  <c r="AN184" i="1"/>
  <c r="AE184" i="1"/>
  <c r="AF184" i="1" s="1"/>
  <c r="Z184" i="1"/>
  <c r="K184" i="1"/>
  <c r="L184" i="1" s="1"/>
  <c r="E184" i="1"/>
  <c r="C184" i="1"/>
  <c r="AN183" i="1"/>
  <c r="AE183" i="1"/>
  <c r="AF183" i="1" s="1"/>
  <c r="Z183" i="1"/>
  <c r="K183" i="1"/>
  <c r="L183" i="1" s="1"/>
  <c r="E183" i="1"/>
  <c r="C183" i="1"/>
  <c r="AN182" i="1"/>
  <c r="AE182" i="1"/>
  <c r="AF182" i="1" s="1"/>
  <c r="Z182" i="1"/>
  <c r="K182" i="1"/>
  <c r="L182" i="1" s="1"/>
  <c r="E182" i="1"/>
  <c r="C182" i="1"/>
  <c r="AN181" i="1"/>
  <c r="AE181" i="1"/>
  <c r="AF181" i="1" s="1"/>
  <c r="Z181" i="1"/>
  <c r="K181" i="1"/>
  <c r="L181" i="1" s="1"/>
  <c r="E181" i="1"/>
  <c r="C181" i="1"/>
  <c r="AN180" i="1"/>
  <c r="AE180" i="1"/>
  <c r="AF180" i="1" s="1"/>
  <c r="Z180" i="1"/>
  <c r="K180" i="1"/>
  <c r="L180" i="1" s="1"/>
  <c r="E180" i="1"/>
  <c r="C180" i="1"/>
  <c r="AN179" i="1"/>
  <c r="AE179" i="1"/>
  <c r="AF179" i="1" s="1"/>
  <c r="Z179" i="1"/>
  <c r="K179" i="1"/>
  <c r="L179" i="1" s="1"/>
  <c r="E179" i="1"/>
  <c r="C179" i="1"/>
  <c r="AN178" i="1"/>
  <c r="AE178" i="1"/>
  <c r="AF178" i="1" s="1"/>
  <c r="Z178" i="1"/>
  <c r="K178" i="1"/>
  <c r="L178" i="1" s="1"/>
  <c r="E178" i="1"/>
  <c r="C178" i="1"/>
  <c r="AN177" i="1"/>
  <c r="AE177" i="1"/>
  <c r="AF177" i="1" s="1"/>
  <c r="Z177" i="1"/>
  <c r="K177" i="1"/>
  <c r="L177" i="1" s="1"/>
  <c r="E177" i="1"/>
  <c r="C177" i="1"/>
  <c r="AN176" i="1"/>
  <c r="AE176" i="1"/>
  <c r="AF176" i="1" s="1"/>
  <c r="Z176" i="1"/>
  <c r="K176" i="1"/>
  <c r="L176" i="1" s="1"/>
  <c r="E176" i="1"/>
  <c r="C176" i="1"/>
  <c r="AN175" i="1"/>
  <c r="AE175" i="1"/>
  <c r="AF175" i="1" s="1"/>
  <c r="Z175" i="1"/>
  <c r="K175" i="1"/>
  <c r="L175" i="1" s="1"/>
  <c r="E175" i="1"/>
  <c r="C175" i="1"/>
  <c r="AN174" i="1"/>
  <c r="AE174" i="1"/>
  <c r="AF174" i="1" s="1"/>
  <c r="Z174" i="1"/>
  <c r="K174" i="1"/>
  <c r="L174" i="1" s="1"/>
  <c r="E174" i="1"/>
  <c r="C174" i="1"/>
  <c r="AN173" i="1"/>
  <c r="AE173" i="1"/>
  <c r="AF173" i="1" s="1"/>
  <c r="Z173" i="1"/>
  <c r="K173" i="1"/>
  <c r="L173" i="1" s="1"/>
  <c r="E173" i="1"/>
  <c r="C173" i="1"/>
  <c r="AN172" i="1"/>
  <c r="AE172" i="1"/>
  <c r="AF172" i="1" s="1"/>
  <c r="Z172" i="1"/>
  <c r="K172" i="1"/>
  <c r="L172" i="1" s="1"/>
  <c r="E172" i="1"/>
  <c r="C172" i="1"/>
  <c r="AN171" i="1"/>
  <c r="AE171" i="1"/>
  <c r="AF171" i="1" s="1"/>
  <c r="Z171" i="1"/>
  <c r="K171" i="1"/>
  <c r="L171" i="1" s="1"/>
  <c r="E171" i="1"/>
  <c r="C171" i="1"/>
  <c r="AN170" i="1"/>
  <c r="AE170" i="1"/>
  <c r="AF170" i="1" s="1"/>
  <c r="Z170" i="1"/>
  <c r="K170" i="1"/>
  <c r="L170" i="1" s="1"/>
  <c r="E170" i="1"/>
  <c r="C170" i="1"/>
  <c r="AN169" i="1"/>
  <c r="AE169" i="1"/>
  <c r="AF169" i="1" s="1"/>
  <c r="Z169" i="1"/>
  <c r="L169" i="1"/>
  <c r="K169" i="1"/>
  <c r="E169" i="1"/>
  <c r="C169" i="1"/>
  <c r="AN168" i="1"/>
  <c r="AE168" i="1"/>
  <c r="AF168" i="1" s="1"/>
  <c r="Z168" i="1"/>
  <c r="K168" i="1"/>
  <c r="L168" i="1" s="1"/>
  <c r="I168" i="1"/>
  <c r="E168" i="1"/>
  <c r="C168" i="1"/>
  <c r="AN167" i="1"/>
  <c r="AE167" i="1"/>
  <c r="AF167" i="1" s="1"/>
  <c r="Z167" i="1"/>
  <c r="K167" i="1"/>
  <c r="L167" i="1" s="1"/>
  <c r="I167" i="1"/>
  <c r="E167" i="1"/>
  <c r="C167" i="1"/>
  <c r="AN166" i="1"/>
  <c r="AF166" i="1"/>
  <c r="AE166" i="1"/>
  <c r="Z166" i="1"/>
  <c r="K166" i="1"/>
  <c r="L166" i="1" s="1"/>
  <c r="I166" i="1"/>
  <c r="E166" i="1"/>
  <c r="C166" i="1"/>
  <c r="AN165" i="1"/>
  <c r="AE165" i="1"/>
  <c r="AF165" i="1" s="1"/>
  <c r="Z165" i="1"/>
  <c r="K165" i="1"/>
  <c r="L165" i="1" s="1"/>
  <c r="I165" i="1"/>
  <c r="E165" i="1"/>
  <c r="C165" i="1"/>
  <c r="AN164" i="1"/>
  <c r="AE164" i="1"/>
  <c r="AF164" i="1" s="1"/>
  <c r="Z164" i="1"/>
  <c r="K164" i="1"/>
  <c r="L164" i="1" s="1"/>
  <c r="I164" i="1"/>
  <c r="E164" i="1"/>
  <c r="C164" i="1"/>
  <c r="AN163" i="1"/>
  <c r="AE163" i="1"/>
  <c r="AF163" i="1" s="1"/>
  <c r="Z163" i="1"/>
  <c r="K163" i="1"/>
  <c r="L163" i="1" s="1"/>
  <c r="I163" i="1"/>
  <c r="E163" i="1"/>
  <c r="C163" i="1"/>
  <c r="AN162" i="1"/>
  <c r="AE162" i="1"/>
  <c r="AF162" i="1" s="1"/>
  <c r="Z162" i="1"/>
  <c r="K162" i="1"/>
  <c r="L162" i="1" s="1"/>
  <c r="I162" i="1"/>
  <c r="E162" i="1"/>
  <c r="C162" i="1"/>
  <c r="AN161" i="1"/>
  <c r="AE161" i="1"/>
  <c r="AF161" i="1" s="1"/>
  <c r="Z161" i="1"/>
  <c r="K161" i="1"/>
  <c r="L161" i="1" s="1"/>
  <c r="I161" i="1"/>
  <c r="E161" i="1"/>
  <c r="C161" i="1"/>
  <c r="AN160" i="1"/>
  <c r="AE160" i="1"/>
  <c r="AF160" i="1" s="1"/>
  <c r="Z160" i="1"/>
  <c r="K160" i="1"/>
  <c r="L160" i="1" s="1"/>
  <c r="I160" i="1"/>
  <c r="E160" i="1"/>
  <c r="C160" i="1"/>
  <c r="AN159" i="1"/>
  <c r="AE159" i="1"/>
  <c r="AF159" i="1" s="1"/>
  <c r="Z159" i="1"/>
  <c r="K159" i="1"/>
  <c r="L159" i="1" s="1"/>
  <c r="I159" i="1"/>
  <c r="E159" i="1"/>
  <c r="C159" i="1"/>
  <c r="AN158" i="1"/>
  <c r="AE158" i="1"/>
  <c r="AF158" i="1" s="1"/>
  <c r="Z158" i="1"/>
  <c r="K158" i="1"/>
  <c r="L158" i="1" s="1"/>
  <c r="I158" i="1"/>
  <c r="E158" i="1"/>
  <c r="C158" i="1"/>
  <c r="AN157" i="1"/>
  <c r="AE157" i="1"/>
  <c r="AF157" i="1" s="1"/>
  <c r="Z157" i="1"/>
  <c r="K157" i="1"/>
  <c r="L157" i="1" s="1"/>
  <c r="I157" i="1"/>
  <c r="E157" i="1"/>
  <c r="C157" i="1"/>
  <c r="AN156" i="1"/>
  <c r="AE156" i="1"/>
  <c r="AF156" i="1" s="1"/>
  <c r="Z156" i="1"/>
  <c r="K156" i="1"/>
  <c r="L156" i="1" s="1"/>
  <c r="I156" i="1"/>
  <c r="C156" i="1"/>
  <c r="AN155" i="1"/>
  <c r="AE155" i="1"/>
  <c r="AF155" i="1" s="1"/>
  <c r="Z155" i="1"/>
  <c r="K155" i="1"/>
  <c r="L155" i="1" s="1"/>
  <c r="I155" i="1"/>
  <c r="C155" i="1"/>
  <c r="AN154" i="1"/>
  <c r="AE154" i="1"/>
  <c r="AF154" i="1" s="1"/>
  <c r="Z154" i="1"/>
  <c r="K154" i="1"/>
  <c r="L154" i="1" s="1"/>
  <c r="I154" i="1"/>
  <c r="C154" i="1"/>
  <c r="AN153" i="1"/>
  <c r="AE153" i="1"/>
  <c r="AF153" i="1" s="1"/>
  <c r="Z153" i="1"/>
  <c r="K153" i="1"/>
  <c r="L153" i="1" s="1"/>
  <c r="I153" i="1"/>
  <c r="C153" i="1"/>
  <c r="AN152" i="1"/>
  <c r="AE152" i="1"/>
  <c r="AF152" i="1" s="1"/>
  <c r="Z152" i="1"/>
  <c r="K152" i="1"/>
  <c r="L152" i="1" s="1"/>
  <c r="I152" i="1"/>
  <c r="C152" i="1"/>
  <c r="AN151" i="1"/>
  <c r="AF151" i="1"/>
  <c r="AE151" i="1"/>
  <c r="Z151" i="1"/>
  <c r="K151" i="1"/>
  <c r="L151" i="1" s="1"/>
  <c r="I151" i="1"/>
  <c r="C151" i="1"/>
  <c r="AN150" i="1"/>
  <c r="AE150" i="1"/>
  <c r="AF150" i="1" s="1"/>
  <c r="Z150" i="1"/>
  <c r="K150" i="1"/>
  <c r="L150" i="1" s="1"/>
  <c r="I150" i="1"/>
  <c r="C150" i="1"/>
  <c r="AN149" i="1"/>
  <c r="AF149" i="1"/>
  <c r="AE149" i="1"/>
  <c r="Z149" i="1"/>
  <c r="K149" i="1"/>
  <c r="L149" i="1" s="1"/>
  <c r="I149" i="1"/>
  <c r="C149" i="1"/>
  <c r="AN148" i="1"/>
  <c r="AE148" i="1"/>
  <c r="AF148" i="1" s="1"/>
  <c r="Z148" i="1"/>
  <c r="K148" i="1"/>
  <c r="L148" i="1" s="1"/>
  <c r="I148" i="1"/>
  <c r="C148" i="1"/>
  <c r="AN147" i="1"/>
  <c r="AE147" i="1"/>
  <c r="AF147" i="1" s="1"/>
  <c r="Z147" i="1"/>
  <c r="L147" i="1"/>
  <c r="K147" i="1"/>
  <c r="I147" i="1"/>
  <c r="C147" i="1"/>
  <c r="AN146" i="1"/>
  <c r="AE146" i="1"/>
  <c r="AF146" i="1" s="1"/>
  <c r="Z146" i="1"/>
  <c r="K146" i="1"/>
  <c r="L146" i="1" s="1"/>
  <c r="I146" i="1"/>
  <c r="C146" i="1"/>
  <c r="AN145" i="1"/>
  <c r="AE145" i="1"/>
  <c r="AF145" i="1" s="1"/>
  <c r="Z145" i="1"/>
  <c r="K145" i="1"/>
  <c r="L145" i="1" s="1"/>
  <c r="I145" i="1"/>
  <c r="C145" i="1"/>
  <c r="AN144" i="1"/>
  <c r="AE144" i="1"/>
  <c r="AF144" i="1" s="1"/>
  <c r="Z144" i="1"/>
  <c r="K144" i="1"/>
  <c r="L144" i="1" s="1"/>
  <c r="I144" i="1"/>
  <c r="C144" i="1"/>
  <c r="AN143" i="1"/>
  <c r="AE143" i="1"/>
  <c r="AF143" i="1" s="1"/>
  <c r="Z143" i="1"/>
  <c r="K143" i="1"/>
  <c r="L143" i="1" s="1"/>
  <c r="I143" i="1"/>
  <c r="C143" i="1"/>
  <c r="AN142" i="1"/>
  <c r="AE142" i="1"/>
  <c r="AF142" i="1" s="1"/>
  <c r="Z142" i="1"/>
  <c r="K142" i="1"/>
  <c r="L142" i="1" s="1"/>
  <c r="I142" i="1"/>
  <c r="C142" i="1"/>
  <c r="AN141" i="1"/>
  <c r="AE141" i="1"/>
  <c r="AF141" i="1" s="1"/>
  <c r="Z141" i="1"/>
  <c r="K141" i="1"/>
  <c r="L141" i="1" s="1"/>
  <c r="I141" i="1"/>
  <c r="C141" i="1"/>
  <c r="AN140" i="1"/>
  <c r="AE140" i="1"/>
  <c r="AF140" i="1" s="1"/>
  <c r="Z140" i="1"/>
  <c r="K140" i="1"/>
  <c r="L140" i="1" s="1"/>
  <c r="I140" i="1"/>
  <c r="C140" i="1"/>
  <c r="AN139" i="1"/>
  <c r="AE139" i="1"/>
  <c r="AF139" i="1" s="1"/>
  <c r="Z139" i="1"/>
  <c r="K139" i="1"/>
  <c r="L139" i="1" s="1"/>
  <c r="I139" i="1"/>
  <c r="C139" i="1"/>
  <c r="AN138" i="1"/>
  <c r="AE138" i="1"/>
  <c r="AF138" i="1" s="1"/>
  <c r="Z138" i="1"/>
  <c r="I138" i="1"/>
  <c r="L138" i="1" s="1"/>
  <c r="C138" i="1"/>
  <c r="AN137" i="1"/>
  <c r="AE137" i="1"/>
  <c r="AF137" i="1" s="1"/>
  <c r="AG137" i="1" s="1"/>
  <c r="Z137" i="1"/>
  <c r="I137" i="1"/>
  <c r="L137" i="1" s="1"/>
  <c r="C137" i="1"/>
  <c r="AN136" i="1"/>
  <c r="AE136" i="1"/>
  <c r="AF136" i="1" s="1"/>
  <c r="Z136" i="1"/>
  <c r="AA136" i="1" s="1"/>
  <c r="I136" i="1"/>
  <c r="L136" i="1" s="1"/>
  <c r="C136" i="1"/>
  <c r="AN135" i="1"/>
  <c r="AE135" i="1"/>
  <c r="AF135" i="1" s="1"/>
  <c r="Z135" i="1"/>
  <c r="I135" i="1"/>
  <c r="L135" i="1" s="1"/>
  <c r="C135" i="1"/>
  <c r="AN134" i="1"/>
  <c r="AE134" i="1"/>
  <c r="AF134" i="1" s="1"/>
  <c r="Z134" i="1"/>
  <c r="I134" i="1"/>
  <c r="L134" i="1" s="1"/>
  <c r="C134" i="1"/>
  <c r="AN133" i="1"/>
  <c r="AE133" i="1"/>
  <c r="AF133" i="1" s="1"/>
  <c r="Z133" i="1"/>
  <c r="I133" i="1"/>
  <c r="L133" i="1" s="1"/>
  <c r="C133" i="1"/>
  <c r="AN132" i="1"/>
  <c r="AE132" i="1"/>
  <c r="AF132" i="1" s="1"/>
  <c r="Z132" i="1"/>
  <c r="I132" i="1"/>
  <c r="L132" i="1" s="1"/>
  <c r="C132" i="1"/>
  <c r="AN131" i="1"/>
  <c r="AE131" i="1"/>
  <c r="AF131" i="1" s="1"/>
  <c r="Z131" i="1"/>
  <c r="I131" i="1"/>
  <c r="L131" i="1" s="1"/>
  <c r="C131" i="1"/>
  <c r="AN130" i="1"/>
  <c r="AE130" i="1"/>
  <c r="AF130" i="1" s="1"/>
  <c r="Z130" i="1"/>
  <c r="I130" i="1"/>
  <c r="L130" i="1" s="1"/>
  <c r="C130" i="1"/>
  <c r="AN129" i="1"/>
  <c r="AE129" i="1"/>
  <c r="AF129" i="1" s="1"/>
  <c r="Z129" i="1"/>
  <c r="I129" i="1"/>
  <c r="L129" i="1" s="1"/>
  <c r="C129" i="1"/>
  <c r="AN128" i="1"/>
  <c r="AE128" i="1"/>
  <c r="AF128" i="1" s="1"/>
  <c r="Z128" i="1"/>
  <c r="I128" i="1"/>
  <c r="L128" i="1" s="1"/>
  <c r="C128" i="1"/>
  <c r="AE127" i="1"/>
  <c r="AF127" i="1" s="1"/>
  <c r="AG127" i="1" s="1"/>
  <c r="Z127" i="1"/>
  <c r="AA127" i="1" s="1"/>
  <c r="I127" i="1"/>
  <c r="L127" i="1" s="1"/>
  <c r="C127" i="1"/>
  <c r="AE126" i="1"/>
  <c r="AF126" i="1" s="1"/>
  <c r="I126" i="1"/>
  <c r="L126" i="1" s="1"/>
  <c r="C126" i="1"/>
  <c r="AE125" i="1"/>
  <c r="AF125" i="1" s="1"/>
  <c r="I125" i="1"/>
  <c r="L125" i="1" s="1"/>
  <c r="C125" i="1"/>
  <c r="AE124" i="1"/>
  <c r="AF124" i="1" s="1"/>
  <c r="I124" i="1"/>
  <c r="L124" i="1" s="1"/>
  <c r="C124" i="1"/>
  <c r="AE123" i="1"/>
  <c r="AF123" i="1" s="1"/>
  <c r="I123" i="1"/>
  <c r="L123" i="1" s="1"/>
  <c r="C123" i="1"/>
  <c r="AE122" i="1"/>
  <c r="AF122" i="1" s="1"/>
  <c r="I122" i="1"/>
  <c r="L122" i="1" s="1"/>
  <c r="C122" i="1"/>
  <c r="AE121" i="1"/>
  <c r="AF121" i="1" s="1"/>
  <c r="I121" i="1"/>
  <c r="L121" i="1" s="1"/>
  <c r="C121" i="1"/>
  <c r="AE120" i="1"/>
  <c r="AF120" i="1" s="1"/>
  <c r="I120" i="1"/>
  <c r="L120" i="1" s="1"/>
  <c r="C120" i="1"/>
  <c r="AE119" i="1"/>
  <c r="AF119" i="1" s="1"/>
  <c r="I119" i="1"/>
  <c r="L119" i="1" s="1"/>
  <c r="C119" i="1"/>
  <c r="AE118" i="1"/>
  <c r="AF118" i="1" s="1"/>
  <c r="I118" i="1"/>
  <c r="L118" i="1" s="1"/>
  <c r="C118" i="1"/>
  <c r="AE117" i="1"/>
  <c r="AF117" i="1" s="1"/>
  <c r="I117" i="1"/>
  <c r="L117" i="1" s="1"/>
  <c r="C117" i="1"/>
  <c r="AE116" i="1"/>
  <c r="AF116" i="1" s="1"/>
  <c r="I116" i="1"/>
  <c r="L116" i="1" s="1"/>
  <c r="C116" i="1"/>
  <c r="AE115" i="1"/>
  <c r="AF115" i="1" s="1"/>
  <c r="I115" i="1"/>
  <c r="L115" i="1" s="1"/>
  <c r="C115" i="1"/>
  <c r="AE114" i="1"/>
  <c r="AF114" i="1" s="1"/>
  <c r="I114" i="1"/>
  <c r="L114" i="1" s="1"/>
  <c r="C114" i="1"/>
  <c r="AE113" i="1"/>
  <c r="AF113" i="1" s="1"/>
  <c r="I113" i="1"/>
  <c r="L113" i="1" s="1"/>
  <c r="C113" i="1"/>
  <c r="AE112" i="1"/>
  <c r="AF112" i="1" s="1"/>
  <c r="I112" i="1"/>
  <c r="L112" i="1" s="1"/>
  <c r="C112" i="1"/>
  <c r="AE111" i="1"/>
  <c r="AF111" i="1" s="1"/>
  <c r="I111" i="1"/>
  <c r="L111" i="1" s="1"/>
  <c r="C111" i="1"/>
  <c r="AE110" i="1"/>
  <c r="AF110" i="1" s="1"/>
  <c r="T110" i="1"/>
  <c r="T122" i="1" s="1"/>
  <c r="T134" i="1" s="1"/>
  <c r="I110" i="1"/>
  <c r="L110" i="1" s="1"/>
  <c r="C110" i="1"/>
  <c r="AE109" i="1"/>
  <c r="AF109" i="1" s="1"/>
  <c r="I109" i="1"/>
  <c r="L109" i="1" s="1"/>
  <c r="C109" i="1"/>
  <c r="AE108" i="1"/>
  <c r="AF108" i="1" s="1"/>
  <c r="I108" i="1"/>
  <c r="L108" i="1" s="1"/>
  <c r="C108" i="1"/>
  <c r="AE107" i="1"/>
  <c r="AF107" i="1" s="1"/>
  <c r="L107" i="1"/>
  <c r="I107" i="1"/>
  <c r="C107" i="1"/>
  <c r="AE106" i="1"/>
  <c r="AF106" i="1" s="1"/>
  <c r="I106" i="1"/>
  <c r="L106" i="1" s="1"/>
  <c r="C106" i="1"/>
  <c r="AE105" i="1"/>
  <c r="AF105" i="1" s="1"/>
  <c r="I105" i="1"/>
  <c r="L105" i="1" s="1"/>
  <c r="C105" i="1"/>
  <c r="AE104" i="1"/>
  <c r="AF104" i="1" s="1"/>
  <c r="I104" i="1"/>
  <c r="L104" i="1" s="1"/>
  <c r="C104" i="1"/>
  <c r="AE103" i="1"/>
  <c r="AF103" i="1" s="1"/>
  <c r="I103" i="1"/>
  <c r="L103" i="1" s="1"/>
  <c r="C103" i="1"/>
  <c r="AE102" i="1"/>
  <c r="AF102" i="1" s="1"/>
  <c r="I102" i="1"/>
  <c r="L102" i="1" s="1"/>
  <c r="C102" i="1"/>
  <c r="AE101" i="1"/>
  <c r="AF101" i="1" s="1"/>
  <c r="I101" i="1"/>
  <c r="L101" i="1" s="1"/>
  <c r="C101" i="1"/>
  <c r="AE100" i="1"/>
  <c r="AF100" i="1" s="1"/>
  <c r="I100" i="1"/>
  <c r="L100" i="1" s="1"/>
  <c r="C100" i="1"/>
  <c r="AE99" i="1"/>
  <c r="AF99" i="1" s="1"/>
  <c r="I99" i="1"/>
  <c r="L99" i="1" s="1"/>
  <c r="C99" i="1"/>
  <c r="AE98" i="1"/>
  <c r="AF98" i="1" s="1"/>
  <c r="I98" i="1"/>
  <c r="L98" i="1" s="1"/>
  <c r="C98" i="1"/>
  <c r="AE97" i="1"/>
  <c r="AF97" i="1" s="1"/>
  <c r="I97" i="1"/>
  <c r="L97" i="1" s="1"/>
  <c r="AE96" i="1"/>
  <c r="AF96" i="1" s="1"/>
  <c r="I96" i="1"/>
  <c r="L96" i="1" s="1"/>
  <c r="AE95" i="1"/>
  <c r="AF95" i="1" s="1"/>
  <c r="I95" i="1"/>
  <c r="L95" i="1" s="1"/>
  <c r="AE94" i="1"/>
  <c r="AF94" i="1" s="1"/>
  <c r="I94" i="1"/>
  <c r="L94" i="1" s="1"/>
  <c r="AE93" i="1"/>
  <c r="AF93" i="1" s="1"/>
  <c r="I93" i="1"/>
  <c r="L93" i="1" s="1"/>
  <c r="AE92" i="1"/>
  <c r="AF92" i="1" s="1"/>
  <c r="I92" i="1"/>
  <c r="L92" i="1" s="1"/>
  <c r="AE91" i="1"/>
  <c r="AF91" i="1" s="1"/>
  <c r="I91" i="1"/>
  <c r="L91" i="1" s="1"/>
  <c r="AE90" i="1"/>
  <c r="AF90" i="1" s="1"/>
  <c r="I90" i="1"/>
  <c r="L90" i="1" s="1"/>
  <c r="AE89" i="1"/>
  <c r="AF89" i="1" s="1"/>
  <c r="I89" i="1"/>
  <c r="L89" i="1" s="1"/>
  <c r="AF88" i="1"/>
  <c r="AE88" i="1"/>
  <c r="I88" i="1"/>
  <c r="L88" i="1" s="1"/>
  <c r="AE87" i="1"/>
  <c r="AF87" i="1" s="1"/>
  <c r="I87" i="1"/>
  <c r="L87" i="1" s="1"/>
  <c r="AE86" i="1"/>
  <c r="AF86" i="1" s="1"/>
  <c r="I86" i="1"/>
  <c r="L86" i="1" s="1"/>
  <c r="AE85" i="1"/>
  <c r="AF85" i="1" s="1"/>
  <c r="I85" i="1"/>
  <c r="L85" i="1" s="1"/>
  <c r="AE84" i="1"/>
  <c r="AF84" i="1" s="1"/>
  <c r="I84" i="1"/>
  <c r="L84" i="1" s="1"/>
  <c r="AE83" i="1"/>
  <c r="AF83" i="1" s="1"/>
  <c r="I83" i="1"/>
  <c r="L83" i="1" s="1"/>
  <c r="AE82" i="1"/>
  <c r="AF82" i="1" s="1"/>
  <c r="I82" i="1"/>
  <c r="L82" i="1" s="1"/>
  <c r="AE81" i="1"/>
  <c r="AF81" i="1" s="1"/>
  <c r="I81" i="1"/>
  <c r="L81" i="1" s="1"/>
  <c r="AE80" i="1"/>
  <c r="AF80" i="1" s="1"/>
  <c r="I80" i="1"/>
  <c r="L80" i="1" s="1"/>
  <c r="AE79" i="1"/>
  <c r="AF79" i="1" s="1"/>
  <c r="I79" i="1"/>
  <c r="L79" i="1" s="1"/>
  <c r="AE78" i="1"/>
  <c r="AF78" i="1" s="1"/>
  <c r="I78" i="1"/>
  <c r="L78" i="1" s="1"/>
  <c r="AE77" i="1"/>
  <c r="AF77" i="1" s="1"/>
  <c r="I77" i="1"/>
  <c r="L77" i="1" s="1"/>
  <c r="AE76" i="1"/>
  <c r="AF76" i="1" s="1"/>
  <c r="I76" i="1"/>
  <c r="L76" i="1" s="1"/>
  <c r="AE75" i="1"/>
  <c r="AF75" i="1" s="1"/>
  <c r="I75" i="1"/>
  <c r="L75" i="1" s="1"/>
  <c r="AE74" i="1"/>
  <c r="AF74" i="1" s="1"/>
  <c r="I74" i="1"/>
  <c r="L74" i="1" s="1"/>
  <c r="AE73" i="1"/>
  <c r="AF73" i="1" s="1"/>
  <c r="I73" i="1"/>
  <c r="L73" i="1" s="1"/>
  <c r="AE72" i="1"/>
  <c r="AF72" i="1" s="1"/>
  <c r="I72" i="1"/>
  <c r="L72" i="1" s="1"/>
  <c r="AE71" i="1"/>
  <c r="AF71" i="1" s="1"/>
  <c r="I71" i="1"/>
  <c r="L71" i="1" s="1"/>
  <c r="AE70" i="1"/>
  <c r="AF70" i="1" s="1"/>
  <c r="I70" i="1"/>
  <c r="L70" i="1" s="1"/>
  <c r="AE69" i="1"/>
  <c r="AF69" i="1" s="1"/>
  <c r="AE68" i="1"/>
  <c r="AF68" i="1" s="1"/>
  <c r="AE67" i="1"/>
  <c r="AF67" i="1" s="1"/>
  <c r="AE66" i="1"/>
  <c r="AF66" i="1" s="1"/>
  <c r="AE65" i="1"/>
  <c r="AF65" i="1" s="1"/>
  <c r="AE64" i="1"/>
  <c r="AF64" i="1" s="1"/>
  <c r="AE63" i="1"/>
  <c r="AF63" i="1" s="1"/>
  <c r="AE62" i="1"/>
  <c r="AF62" i="1" s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37" i="1"/>
  <c r="A36" i="1" s="1"/>
  <c r="A35" i="1" s="1"/>
  <c r="A34" i="1" s="1"/>
  <c r="A33" i="1" s="1"/>
  <c r="A32" i="1" s="1"/>
  <c r="A31" i="1" s="1"/>
  <c r="A30" i="1" s="1"/>
  <c r="A29" i="1" s="1"/>
  <c r="A28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N1" i="1"/>
  <c r="AM1" i="1"/>
  <c r="AL1" i="1"/>
  <c r="AH1" i="1"/>
  <c r="AG1" i="1"/>
  <c r="AF1" i="1"/>
  <c r="AE1" i="1"/>
  <c r="AD1" i="1"/>
  <c r="AC1" i="1"/>
  <c r="AA1" i="1"/>
  <c r="Z1" i="1"/>
  <c r="Y1" i="1"/>
  <c r="X1" i="1"/>
  <c r="W1" i="1"/>
  <c r="V1" i="1"/>
  <c r="Q1" i="1"/>
  <c r="P1" i="1"/>
  <c r="O1" i="1"/>
  <c r="M1" i="1"/>
  <c r="L1" i="1"/>
  <c r="K1" i="1"/>
  <c r="J1" i="1"/>
  <c r="I1" i="1"/>
  <c r="H1" i="1"/>
  <c r="F1" i="1"/>
  <c r="E1" i="1"/>
  <c r="D1" i="1"/>
  <c r="C1" i="1"/>
  <c r="B1" i="1"/>
  <c r="AB22" i="13" l="1"/>
  <c r="AB18" i="13"/>
  <c r="AB25" i="13"/>
  <c r="AB21" i="13"/>
  <c r="AB24" i="13"/>
  <c r="AB20" i="13"/>
  <c r="AB23" i="13"/>
  <c r="AB19" i="13"/>
  <c r="Z12" i="13"/>
  <c r="AA10" i="13"/>
  <c r="Z13" i="13"/>
  <c r="N13" i="13"/>
  <c r="O5" i="13"/>
  <c r="AH17" i="13"/>
  <c r="AE17" i="13"/>
  <c r="AE15" i="13" s="1"/>
  <c r="AH12" i="13"/>
  <c r="AH13" i="13"/>
  <c r="AI9" i="13"/>
  <c r="D13" i="13"/>
  <c r="F13" i="13"/>
  <c r="G5" i="13"/>
  <c r="D12" i="13"/>
  <c r="E6" i="13"/>
  <c r="Z17" i="13"/>
  <c r="Z15" i="13" s="1"/>
  <c r="AE12" i="13"/>
  <c r="AE13" i="13"/>
  <c r="O12" i="13"/>
  <c r="P6" i="13"/>
  <c r="AI23" i="13"/>
  <c r="AI19" i="13"/>
  <c r="AI22" i="13"/>
  <c r="AJ119" i="13"/>
  <c r="AI25" i="13"/>
  <c r="AI24" i="13"/>
  <c r="AI18" i="13"/>
  <c r="AI16" i="13" s="1"/>
  <c r="AH15" i="13"/>
  <c r="AG135" i="1"/>
  <c r="AG129" i="1"/>
  <c r="AG133" i="1"/>
  <c r="AG147" i="1"/>
  <c r="AG155" i="1"/>
  <c r="AA134" i="1"/>
  <c r="AA145" i="1"/>
  <c r="AH145" i="1" s="1"/>
  <c r="AG146" i="1"/>
  <c r="AH127" i="1"/>
  <c r="AG134" i="1"/>
  <c r="AH134" i="1" s="1"/>
  <c r="AG144" i="1"/>
  <c r="AH144" i="1" s="1"/>
  <c r="AG151" i="1"/>
  <c r="AA128" i="1"/>
  <c r="AA132" i="1"/>
  <c r="AA135" i="1"/>
  <c r="AH135" i="1" s="1"/>
  <c r="AG149" i="1"/>
  <c r="AG128" i="1"/>
  <c r="AA131" i="1"/>
  <c r="AG132" i="1"/>
  <c r="AH132" i="1" s="1"/>
  <c r="AA139" i="1"/>
  <c r="AA140" i="1"/>
  <c r="AA142" i="1"/>
  <c r="AA143" i="1"/>
  <c r="AG145" i="1"/>
  <c r="AA130" i="1"/>
  <c r="AG131" i="1"/>
  <c r="AH131" i="1" s="1"/>
  <c r="AG136" i="1"/>
  <c r="AH136" i="1" s="1"/>
  <c r="AA138" i="1"/>
  <c r="AG139" i="1"/>
  <c r="AH139" i="1" s="1"/>
  <c r="AG140" i="1"/>
  <c r="AA141" i="1"/>
  <c r="AH141" i="1" s="1"/>
  <c r="AG142" i="1"/>
  <c r="AG143" i="1"/>
  <c r="AG148" i="1"/>
  <c r="AG150" i="1"/>
  <c r="AA129" i="1"/>
  <c r="AH129" i="1" s="1"/>
  <c r="AG130" i="1"/>
  <c r="AH130" i="1" s="1"/>
  <c r="AA133" i="1"/>
  <c r="AG138" i="1"/>
  <c r="AG141" i="1"/>
  <c r="AA144" i="1"/>
  <c r="AH140" i="1"/>
  <c r="AH142" i="1"/>
  <c r="T146" i="1"/>
  <c r="AH138" i="1"/>
  <c r="AH143" i="1"/>
  <c r="AA238" i="1"/>
  <c r="AA233" i="1"/>
  <c r="AA218" i="1"/>
  <c r="AA166" i="1"/>
  <c r="AA162" i="1"/>
  <c r="AA158" i="1"/>
  <c r="AA157" i="1"/>
  <c r="AA181" i="1"/>
  <c r="AA169" i="1"/>
  <c r="AA168" i="1"/>
  <c r="AA164" i="1"/>
  <c r="AA160" i="1"/>
  <c r="AA155" i="1"/>
  <c r="AH155" i="1" s="1"/>
  <c r="AG165" i="1"/>
  <c r="AG167" i="1"/>
  <c r="AG172" i="1"/>
  <c r="AG173" i="1"/>
  <c r="AG174" i="1"/>
  <c r="AA175" i="1"/>
  <c r="AA176" i="1"/>
  <c r="AG179" i="1"/>
  <c r="AA137" i="1"/>
  <c r="AH137" i="1" s="1"/>
  <c r="AA147" i="1"/>
  <c r="AH147" i="1" s="1"/>
  <c r="AA149" i="1"/>
  <c r="AH149" i="1" s="1"/>
  <c r="AA151" i="1"/>
  <c r="AH151" i="1" s="1"/>
  <c r="AA152" i="1"/>
  <c r="AA153" i="1"/>
  <c r="AA154" i="1"/>
  <c r="AA156" i="1"/>
  <c r="AG157" i="1"/>
  <c r="AA159" i="1"/>
  <c r="AA161" i="1"/>
  <c r="AG162" i="1"/>
  <c r="AH162" i="1" s="1"/>
  <c r="AA170" i="1"/>
  <c r="AG175" i="1"/>
  <c r="AH175" i="1" s="1"/>
  <c r="AG176" i="1"/>
  <c r="AH176" i="1" s="1"/>
  <c r="AA178" i="1"/>
  <c r="AA180" i="1"/>
  <c r="AG156" i="1"/>
  <c r="AH156" i="1" s="1"/>
  <c r="AG158" i="1"/>
  <c r="AH158" i="1" s="1"/>
  <c r="AG159" i="1"/>
  <c r="AG161" i="1"/>
  <c r="AH161" i="1" s="1"/>
  <c r="AA163" i="1"/>
  <c r="AG164" i="1"/>
  <c r="AG168" i="1"/>
  <c r="AH168" i="1" s="1"/>
  <c r="AG170" i="1"/>
  <c r="AH170" i="1" s="1"/>
  <c r="AA171" i="1"/>
  <c r="AA177" i="1"/>
  <c r="AG178" i="1"/>
  <c r="AH178" i="1" s="1"/>
  <c r="AG180" i="1"/>
  <c r="AG239" i="1"/>
  <c r="AG237" i="1"/>
  <c r="AG233" i="1"/>
  <c r="AH233" i="1" s="1"/>
  <c r="AG230" i="1"/>
  <c r="AG217" i="1"/>
  <c r="AG215" i="1"/>
  <c r="AG200" i="1"/>
  <c r="AG198" i="1"/>
  <c r="AA146" i="1"/>
  <c r="AH146" i="1" s="1"/>
  <c r="AA148" i="1"/>
  <c r="AH148" i="1" s="1"/>
  <c r="AA150" i="1"/>
  <c r="AH150" i="1" s="1"/>
  <c r="AG152" i="1"/>
  <c r="AG153" i="1"/>
  <c r="AH153" i="1" s="1"/>
  <c r="AG154" i="1"/>
  <c r="AG160" i="1"/>
  <c r="AH160" i="1" s="1"/>
  <c r="AG163" i="1"/>
  <c r="AA165" i="1"/>
  <c r="AG166" i="1"/>
  <c r="AH166" i="1" s="1"/>
  <c r="AA167" i="1"/>
  <c r="AG169" i="1"/>
  <c r="AG171" i="1"/>
  <c r="AH171" i="1" s="1"/>
  <c r="AA172" i="1"/>
  <c r="AA173" i="1"/>
  <c r="AA174" i="1"/>
  <c r="AG177" i="1"/>
  <c r="AH177" i="1" s="1"/>
  <c r="AA179" i="1"/>
  <c r="AG181" i="1"/>
  <c r="AH181" i="1" s="1"/>
  <c r="AG182" i="1"/>
  <c r="AA182" i="1"/>
  <c r="AG184" i="1"/>
  <c r="AG185" i="1"/>
  <c r="AG186" i="1"/>
  <c r="AG187" i="1"/>
  <c r="AA189" i="1"/>
  <c r="AA190" i="1"/>
  <c r="AA199" i="1"/>
  <c r="AA183" i="1"/>
  <c r="AG188" i="1"/>
  <c r="AG194" i="1"/>
  <c r="AG195" i="1"/>
  <c r="AA196" i="1"/>
  <c r="AA197" i="1"/>
  <c r="AG183" i="1"/>
  <c r="AG189" i="1"/>
  <c r="AH189" i="1" s="1"/>
  <c r="AG190" i="1"/>
  <c r="AA191" i="1"/>
  <c r="AA192" i="1"/>
  <c r="AA193" i="1"/>
  <c r="AA184" i="1"/>
  <c r="AA185" i="1"/>
  <c r="AA186" i="1"/>
  <c r="AA187" i="1"/>
  <c r="AA188" i="1"/>
  <c r="AG191" i="1"/>
  <c r="AG192" i="1"/>
  <c r="AH192" i="1" s="1"/>
  <c r="AG193" i="1"/>
  <c r="AA194" i="1"/>
  <c r="AA195" i="1"/>
  <c r="AG196" i="1"/>
  <c r="AH196" i="1" s="1"/>
  <c r="AG197" i="1"/>
  <c r="AH197" i="1" s="1"/>
  <c r="AG201" i="1"/>
  <c r="AA202" i="1"/>
  <c r="AG203" i="1"/>
  <c r="AA204" i="1"/>
  <c r="AG206" i="1"/>
  <c r="AA208" i="1"/>
  <c r="AA211" i="1"/>
  <c r="AG213" i="1"/>
  <c r="AG214" i="1"/>
  <c r="AG202" i="1"/>
  <c r="AG204" i="1"/>
  <c r="AA205" i="1"/>
  <c r="AA210" i="1"/>
  <c r="AG211" i="1"/>
  <c r="AA212" i="1"/>
  <c r="AA220" i="1"/>
  <c r="AG199" i="1"/>
  <c r="AH199" i="1" s="1"/>
  <c r="AA201" i="1"/>
  <c r="AA203" i="1"/>
  <c r="AA206" i="1"/>
  <c r="AA207" i="1"/>
  <c r="AG208" i="1"/>
  <c r="AH208" i="1" s="1"/>
  <c r="AA209" i="1"/>
  <c r="AA214" i="1"/>
  <c r="AA219" i="1"/>
  <c r="AA198" i="1"/>
  <c r="AA200" i="1"/>
  <c r="AG205" i="1"/>
  <c r="AH205" i="1" s="1"/>
  <c r="AG207" i="1"/>
  <c r="AG209" i="1"/>
  <c r="AG210" i="1"/>
  <c r="AG212" i="1"/>
  <c r="AA213" i="1"/>
  <c r="AG216" i="1"/>
  <c r="AG227" i="1"/>
  <c r="AA217" i="1"/>
  <c r="AG221" i="1"/>
  <c r="AA222" i="1"/>
  <c r="AG223" i="1"/>
  <c r="AG224" i="1"/>
  <c r="AG225" i="1"/>
  <c r="AG226" i="1"/>
  <c r="AA216" i="1"/>
  <c r="AG219" i="1"/>
  <c r="AG220" i="1"/>
  <c r="AH220" i="1" s="1"/>
  <c r="AA227" i="1"/>
  <c r="AA228" i="1"/>
  <c r="AA229" i="1"/>
  <c r="AA215" i="1"/>
  <c r="AG218" i="1"/>
  <c r="AH218" i="1" s="1"/>
  <c r="AA221" i="1"/>
  <c r="AG222" i="1"/>
  <c r="AA223" i="1"/>
  <c r="AA224" i="1"/>
  <c r="AA225" i="1"/>
  <c r="AA226" i="1"/>
  <c r="AG228" i="1"/>
  <c r="AG229" i="1"/>
  <c r="AA231" i="1"/>
  <c r="AA230" i="1"/>
  <c r="AA234" i="1"/>
  <c r="AG235" i="1"/>
  <c r="AG231" i="1"/>
  <c r="AA232" i="1"/>
  <c r="AG234" i="1"/>
  <c r="AH234" i="1" s="1"/>
  <c r="AA236" i="1"/>
  <c r="AG232" i="1"/>
  <c r="AH232" i="1" s="1"/>
  <c r="AA235" i="1"/>
  <c r="AG236" i="1"/>
  <c r="AG240" i="1"/>
  <c r="AG241" i="1"/>
  <c r="AG244" i="1"/>
  <c r="AA245" i="1"/>
  <c r="AA237" i="1"/>
  <c r="AA239" i="1"/>
  <c r="AA242" i="1"/>
  <c r="AG243" i="1"/>
  <c r="AG245" i="1"/>
  <c r="AA240" i="1"/>
  <c r="AG238" i="1"/>
  <c r="AH238" i="1" s="1"/>
  <c r="AA241" i="1"/>
  <c r="AG242" i="1"/>
  <c r="AA243" i="1"/>
  <c r="AA244" i="1"/>
  <c r="AA246" i="1"/>
  <c r="AG248" i="1"/>
  <c r="AA247" i="1"/>
  <c r="AG246" i="1"/>
  <c r="AG247" i="1"/>
  <c r="AA248" i="1"/>
  <c r="AI12" i="13" l="1"/>
  <c r="AI13" i="13"/>
  <c r="AJ9" i="13"/>
  <c r="AA13" i="13"/>
  <c r="AA12" i="13"/>
  <c r="AB10" i="13"/>
  <c r="AB16" i="13"/>
  <c r="O13" i="13"/>
  <c r="P5" i="13"/>
  <c r="AB17" i="13"/>
  <c r="G13" i="13"/>
  <c r="H5" i="13"/>
  <c r="AJ22" i="13"/>
  <c r="AJ18" i="13"/>
  <c r="AJ25" i="13"/>
  <c r="AJ24" i="13"/>
  <c r="AJ23" i="13"/>
  <c r="AJ19" i="13"/>
  <c r="P12" i="13"/>
  <c r="Q6" i="13"/>
  <c r="AI17" i="13"/>
  <c r="AI15" i="13" s="1"/>
  <c r="E12" i="13"/>
  <c r="F6" i="13"/>
  <c r="AH247" i="1"/>
  <c r="AH243" i="1"/>
  <c r="AH225" i="1"/>
  <c r="AH246" i="1"/>
  <c r="AH212" i="1"/>
  <c r="AH213" i="1"/>
  <c r="AH169" i="1"/>
  <c r="AH157" i="1"/>
  <c r="AH223" i="1"/>
  <c r="AH209" i="1"/>
  <c r="AH164" i="1"/>
  <c r="AH133" i="1"/>
  <c r="AH228" i="1"/>
  <c r="AH221" i="1"/>
  <c r="AH193" i="1"/>
  <c r="AH190" i="1"/>
  <c r="AH183" i="1"/>
  <c r="AH154" i="1"/>
  <c r="AH128" i="1"/>
  <c r="AH245" i="1"/>
  <c r="AH219" i="1"/>
  <c r="AH194" i="1"/>
  <c r="AH159" i="1"/>
  <c r="AH203" i="1"/>
  <c r="AH248" i="1"/>
  <c r="AH240" i="1"/>
  <c r="AH241" i="1"/>
  <c r="AH236" i="1"/>
  <c r="AH231" i="1"/>
  <c r="AH229" i="1"/>
  <c r="AH222" i="1"/>
  <c r="AH224" i="1"/>
  <c r="AH210" i="1"/>
  <c r="AH211" i="1"/>
  <c r="AH214" i="1"/>
  <c r="AH191" i="1"/>
  <c r="AH195" i="1"/>
  <c r="AH187" i="1"/>
  <c r="AH185" i="1"/>
  <c r="AH152" i="1"/>
  <c r="AH198" i="1"/>
  <c r="AH230" i="1"/>
  <c r="AH179" i="1"/>
  <c r="AH173" i="1"/>
  <c r="AH244" i="1"/>
  <c r="AH206" i="1"/>
  <c r="AH188" i="1"/>
  <c r="AH186" i="1"/>
  <c r="AH184" i="1"/>
  <c r="AH200" i="1"/>
  <c r="AH165" i="1"/>
  <c r="AH242" i="1"/>
  <c r="AH235" i="1"/>
  <c r="AH226" i="1"/>
  <c r="AH216" i="1"/>
  <c r="AH207" i="1"/>
  <c r="AH202" i="1"/>
  <c r="AH201" i="1"/>
  <c r="AH182" i="1"/>
  <c r="AH163" i="1"/>
  <c r="AH215" i="1"/>
  <c r="AH237" i="1"/>
  <c r="AH180" i="1"/>
  <c r="AH172" i="1"/>
  <c r="AH227" i="1"/>
  <c r="AH204" i="1"/>
  <c r="AH217" i="1"/>
  <c r="AH239" i="1"/>
  <c r="AH174" i="1"/>
  <c r="AH167" i="1"/>
  <c r="T158" i="1"/>
  <c r="H13" i="13" l="1"/>
  <c r="I5" i="13"/>
  <c r="F12" i="13"/>
  <c r="G6" i="13"/>
  <c r="R6" i="13"/>
  <c r="Q12" i="13"/>
  <c r="AB15" i="13"/>
  <c r="AJ12" i="13"/>
  <c r="AJ13" i="13"/>
  <c r="AJ16" i="13"/>
  <c r="AJ15" i="13" s="1"/>
  <c r="AB13" i="13"/>
  <c r="AB12" i="13"/>
  <c r="AJ17" i="13"/>
  <c r="Q5" i="13"/>
  <c r="P13" i="13"/>
  <c r="T170" i="1"/>
  <c r="G12" i="13" l="1"/>
  <c r="H6" i="13"/>
  <c r="Q13" i="13"/>
  <c r="R5" i="13"/>
  <c r="R12" i="13"/>
  <c r="S6" i="13"/>
  <c r="I13" i="13"/>
  <c r="J5" i="13"/>
  <c r="T182" i="1"/>
  <c r="H12" i="13" l="1"/>
  <c r="I6" i="13"/>
  <c r="J13" i="13"/>
  <c r="K5" i="13"/>
  <c r="K13" i="13" s="1"/>
  <c r="R13" i="13"/>
  <c r="S5" i="13"/>
  <c r="T6" i="13"/>
  <c r="S12" i="13"/>
  <c r="T194" i="1"/>
  <c r="T12" i="13" l="1"/>
  <c r="U6" i="13"/>
  <c r="S13" i="13"/>
  <c r="T5" i="13"/>
  <c r="I12" i="13"/>
  <c r="J6" i="13"/>
  <c r="T206" i="1"/>
  <c r="U5" i="13" l="1"/>
  <c r="T13" i="13"/>
  <c r="J12" i="13"/>
  <c r="K6" i="13"/>
  <c r="K12" i="13" s="1"/>
  <c r="V6" i="13"/>
  <c r="U12" i="13"/>
  <c r="T218" i="1"/>
  <c r="U13" i="13" l="1"/>
  <c r="V5" i="13"/>
  <c r="V12" i="13"/>
  <c r="V14" i="13" s="1"/>
  <c r="W6" i="13"/>
  <c r="W12" i="13" s="1"/>
  <c r="T230" i="1"/>
  <c r="T242" i="1" s="1"/>
  <c r="T254" i="1" s="1"/>
  <c r="T266" i="1" s="1"/>
  <c r="T278" i="1" s="1"/>
  <c r="T290" i="1" s="1"/>
  <c r="T302" i="1" s="1"/>
  <c r="T314" i="1" s="1"/>
  <c r="T326" i="1" s="1"/>
  <c r="T338" i="1" s="1"/>
  <c r="T350" i="1" s="1"/>
  <c r="T362" i="1" s="1"/>
  <c r="T374" i="1" s="1"/>
  <c r="T386" i="1" s="1"/>
  <c r="T398" i="1" s="1"/>
  <c r="T410" i="1" s="1"/>
  <c r="T422" i="1" s="1"/>
  <c r="T434" i="1" s="1"/>
  <c r="T446" i="1" s="1"/>
  <c r="T458" i="1" s="1"/>
  <c r="T470" i="1" s="1"/>
  <c r="T482" i="1" s="1"/>
  <c r="T494" i="1" s="1"/>
  <c r="T506" i="1" s="1"/>
  <c r="T518" i="1" s="1"/>
  <c r="T530" i="1" s="1"/>
  <c r="T542" i="1" s="1"/>
  <c r="T554" i="1" s="1"/>
  <c r="T566" i="1" s="1"/>
  <c r="T578" i="1" s="1"/>
  <c r="T590" i="1" s="1"/>
  <c r="T602" i="1" s="1"/>
  <c r="T614" i="1" s="1"/>
  <c r="T626" i="1" s="1"/>
  <c r="T638" i="1" s="1"/>
  <c r="T650" i="1" s="1"/>
  <c r="T662" i="1" s="1"/>
  <c r="T674" i="1" s="1"/>
  <c r="T686" i="1" s="1"/>
  <c r="T698" i="1" s="1"/>
  <c r="T710" i="1" s="1"/>
  <c r="T722" i="1" s="1"/>
  <c r="T734" i="1" s="1"/>
  <c r="T746" i="1" s="1"/>
  <c r="T758" i="1" s="1"/>
  <c r="T770" i="1" s="1"/>
  <c r="T782" i="1" s="1"/>
  <c r="T794" i="1" s="1"/>
  <c r="T806" i="1" s="1"/>
  <c r="T818" i="1" s="1"/>
  <c r="T830" i="1" s="1"/>
  <c r="T842" i="1" s="1"/>
  <c r="T854" i="1" s="1"/>
  <c r="T866" i="1" s="1"/>
  <c r="T878" i="1" s="1"/>
  <c r="T890" i="1" s="1"/>
  <c r="T902" i="1" s="1"/>
  <c r="T914" i="1" s="1"/>
  <c r="T926" i="1" s="1"/>
  <c r="T938" i="1" s="1"/>
  <c r="T950" i="1" s="1"/>
  <c r="T962" i="1" s="1"/>
  <c r="T974" i="1" s="1"/>
  <c r="T986" i="1" s="1"/>
  <c r="T998" i="1" s="1"/>
  <c r="T1010" i="1" s="1"/>
  <c r="T1022" i="1" s="1"/>
  <c r="T1034" i="1" s="1"/>
  <c r="T1046" i="1" s="1"/>
  <c r="T1058" i="1" s="1"/>
  <c r="T1070" i="1" s="1"/>
  <c r="T1082" i="1" s="1"/>
  <c r="T1094" i="1" s="1"/>
  <c r="T1106" i="1" s="1"/>
  <c r="T1118" i="1" s="1"/>
  <c r="T1130" i="1" s="1"/>
  <c r="T1142" i="1" s="1"/>
  <c r="T1154" i="1" s="1"/>
  <c r="T1166" i="1" s="1"/>
  <c r="T1178" i="1" s="1"/>
  <c r="T1190" i="1" s="1"/>
  <c r="T1202" i="1" s="1"/>
  <c r="T1214" i="1" s="1"/>
  <c r="T1226" i="1" s="1"/>
  <c r="T1238" i="1" s="1"/>
  <c r="T1250" i="1" s="1"/>
  <c r="T1262" i="1" s="1"/>
  <c r="T1274" i="1" s="1"/>
  <c r="T1286" i="1" s="1"/>
  <c r="T1298" i="1" s="1"/>
  <c r="T1310" i="1" s="1"/>
  <c r="T1322" i="1" s="1"/>
  <c r="T1334" i="1" s="1"/>
  <c r="T1346" i="1" s="1"/>
  <c r="T1358" i="1" s="1"/>
  <c r="T1370" i="1" s="1"/>
  <c r="T1382" i="1" s="1"/>
  <c r="T1394" i="1" s="1"/>
  <c r="T1406" i="1" s="1"/>
  <c r="T1418" i="1" s="1"/>
  <c r="T1430" i="1" s="1"/>
  <c r="T1442" i="1" s="1"/>
  <c r="T1454" i="1" s="1"/>
  <c r="T1466" i="1" s="1"/>
  <c r="T1478" i="1" s="1"/>
  <c r="T1490" i="1" s="1"/>
  <c r="T1502" i="1" s="1"/>
  <c r="T1514" i="1" s="1"/>
  <c r="T1526" i="1" s="1"/>
  <c r="T1538" i="1" s="1"/>
  <c r="T1550" i="1" s="1"/>
  <c r="T1562" i="1" s="1"/>
  <c r="T1574" i="1" s="1"/>
  <c r="T1586" i="1" s="1"/>
  <c r="T1598" i="1" s="1"/>
  <c r="T1610" i="1" s="1"/>
  <c r="T1622" i="1" s="1"/>
  <c r="T1634" i="1" s="1"/>
  <c r="T1646" i="1" s="1"/>
  <c r="T1658" i="1" s="1"/>
  <c r="T1670" i="1" s="1"/>
  <c r="T1682" i="1" s="1"/>
  <c r="T1694" i="1" s="1"/>
  <c r="T1706" i="1" s="1"/>
  <c r="T1718" i="1" s="1"/>
  <c r="T1730" i="1" s="1"/>
  <c r="T1742" i="1" s="1"/>
  <c r="T1754" i="1" s="1"/>
  <c r="T1766" i="1" s="1"/>
  <c r="T1778" i="1" s="1"/>
  <c r="T1790" i="1" s="1"/>
  <c r="T1802" i="1" s="1"/>
  <c r="T1814" i="1" s="1"/>
  <c r="T1826" i="1" s="1"/>
  <c r="T1838" i="1" s="1"/>
  <c r="T1850" i="1" s="1"/>
  <c r="T1862" i="1" s="1"/>
  <c r="T1874" i="1" s="1"/>
  <c r="T1886" i="1" s="1"/>
  <c r="T1898" i="1" s="1"/>
  <c r="T1910" i="1" s="1"/>
  <c r="T1922" i="1" s="1"/>
  <c r="T1934" i="1" s="1"/>
  <c r="T1946" i="1" s="1"/>
  <c r="T1958" i="1" s="1"/>
  <c r="T1970" i="1" s="1"/>
  <c r="T1982" i="1" s="1"/>
  <c r="T1994" i="1" s="1"/>
  <c r="T2006" i="1" s="1"/>
  <c r="T2018" i="1" s="1"/>
  <c r="T2030" i="1" s="1"/>
  <c r="T2042" i="1" s="1"/>
  <c r="T2054" i="1" s="1"/>
  <c r="T2066" i="1" s="1"/>
  <c r="T2078" i="1" s="1"/>
  <c r="T2090" i="1" s="1"/>
  <c r="T2102" i="1" s="1"/>
  <c r="T2114" i="1" s="1"/>
  <c r="T2126" i="1" s="1"/>
  <c r="T2138" i="1" s="1"/>
  <c r="T2150" i="1" s="1"/>
  <c r="V13" i="13" l="1"/>
  <c r="W5" i="13"/>
  <c r="W13" i="13" s="1"/>
</calcChain>
</file>

<file path=xl/comments1.xml><?xml version="1.0" encoding="utf-8"?>
<comments xmlns="http://schemas.openxmlformats.org/spreadsheetml/2006/main">
  <authors>
    <author>Anwar Shaikh</author>
  </authors>
  <commentList>
    <comment ref="A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  <comment ref="AD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For 1780-1785, from Sahr, http://oregonstate.edu/cla/polisci/download-conversion-factors</t>
        </r>
      </text>
    </comment>
    <comment ref="X24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extended from 2009 using realgdp per capita 2010 to 2009</t>
        </r>
      </text>
    </comment>
  </commentList>
</comments>
</file>

<file path=xl/comments2.xml><?xml version="1.0" encoding="utf-8"?>
<comments xmlns="http://schemas.openxmlformats.org/spreadsheetml/2006/main">
  <authors>
    <author>Anwar Shaikh</author>
  </authors>
  <commentList>
    <comment ref="A12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Not including subregion "12 Western European"</t>
        </r>
      </text>
    </comment>
    <comment ref="A13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Including subregion "12 Western European"</t>
        </r>
      </text>
    </comment>
    <comment ref="AK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L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M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N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O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P18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L20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excludes venezuela in 1970
</t>
        </r>
      </text>
    </comment>
  </commentList>
</comments>
</file>

<file path=xl/sharedStrings.xml><?xml version="1.0" encoding="utf-8"?>
<sst xmlns="http://schemas.openxmlformats.org/spreadsheetml/2006/main" count="1982" uniqueCount="439">
  <si>
    <t>rulcmfgHP</t>
  </si>
  <si>
    <t>A. Shaikh  USpatterns1book.xls</t>
  </si>
  <si>
    <t xml:space="preserve">INDUSTRIAL PRODUCTION, U.S.: 1860- present </t>
  </si>
  <si>
    <t>REAL INVESTMENT, US: 1832-present</t>
  </si>
  <si>
    <t>GDP PER CAPITA, US: 1889-present</t>
  </si>
  <si>
    <t>BUSINESS CYCLES, US: 1790-present</t>
  </si>
  <si>
    <t>MFG PRODUCTIVITY AND REAL WAGES: 1889-present</t>
  </si>
  <si>
    <t>1860-1959 from Long Term Eco Growth, US BEA, TA15, p. 185</t>
  </si>
  <si>
    <t>From Turning Points in Business Cycles, by</t>
  </si>
  <si>
    <t>Mfg Productivity</t>
  </si>
  <si>
    <t>Mfg Production Worker Real Compensation</t>
  </si>
  <si>
    <t>UNEMPLOYMENT: 1890-present</t>
  </si>
  <si>
    <t>1919-2010 from FRB, G-17, Industrial Production Index, All</t>
  </si>
  <si>
    <t>Source: US Bureau of Economic Analysis</t>
  </si>
  <si>
    <t xml:space="preserve">1790-2010: Measuring Worth.com: </t>
  </si>
  <si>
    <t>Leonard P. Ayres, MacMillan Co., NY 1939</t>
  </si>
  <si>
    <t>Long Term</t>
  </si>
  <si>
    <t>BLS</t>
  </si>
  <si>
    <t>Prdctn wkr comp/hr and CPI, 1790-2010</t>
  </si>
  <si>
    <t>Both series are re-indexed to 1958=100 and joined at 1919</t>
  </si>
  <si>
    <t>1832-1975: Fixd Reprod Tangible Wlth of the United States, 1925-75: Table B4, pp. 343-344, Invest in Fixed Nonres bus capital, equip&amp;structures</t>
  </si>
  <si>
    <t>http://measuringworth.com/usgdp/#</t>
  </si>
  <si>
    <t xml:space="preserve">Appendix A, Table 9: Index of Bus Activity, Cleveland Trust Co., </t>
  </si>
  <si>
    <t>Eco Growth</t>
  </si>
  <si>
    <t>International Data</t>
  </si>
  <si>
    <t xml:space="preserve">both from: Measuring Worth.com: </t>
  </si>
  <si>
    <t>US BEA</t>
  </si>
  <si>
    <t>FRB</t>
  </si>
  <si>
    <t>1901-2010: BEA Wealth Table 4.8, line 1 (Investment in Fixed Nonres capital), accessed 9/2/2011</t>
  </si>
  <si>
    <t xml:space="preserve">SEE attached sheet "GDPpercapSources" </t>
  </si>
  <si>
    <t xml:space="preserve">fluctuations above and below normal of ten annual series, which  </t>
  </si>
  <si>
    <t>1860-1970</t>
  </si>
  <si>
    <t xml:space="preserve">Each was indexed to 1901=100, spliced at 1901, and then re-indexed to 1958=100 </t>
  </si>
  <si>
    <t>for Sources and Methods listed on that website</t>
  </si>
  <si>
    <t>were then interpolated to monthly data using various monthly series (Appendix C, pp. 204-5).</t>
  </si>
  <si>
    <t>Wash 1973</t>
  </si>
  <si>
    <t>1958=100</t>
  </si>
  <si>
    <t>Data Down Load Program</t>
  </si>
  <si>
    <t>SKIPPED MY OWN ATTEMPT TO EXTEND AYRES SINCE IT YIELDS ODD RESULTS</t>
  </si>
  <si>
    <t>A173, p.211</t>
  </si>
  <si>
    <t>http://www.bls.gov/fls/#productivity</t>
  </si>
  <si>
    <t>1860-1970, B1&amp;B2, p.213</t>
  </si>
  <si>
    <t>Eco Rep Pres</t>
  </si>
  <si>
    <t>Wash 1973: A15, p.185</t>
  </si>
  <si>
    <t>Industrial Production: All</t>
  </si>
  <si>
    <t>Real Investment</t>
  </si>
  <si>
    <t>(1958=100)</t>
  </si>
  <si>
    <t>(2002 = 100)</t>
  </si>
  <si>
    <t>spliced at 1929</t>
  </si>
  <si>
    <t>web site</t>
  </si>
  <si>
    <t>1860-1959</t>
  </si>
  <si>
    <t>1919-2011</t>
  </si>
  <si>
    <t>Spliced at 1919: HS series 1860-1918, FRB series 1919-2010</t>
  </si>
  <si>
    <t>old series</t>
  </si>
  <si>
    <t>BEA Wealth Table 4.8, line 1</t>
  </si>
  <si>
    <t>NBER, Kendrick</t>
  </si>
  <si>
    <t>Table 1. Output per hour in manufacturing, 19 countries or areas, 1950-2009</t>
  </si>
  <si>
    <t xml:space="preserve">Measuring Worth.com: </t>
  </si>
  <si>
    <t xml:space="preserve">For 1780-1785, from Sahr, http://oregonstate.edu/cla/polisci/download-conversion-factors and for 1786-2010 from Measuring Worth.com: </t>
  </si>
  <si>
    <t>(overlap 1929-39</t>
  </si>
  <si>
    <t>B-40 (b040.wk1)</t>
  </si>
  <si>
    <t>(1913=100)</t>
  </si>
  <si>
    <t>Reindexed '58=100</t>
  </si>
  <si>
    <t>(2007=100)</t>
  </si>
  <si>
    <t>reindexed</t>
  </si>
  <si>
    <t>Dollars</t>
  </si>
  <si>
    <t>Mfg output per</t>
  </si>
  <si>
    <t>Reindexed 1958 = 100</t>
  </si>
  <si>
    <t>Spliced from Mffprd1 and 2A with former rescaled to match latter in 1950</t>
  </si>
  <si>
    <t>RESCALED FOR GRAPH</t>
  </si>
  <si>
    <t>US EC per hr, Mfg Prod wrkrs</t>
  </si>
  <si>
    <t>STARTED IN 1889</t>
  </si>
  <si>
    <t>is very good)</t>
  </si>
  <si>
    <t>All civilian</t>
  </si>
  <si>
    <t>Spliced, same</t>
  </si>
  <si>
    <t>1970-$</t>
  </si>
  <si>
    <t>1901=100</t>
  </si>
  <si>
    <t>2007=100</t>
  </si>
  <si>
    <t>(2005-$)</t>
  </si>
  <si>
    <t>SEE BELOW</t>
  </si>
  <si>
    <t>man-hour</t>
  </si>
  <si>
    <t>1889=100</t>
  </si>
  <si>
    <t>1982-84 = 100</t>
  </si>
  <si>
    <t>1958-$</t>
  </si>
  <si>
    <t>workers</t>
  </si>
  <si>
    <t>in overlap</t>
  </si>
  <si>
    <t>IndProdHS</t>
  </si>
  <si>
    <t>IndProdHS1</t>
  </si>
  <si>
    <t>IndProdFRB</t>
  </si>
  <si>
    <t>IndProdFRB1</t>
  </si>
  <si>
    <t>IndProd</t>
  </si>
  <si>
    <t>RealInvest0</t>
  </si>
  <si>
    <t>RealInvest1</t>
  </si>
  <si>
    <t>RealInvestindex2</t>
  </si>
  <si>
    <t>Realinvestre-index2</t>
  </si>
  <si>
    <t>Invindxspliced</t>
  </si>
  <si>
    <t>InvestIndex</t>
  </si>
  <si>
    <t>Year</t>
  </si>
  <si>
    <t>Nominal GDP per capita</t>
  </si>
  <si>
    <t>Real GDP per capita</t>
  </si>
  <si>
    <t>Date</t>
  </si>
  <si>
    <t>AyresCycle</t>
  </si>
  <si>
    <t>MfgPrdtvty1</t>
  </si>
  <si>
    <t>Mfgprdvty2</t>
  </si>
  <si>
    <t>Mfgprdvty2A</t>
  </si>
  <si>
    <t>Mfgprdvtyall</t>
  </si>
  <si>
    <t>Mfgprdvty</t>
  </si>
  <si>
    <t>MfgProdwkrEC</t>
  </si>
  <si>
    <t>US CPI</t>
  </si>
  <si>
    <t>CPI1</t>
  </si>
  <si>
    <t>mfgprdwkrecreal</t>
  </si>
  <si>
    <t>mfgprdwkrecrealindex</t>
  </si>
  <si>
    <t>Mfgrealunitlaborcost</t>
  </si>
  <si>
    <t>TotUnempl1</t>
  </si>
  <si>
    <t>TotUnempl2</t>
  </si>
  <si>
    <t>TotUnempl</t>
  </si>
  <si>
    <t>Jan-1831</t>
  </si>
  <si>
    <t>Feb</t>
  </si>
  <si>
    <t>Mar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</si>
  <si>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</si>
  <si>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</si>
  <si>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</si>
  <si>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</si>
  <si>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</si>
  <si>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</si>
  <si>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</si>
  <si>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</si>
  <si>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</si>
  <si>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Jan-1832</t>
  </si>
  <si>
    <t>Jan-1833</t>
  </si>
  <si>
    <t>Jan-1834</t>
  </si>
  <si>
    <t>Jan-1835</t>
  </si>
  <si>
    <t>Jan-1836</t>
  </si>
  <si>
    <t>Jan-1837</t>
  </si>
  <si>
    <t>Jan-1838</t>
  </si>
  <si>
    <t>Jan-1839</t>
  </si>
  <si>
    <t>Jan-1840</t>
  </si>
  <si>
    <t>Jan-1841</t>
  </si>
  <si>
    <t>Jan-1842</t>
  </si>
  <si>
    <t>Jan-1843</t>
  </si>
  <si>
    <t>Jan-1844</t>
  </si>
  <si>
    <t>Jan-1845</t>
  </si>
  <si>
    <t>Jan-1846</t>
  </si>
  <si>
    <t>Jan-1847</t>
  </si>
  <si>
    <t>Jan-1848</t>
  </si>
  <si>
    <t>Jan-1849</t>
  </si>
  <si>
    <t>Jan-1850</t>
  </si>
  <si>
    <t>Jan-1851</t>
  </si>
  <si>
    <t>Jan-1852</t>
  </si>
  <si>
    <t>Jan-1853</t>
  </si>
  <si>
    <t>Jan-1854</t>
  </si>
  <si>
    <t>Jan-1855</t>
  </si>
  <si>
    <t>Jan-1856</t>
  </si>
  <si>
    <t>Jan-1857</t>
  </si>
  <si>
    <t>Jan-1858</t>
  </si>
  <si>
    <t>Jan-1859</t>
  </si>
  <si>
    <t>Jan-1860</t>
  </si>
  <si>
    <t>Jan-1861</t>
  </si>
  <si>
    <t>Jan-1862</t>
  </si>
  <si>
    <t>Jan-1863</t>
  </si>
  <si>
    <t>Jan-1864</t>
  </si>
  <si>
    <t>Jan-1865</t>
  </si>
  <si>
    <t>Jan-1866</t>
  </si>
  <si>
    <t>Jan-1867</t>
  </si>
  <si>
    <t>Jan-1868</t>
  </si>
  <si>
    <t>Jan-1869</t>
  </si>
  <si>
    <t>Jan-1870</t>
  </si>
  <si>
    <t>Jan-1871</t>
  </si>
  <si>
    <t>Jan-1872</t>
  </si>
  <si>
    <t>Jan-1873</t>
  </si>
  <si>
    <t>Jan-1874</t>
  </si>
  <si>
    <t>Jan-1875</t>
  </si>
  <si>
    <t>Jan-1876</t>
  </si>
  <si>
    <t>Jan-1877</t>
  </si>
  <si>
    <t>Jan-1878</t>
  </si>
  <si>
    <t>Jan-1879</t>
  </si>
  <si>
    <t>Jan-1880</t>
  </si>
  <si>
    <t>Jan-1881</t>
  </si>
  <si>
    <t>Jan-1882</t>
  </si>
  <si>
    <t>Jan-1883</t>
  </si>
  <si>
    <t>Jan-1884</t>
  </si>
  <si>
    <t>Jan-1885</t>
  </si>
  <si>
    <t>Jan-1886</t>
  </si>
  <si>
    <t>Jan-1887</t>
  </si>
  <si>
    <t>Jan-1888</t>
  </si>
  <si>
    <t>Jan-1889</t>
  </si>
  <si>
    <t>Jan-1890</t>
  </si>
  <si>
    <t>Jan-1891</t>
  </si>
  <si>
    <t>Jan-1892</t>
  </si>
  <si>
    <t>Jan-1893</t>
  </si>
  <si>
    <t>Jan-1894</t>
  </si>
  <si>
    <t>Jan-1895</t>
  </si>
  <si>
    <t>Jan-1896</t>
  </si>
  <si>
    <t>Jan-1897</t>
  </si>
  <si>
    <t>Jan-1898</t>
  </si>
  <si>
    <t>Jan-1899</t>
  </si>
  <si>
    <t>Figures 2.8-2.13 are derived from charts that appear elsewhere in the book, and hence from the corresponding data</t>
  </si>
  <si>
    <t>Figure</t>
  </si>
  <si>
    <t>Source Chart</t>
  </si>
  <si>
    <t>Source page</t>
  </si>
  <si>
    <t xml:space="preserve"> Figure 2.8</t>
  </si>
  <si>
    <t xml:space="preserve"> Figure 2.9</t>
  </si>
  <si>
    <t>Figure 2.10</t>
  </si>
  <si>
    <t>Figure 5.4</t>
  </si>
  <si>
    <t>Figure 5.3</t>
  </si>
  <si>
    <t>Figure 16.1</t>
  </si>
  <si>
    <t>Figure 2.11</t>
  </si>
  <si>
    <t>Figure 6.1</t>
  </si>
  <si>
    <t>Further information</t>
  </si>
  <si>
    <t>rcorp</t>
  </si>
  <si>
    <t>(or Figure 16.4)</t>
  </si>
  <si>
    <t xml:space="preserve"> (732)</t>
  </si>
  <si>
    <t>(or Figure 624)</t>
  </si>
  <si>
    <t xml:space="preserve"> (249)</t>
  </si>
  <si>
    <t>(rcorp)</t>
  </si>
  <si>
    <t>(Actual Corporate Profit Rate)</t>
  </si>
  <si>
    <t>Figure 2.12</t>
  </si>
  <si>
    <t>Figure 17.14</t>
  </si>
  <si>
    <t>top chart</t>
  </si>
  <si>
    <t>Figure 2.13</t>
  </si>
  <si>
    <t>bottom chart</t>
  </si>
  <si>
    <t xml:space="preserve">Per Capita GDP </t>
  </si>
  <si>
    <t>(1990 International Geary-Khamis dollars)</t>
  </si>
  <si>
    <t>Richest region = blue, poorest = pink</t>
  </si>
  <si>
    <t>World</t>
  </si>
  <si>
    <t>Total 12 Western Europe</t>
  </si>
  <si>
    <t>Western Europe</t>
  </si>
  <si>
    <t>Western Offshoots</t>
  </si>
  <si>
    <t>Latin America</t>
  </si>
  <si>
    <t>Asia</t>
  </si>
  <si>
    <t>Africa</t>
  </si>
  <si>
    <t>RATIO OF RICHEST WORLD REGION TO POOREST (1)</t>
  </si>
  <si>
    <t>RATIO OF RICHEST WORLD REGION TO POOREST (2)</t>
  </si>
  <si>
    <t>ratio2000/1800=</t>
  </si>
  <si>
    <t>RATIO OF RICHEST 4 TO POOREST 4</t>
  </si>
  <si>
    <t>RICHEST 4</t>
  </si>
  <si>
    <t>POOREST 4</t>
  </si>
  <si>
    <t>Largest</t>
  </si>
  <si>
    <t>2nd Largest</t>
  </si>
  <si>
    <t xml:space="preserve">3rd Largest </t>
  </si>
  <si>
    <t>4th Largest</t>
  </si>
  <si>
    <t>4th Smallest</t>
  </si>
  <si>
    <t>3rd Smallest</t>
  </si>
  <si>
    <t>2nd Smallest</t>
  </si>
  <si>
    <t>Smallest</t>
  </si>
  <si>
    <t>Western Europe - Europe de l'Ouest</t>
  </si>
  <si>
    <t>Austria</t>
  </si>
  <si>
    <t xml:space="preserve">Belgium </t>
  </si>
  <si>
    <t>Denmark</t>
  </si>
  <si>
    <t>Finland - Finlande</t>
  </si>
  <si>
    <t>France</t>
  </si>
  <si>
    <t>Germany - Allemagne</t>
  </si>
  <si>
    <t>Italy</t>
  </si>
  <si>
    <t>Netherlands</t>
  </si>
  <si>
    <t>Norway</t>
  </si>
  <si>
    <t>Sweden - Suède</t>
  </si>
  <si>
    <t>Switzerland</t>
  </si>
  <si>
    <t>United Kingdom</t>
  </si>
  <si>
    <t>Total 12 Western Europe - 12 pays d'Europe de l'Ouest</t>
  </si>
  <si>
    <t>Ireland - Irlande</t>
  </si>
  <si>
    <t>Greece - Grèce</t>
  </si>
  <si>
    <t xml:space="preserve">Portugal </t>
  </si>
  <si>
    <t>Spain - Espagne</t>
  </si>
  <si>
    <t>13 small Western Europe - 13 petits pays d'Europe de l'Ouest</t>
  </si>
  <si>
    <t>Australia</t>
  </si>
  <si>
    <t>New Zealand</t>
  </si>
  <si>
    <t>Canada</t>
  </si>
  <si>
    <t>United States</t>
  </si>
  <si>
    <t xml:space="preserve">Eastern Europe - Europe de l'Est </t>
  </si>
  <si>
    <t>Albania - Albanie</t>
  </si>
  <si>
    <t>Bulgaria - Bulgarie</t>
  </si>
  <si>
    <t>Czechoslovakia - Tchécoslovaquie</t>
  </si>
  <si>
    <t>Hungary - Hongrie</t>
  </si>
  <si>
    <t>Poland - Pologne</t>
  </si>
  <si>
    <t>Romania - Roumanie</t>
  </si>
  <si>
    <t>Yugoslavia - Yougoslavie</t>
  </si>
  <si>
    <t>Total 7 East European Countries - 7 pays d'Europe de l'Est</t>
  </si>
  <si>
    <t>USSR - URSS</t>
  </si>
  <si>
    <t>Yugoslav and Czech Successor states - Républiques issues de l'ex-Yougoslavie et de l'ex-Tchécoslovaquie</t>
  </si>
  <si>
    <t>Bosnia - Bosnie</t>
  </si>
  <si>
    <t>Croatia - Croatie</t>
  </si>
  <si>
    <t>Macedonia - Macédonie</t>
  </si>
  <si>
    <t>Slovenia - Slovénie</t>
  </si>
  <si>
    <t>Serbia/Montenegro - Serbie/Monténégro</t>
  </si>
  <si>
    <t>Former Yugoslavia - Ex-Yougoslavie</t>
  </si>
  <si>
    <t>Czech Republic - Republique tchèque</t>
  </si>
  <si>
    <t>Slovakia - Slovaquie</t>
  </si>
  <si>
    <t>Former Czechoslovakia - Ex-Tchécoslovaquie</t>
  </si>
  <si>
    <t>Successor Republics of USSR - Républiques issues de l'ex-URSS</t>
  </si>
  <si>
    <t>Armenia - Arménie</t>
  </si>
  <si>
    <t>Azerbaijan - Azerbaïdjan</t>
  </si>
  <si>
    <t>Belarus - Bélarus</t>
  </si>
  <si>
    <t>Estonia - Estonie</t>
  </si>
  <si>
    <t>Georgia - Géorgie</t>
  </si>
  <si>
    <t>Kazakhstan</t>
  </si>
  <si>
    <t>Kyrgyzstan - Kirghizstan</t>
  </si>
  <si>
    <t>Latvia - Lettonie</t>
  </si>
  <si>
    <t>Lithuania - Lituanie</t>
  </si>
  <si>
    <t>Moldova - Moldavie</t>
  </si>
  <si>
    <t>Russian Federation - Fédération russe</t>
  </si>
  <si>
    <t>Tajikistan - Tadjikistan</t>
  </si>
  <si>
    <t>Turkmenistan - Turkménistan</t>
  </si>
  <si>
    <t xml:space="preserve">Ukraine </t>
  </si>
  <si>
    <t>Uzbekistan - Ouzbékistan</t>
  </si>
  <si>
    <t>Total Former USSR - Ex-URSS</t>
  </si>
  <si>
    <t>8 Latin American countries - 8 pays d'Amérique latine</t>
  </si>
  <si>
    <t>Argentina - Argentine</t>
  </si>
  <si>
    <t>Brazil - Brésil</t>
  </si>
  <si>
    <t>Chile - Chili</t>
  </si>
  <si>
    <t>Colombia - Colombie</t>
  </si>
  <si>
    <t>Mexico - Mexique</t>
  </si>
  <si>
    <t>Peru - Pérou</t>
  </si>
  <si>
    <t>Uruguay</t>
  </si>
  <si>
    <t>Venezuela</t>
  </si>
  <si>
    <t>Total 8 Latin American countries - 8 Pays d'Amérique latine</t>
  </si>
  <si>
    <t>15 Latin American countries - 15 pays d'Amérique latine</t>
  </si>
  <si>
    <t>Bolivia - Bolivie</t>
  </si>
  <si>
    <t>Costa Rica</t>
  </si>
  <si>
    <t>Cuba</t>
  </si>
  <si>
    <t>Dominican Republic - République dominicaine</t>
  </si>
  <si>
    <t>Ecuador - Equateur</t>
  </si>
  <si>
    <t>El Salvador</t>
  </si>
  <si>
    <t>Guatemala</t>
  </si>
  <si>
    <t>Haïti</t>
  </si>
  <si>
    <t>Honduras</t>
  </si>
  <si>
    <t>Jamaica - Jamaïque</t>
  </si>
  <si>
    <t>Nicaragua</t>
  </si>
  <si>
    <t>Panama</t>
  </si>
  <si>
    <t>Paraguay</t>
  </si>
  <si>
    <t>Puerto Rico - Porto Rico</t>
  </si>
  <si>
    <t>Trinidad and Tobago - Trinité-et-Tobago</t>
  </si>
  <si>
    <t>Total 15 Latin American countries</t>
  </si>
  <si>
    <t>Total 24 small Caribbean countries - 24 petits pays des Caraïbes</t>
  </si>
  <si>
    <t>16 East Asian countries - 16 pays d'Asie de l'Est</t>
  </si>
  <si>
    <t>China</t>
  </si>
  <si>
    <t>India</t>
  </si>
  <si>
    <t>Indonesia - Indonésie</t>
  </si>
  <si>
    <t>Japan</t>
  </si>
  <si>
    <t>Philippines</t>
  </si>
  <si>
    <t>South Korea - Corée du Sud</t>
  </si>
  <si>
    <t>Thailand - Thaïlande</t>
  </si>
  <si>
    <t>Taiwan</t>
  </si>
  <si>
    <t>Bangladesh</t>
  </si>
  <si>
    <t>Burma - Birmanie</t>
  </si>
  <si>
    <t>Hong Kong</t>
  </si>
  <si>
    <t>Malaysia - Malaisie</t>
  </si>
  <si>
    <t>Nepal</t>
  </si>
  <si>
    <t>Pakistan</t>
  </si>
  <si>
    <t>Singapore - Singapour</t>
  </si>
  <si>
    <t>Sri Lanka</t>
  </si>
  <si>
    <t>Total 16 Asian countries - 16 pays d'Asie</t>
  </si>
  <si>
    <t>26 East Asian countries - 26 pays d'Asie de l'Est</t>
  </si>
  <si>
    <t>Afghanistan</t>
  </si>
  <si>
    <t>Cambodia -  Cambodge</t>
  </si>
  <si>
    <t>Laos</t>
  </si>
  <si>
    <t>Mongolia - Mongolie</t>
  </si>
  <si>
    <t>North Korea - Corée du Nord</t>
  </si>
  <si>
    <t>Vietnam</t>
  </si>
  <si>
    <t>20 Small Asian Countries - 20 petits pays d'Asie de l'Est</t>
  </si>
  <si>
    <t>Total 26 East Asian countries - 26 pays d'Asie de l'Est</t>
  </si>
  <si>
    <t>15 West Asian countries - 15 pays d'Asie de l'Ouest</t>
  </si>
  <si>
    <t>Bahrain - Bahreïn</t>
  </si>
  <si>
    <t>Iran</t>
  </si>
  <si>
    <t>Iraq - Irak</t>
  </si>
  <si>
    <t>Israel - Israël</t>
  </si>
  <si>
    <t>Jordan - Jordanie</t>
  </si>
  <si>
    <t>Kuwait - Koweït</t>
  </si>
  <si>
    <t>Lebanon - Liban</t>
  </si>
  <si>
    <t>Oman</t>
  </si>
  <si>
    <t>Qatar</t>
  </si>
  <si>
    <t>South Arabia - Arabie saoudite</t>
  </si>
  <si>
    <t>Syria - Syrie</t>
  </si>
  <si>
    <t>Turkey - Turquie</t>
  </si>
  <si>
    <t>United Arab Emirates - Émirats Arabes Unis</t>
  </si>
  <si>
    <t>Yemen - Yémen</t>
  </si>
  <si>
    <t>Palestine and Gaza - Cisjordanie et Gaza</t>
  </si>
  <si>
    <t>Total 15 West Asian countries - 15 pays d'Asie de l'Ouest</t>
  </si>
  <si>
    <t>57 African countries - 57 pays d'Afrique</t>
  </si>
  <si>
    <t>Algeria - Algérie</t>
  </si>
  <si>
    <t>Angola</t>
  </si>
  <si>
    <t>Benin - Bénin</t>
  </si>
  <si>
    <t>Botswana</t>
  </si>
  <si>
    <t>Burkina Faso</t>
  </si>
  <si>
    <t>Burundi</t>
  </si>
  <si>
    <t>Cameroon - Cameroun</t>
  </si>
  <si>
    <t>Cape Verde - Cap Vert</t>
  </si>
  <si>
    <t>Central African Republic - République Centrafricaine</t>
  </si>
  <si>
    <t>Chad</t>
  </si>
  <si>
    <t>Comoro Islands - Comores</t>
  </si>
  <si>
    <t>Congo</t>
  </si>
  <si>
    <t>Côte d'Ivoire</t>
  </si>
  <si>
    <t>Djibouti</t>
  </si>
  <si>
    <t>Egypt - Égypte</t>
  </si>
  <si>
    <t>Eritrea and Ethiopia</t>
  </si>
  <si>
    <t>Gabon</t>
  </si>
  <si>
    <t>Gambia - Gambie</t>
  </si>
  <si>
    <t>Ghana</t>
  </si>
  <si>
    <t>Guinea</t>
  </si>
  <si>
    <t>Guinea Bissau - Guinée Bissau</t>
  </si>
  <si>
    <t>Kenya</t>
  </si>
  <si>
    <t>Lesotho</t>
  </si>
  <si>
    <t>Liberia</t>
  </si>
  <si>
    <t>Madagascar</t>
  </si>
  <si>
    <t>Malawi</t>
  </si>
  <si>
    <t>Mali</t>
  </si>
  <si>
    <t>Mauritania - Mauritanie</t>
  </si>
  <si>
    <t>Mauritius - Maurice</t>
  </si>
  <si>
    <t>Morocco</t>
  </si>
  <si>
    <t>Mozambique</t>
  </si>
  <si>
    <t>Namibia - Namibie</t>
  </si>
  <si>
    <t>Niger</t>
  </si>
  <si>
    <t>Nigeria</t>
  </si>
  <si>
    <t>Reunion - Réunion</t>
  </si>
  <si>
    <t>Rwanda</t>
  </si>
  <si>
    <t>Senegal - Sénégal</t>
  </si>
  <si>
    <t>Seychelles</t>
  </si>
  <si>
    <t>Sierra Leone</t>
  </si>
  <si>
    <t>Somalia - Somalie</t>
  </si>
  <si>
    <t>South Africa</t>
  </si>
  <si>
    <t>Sudan - Soudan</t>
  </si>
  <si>
    <t>Swaziland</t>
  </si>
  <si>
    <t>Tanzania - Tanzanie</t>
  </si>
  <si>
    <t>Togo</t>
  </si>
  <si>
    <t>Tunisia</t>
  </si>
  <si>
    <t>Uganda</t>
  </si>
  <si>
    <t>Zaire</t>
  </si>
  <si>
    <t>Zambia - Zambie</t>
  </si>
  <si>
    <t>Zimbabwe</t>
  </si>
  <si>
    <t>Total 6 African Countries - Pays d'Afrique</t>
  </si>
  <si>
    <t>Equitorial Guinea - Guinée Équatoriale</t>
  </si>
  <si>
    <t>Libya - Lybie</t>
  </si>
  <si>
    <t>São Tomé and Principe - São Tomé et Principe</t>
  </si>
  <si>
    <t>Mayotte, Saint Helena, West Sahara : Mayotte, Sainte Hélène, Sahara Occidental</t>
  </si>
  <si>
    <t>Total 6 African Countries - 6 pays d'Afrique</t>
  </si>
  <si>
    <t>formula check</t>
  </si>
  <si>
    <t>Figure 2.14</t>
  </si>
  <si>
    <t>Figure 9.1</t>
  </si>
  <si>
    <t>right hand chart</t>
  </si>
  <si>
    <r>
      <rPr>
        <b/>
        <sz val="10"/>
        <color rgb="FFFF0000"/>
        <rFont val="Arial"/>
        <family val="2"/>
      </rPr>
      <t>Note:</t>
    </r>
    <r>
      <rPr>
        <sz val="10"/>
        <rFont val="Arial"/>
        <family val="2"/>
      </rPr>
      <t xml:space="preserve"> title of Figure 2.14 is incorrect, it should read as  in Figure 9.14: "Normalized Total Market Prices versus Total Direct Prices"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</si>
</sst>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#,##0.0"/>
    <numFmt numFmtId="167" formatCode="mmm\-yyyy"/>
    <numFmt numFmtId="168" formatCode="mmmm\,\ yyyy"/>
  </numFmts>
  <fonts count="47">
    <font>
      <sz val="10"/>
      <name val="Arial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0"/>
      <color theme="3" tint="0.39997558519241921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8"/>
      <color indexed="10"/>
      <name val="Arial"/>
      <family val="2"/>
    </font>
    <font>
      <u/>
      <sz val="10.45"/>
      <color indexed="12"/>
      <name val="Courier New"/>
      <family val="3"/>
    </font>
    <font>
      <sz val="8"/>
      <color indexed="8"/>
      <name val="Arial"/>
      <family val="2"/>
    </font>
    <font>
      <sz val="10"/>
      <name val="Times New Roman"/>
      <family val="1"/>
    </font>
    <font>
      <sz val="8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rgb="FFFF0000"/>
      <name val="Arial"/>
      <family val="2"/>
    </font>
    <font>
      <sz val="10"/>
      <color indexed="8"/>
      <name val="Arial"/>
      <family val="2"/>
    </font>
    <font>
      <b/>
      <sz val="10"/>
      <color indexed="10"/>
      <name val="Times New Roman"/>
      <family val="1"/>
    </font>
    <font>
      <sz val="8"/>
      <color rgb="FF000099"/>
      <name val="Arial"/>
      <family val="2"/>
    </font>
    <font>
      <sz val="10"/>
      <name val="LettrGoth12 BT"/>
    </font>
    <font>
      <sz val="8"/>
      <color indexed="8"/>
      <name val="Verdana"/>
      <family val="2"/>
    </font>
    <font>
      <sz val="10"/>
      <color indexed="8"/>
      <name val="Verdana"/>
      <family val="2"/>
    </font>
    <font>
      <sz val="8"/>
      <name val="News Gothic Condensed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name val="Arial"/>
      <family val="2"/>
    </font>
    <font>
      <b/>
      <sz val="14"/>
      <color indexed="60"/>
      <name val="Arial"/>
      <family val="2"/>
    </font>
    <font>
      <sz val="12"/>
      <name val="Arial"/>
      <family val="2"/>
    </font>
    <font>
      <b/>
      <sz val="10"/>
      <color indexed="60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b/>
      <sz val="12"/>
      <color indexed="16"/>
      <name val="Arial"/>
      <family val="2"/>
    </font>
    <font>
      <b/>
      <sz val="12"/>
      <name val="Arial"/>
      <family val="2"/>
    </font>
    <font>
      <b/>
      <sz val="10"/>
      <color indexed="16"/>
      <name val="Arial"/>
      <family val="2"/>
    </font>
    <font>
      <b/>
      <sz val="10"/>
      <color indexed="61"/>
      <name val="Arial"/>
      <family val="2"/>
    </font>
    <font>
      <b/>
      <sz val="10"/>
      <color indexed="8"/>
      <name val="Arial"/>
      <family val="2"/>
    </font>
    <font>
      <b/>
      <sz val="8"/>
      <color indexed="18"/>
      <name val="Arial"/>
      <family val="2"/>
    </font>
    <font>
      <sz val="10"/>
      <color indexed="60"/>
      <name val="Arial"/>
      <family val="2"/>
    </font>
    <font>
      <b/>
      <sz val="10"/>
      <color indexed="57"/>
      <name val="Arial"/>
      <family val="2"/>
    </font>
    <font>
      <b/>
      <sz val="11"/>
      <color indexed="16"/>
      <name val="Arial"/>
      <family val="2"/>
    </font>
    <font>
      <sz val="10"/>
      <color indexed="16"/>
      <name val="Arial"/>
      <family val="2"/>
    </font>
    <font>
      <sz val="10"/>
      <color indexed="10"/>
      <name val="Arial"/>
      <family val="2"/>
    </font>
    <font>
      <b/>
      <sz val="14"/>
      <color indexed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3" fillId="0" borderId="0" xfId="0" applyFont="1" applyFill="1"/>
    <xf numFmtId="0" fontId="4" fillId="0" borderId="0" xfId="0" applyFont="1" applyFill="1" applyBorder="1"/>
    <xf numFmtId="0" fontId="1" fillId="0" borderId="0" xfId="0" applyFont="1" applyFill="1"/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/>
    <xf numFmtId="0" fontId="0" fillId="0" borderId="0" xfId="0" applyAlignment="1">
      <alignment wrapText="1"/>
    </xf>
    <xf numFmtId="0" fontId="5" fillId="0" borderId="0" xfId="0" applyFont="1" applyFill="1" applyBorder="1" applyAlignment="1">
      <alignment wrapText="1"/>
    </xf>
    <xf numFmtId="0" fontId="11" fillId="0" borderId="0" xfId="0" applyFont="1" applyFill="1" applyAlignment="1">
      <alignment wrapText="1"/>
    </xf>
    <xf numFmtId="0" fontId="5" fillId="0" borderId="0" xfId="0" applyFont="1" applyFill="1" applyAlignment="1">
      <alignment horizontal="left" wrapText="1"/>
    </xf>
    <xf numFmtId="0" fontId="5" fillId="0" borderId="0" xfId="0" quotePrefix="1" applyFont="1" applyFill="1" applyAlignment="1">
      <alignment horizontal="left"/>
    </xf>
    <xf numFmtId="0" fontId="5" fillId="0" borderId="0" xfId="0" applyFont="1" applyFill="1" applyAlignment="1">
      <alignment wrapText="1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>
      <alignment wrapText="1"/>
    </xf>
    <xf numFmtId="0" fontId="16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2" fontId="20" fillId="0" borderId="0" xfId="0" applyNumberFormat="1" applyFont="1" applyFill="1"/>
    <xf numFmtId="0" fontId="15" fillId="0" borderId="3" xfId="0" applyNumberFormat="1" applyFont="1" applyFill="1" applyBorder="1" applyAlignment="1" applyProtection="1">
      <alignment vertical="top" wrapText="1"/>
    </xf>
    <xf numFmtId="0" fontId="15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Fill="1" applyBorder="1"/>
    <xf numFmtId="0" fontId="15" fillId="0" borderId="0" xfId="0" applyNumberFormat="1" applyFont="1" applyFill="1" applyBorder="1" applyAlignment="1" applyProtection="1">
      <alignment vertical="top"/>
    </xf>
    <xf numFmtId="0" fontId="2" fillId="0" borderId="0" xfId="0" applyFont="1" applyFill="1"/>
    <xf numFmtId="4" fontId="2" fillId="0" borderId="0" xfId="0" applyNumberFormat="1" applyFont="1" applyFill="1" applyAlignment="1">
      <alignment horizontal="left"/>
    </xf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left"/>
    </xf>
    <xf numFmtId="0" fontId="15" fillId="0" borderId="4" xfId="0" applyNumberFormat="1" applyFont="1" applyFill="1" applyBorder="1" applyAlignment="1" applyProtection="1">
      <alignment horizontal="left" vertical="top"/>
    </xf>
    <xf numFmtId="0" fontId="15" fillId="0" borderId="3" xfId="0" applyNumberFormat="1" applyFont="1" applyFill="1" applyBorder="1" applyAlignment="1" applyProtection="1">
      <alignment horizontal="left" vertical="top"/>
    </xf>
    <xf numFmtId="0" fontId="15" fillId="0" borderId="2" xfId="0" applyNumberFormat="1" applyFont="1" applyFill="1" applyBorder="1" applyAlignment="1" applyProtection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</xf>
    <xf numFmtId="164" fontId="0" fillId="0" borderId="0" xfId="0" applyNumberFormat="1" applyFill="1"/>
    <xf numFmtId="0" fontId="15" fillId="0" borderId="5" xfId="0" applyNumberFormat="1" applyFont="1" applyFill="1" applyBorder="1" applyAlignment="1" applyProtection="1">
      <alignment horizontal="left" vertical="top"/>
    </xf>
    <xf numFmtId="0" fontId="15" fillId="0" borderId="6" xfId="0" applyNumberFormat="1" applyFont="1" applyFill="1" applyBorder="1" applyAlignment="1" applyProtection="1">
      <alignment horizontal="left" vertical="top"/>
    </xf>
    <xf numFmtId="0" fontId="15" fillId="0" borderId="7" xfId="0" applyNumberFormat="1" applyFont="1" applyFill="1" applyBorder="1" applyAlignment="1" applyProtection="1">
      <alignment horizontal="center" vertical="top"/>
    </xf>
    <xf numFmtId="0" fontId="15" fillId="0" borderId="6" xfId="0" applyNumberFormat="1" applyFont="1" applyFill="1" applyBorder="1" applyAlignment="1" applyProtection="1">
      <alignment horizontal="center" vertical="top"/>
    </xf>
    <xf numFmtId="4" fontId="2" fillId="0" borderId="0" xfId="0" applyNumberFormat="1" applyFont="1" applyFill="1"/>
    <xf numFmtId="0" fontId="1" fillId="0" borderId="0" xfId="0" applyFont="1" applyFill="1" applyAlignment="1">
      <alignment wrapText="1"/>
    </xf>
    <xf numFmtId="0" fontId="0" fillId="0" borderId="1" xfId="0" applyFill="1" applyBorder="1"/>
    <xf numFmtId="1" fontId="0" fillId="0" borderId="0" xfId="0" applyNumberFormat="1" applyFill="1" applyBorder="1"/>
    <xf numFmtId="0" fontId="0" fillId="0" borderId="2" xfId="0" applyFill="1" applyBorder="1"/>
    <xf numFmtId="1" fontId="0" fillId="0" borderId="0" xfId="0" applyNumberFormat="1" applyFill="1"/>
    <xf numFmtId="1" fontId="4" fillId="0" borderId="0" xfId="0" applyNumberFormat="1" applyFont="1" applyFill="1" applyBorder="1"/>
    <xf numFmtId="0" fontId="6" fillId="0" borderId="0" xfId="0" applyFont="1" applyFill="1"/>
    <xf numFmtId="1" fontId="6" fillId="0" borderId="0" xfId="0" applyNumberFormat="1" applyFont="1" applyFill="1" applyBorder="1"/>
    <xf numFmtId="0" fontId="5" fillId="0" borderId="1" xfId="0" applyFont="1" applyFill="1" applyBorder="1"/>
    <xf numFmtId="0" fontId="7" fillId="0" borderId="0" xfId="0" applyFont="1" applyFill="1"/>
    <xf numFmtId="1" fontId="2" fillId="0" borderId="0" xfId="0" applyNumberFormat="1" applyFont="1" applyFill="1" applyBorder="1"/>
    <xf numFmtId="0" fontId="1" fillId="0" borderId="0" xfId="0" applyFont="1" applyFill="1" applyBorder="1"/>
    <xf numFmtId="0" fontId="1" fillId="0" borderId="2" xfId="0" applyFont="1" applyFill="1" applyBorder="1"/>
    <xf numFmtId="0" fontId="5" fillId="0" borderId="2" xfId="0" applyFont="1" applyFill="1" applyBorder="1"/>
    <xf numFmtId="0" fontId="5" fillId="0" borderId="0" xfId="0" applyFont="1" applyFill="1" applyAlignment="1"/>
    <xf numFmtId="2" fontId="5" fillId="0" borderId="0" xfId="0" applyNumberFormat="1" applyFont="1" applyFill="1"/>
    <xf numFmtId="0" fontId="5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5" fillId="0" borderId="0" xfId="0" quotePrefix="1" applyFont="1" applyFill="1"/>
    <xf numFmtId="0" fontId="12" fillId="0" borderId="0" xfId="0" applyFont="1" applyFill="1" applyAlignment="1">
      <alignment wrapText="1"/>
    </xf>
    <xf numFmtId="0" fontId="13" fillId="0" borderId="0" xfId="1" applyFill="1" applyAlignment="1" applyProtection="1">
      <alignment wrapText="1"/>
    </xf>
    <xf numFmtId="2" fontId="14" fillId="0" borderId="0" xfId="0" applyNumberFormat="1" applyFont="1" applyFill="1"/>
    <xf numFmtId="1" fontId="14" fillId="0" borderId="0" xfId="0" applyNumberFormat="1" applyFont="1" applyFill="1" applyBorder="1"/>
    <xf numFmtId="2" fontId="14" fillId="0" borderId="0" xfId="0" applyNumberFormat="1" applyFont="1" applyFill="1" applyBorder="1"/>
    <xf numFmtId="2" fontId="14" fillId="0" borderId="2" xfId="0" applyNumberFormat="1" applyFont="1" applyFill="1" applyBorder="1"/>
    <xf numFmtId="0" fontId="12" fillId="0" borderId="0" xfId="0" applyFont="1" applyFill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wrapText="1"/>
    </xf>
    <xf numFmtId="2" fontId="14" fillId="0" borderId="0" xfId="0" applyNumberFormat="1" applyFont="1" applyFill="1" applyAlignment="1">
      <alignment wrapText="1"/>
    </xf>
    <xf numFmtId="1" fontId="14" fillId="0" borderId="0" xfId="0" applyNumberFormat="1" applyFont="1" applyFill="1" applyBorder="1" applyAlignment="1">
      <alignment wrapText="1"/>
    </xf>
    <xf numFmtId="2" fontId="14" fillId="0" borderId="0" xfId="0" applyNumberFormat="1" applyFont="1" applyFill="1" applyBorder="1" applyAlignment="1">
      <alignment wrapText="1"/>
    </xf>
    <xf numFmtId="2" fontId="14" fillId="0" borderId="2" xfId="0" applyNumberFormat="1" applyFont="1" applyFill="1" applyBorder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 applyAlignment="1" applyProtection="1">
      <alignment horizontal="center" wrapText="1"/>
    </xf>
    <xf numFmtId="0" fontId="1" fillId="0" borderId="0" xfId="0" applyFont="1" applyFill="1" applyAlignment="1">
      <alignment horizontal="center"/>
    </xf>
    <xf numFmtId="2" fontId="21" fillId="0" borderId="0" xfId="0" applyNumberFormat="1" applyFont="1" applyFill="1" applyAlignment="1">
      <alignment horizontal="left"/>
    </xf>
    <xf numFmtId="0" fontId="19" fillId="0" borderId="0" xfId="0" applyFont="1" applyFill="1"/>
    <xf numFmtId="0" fontId="12" fillId="0" borderId="0" xfId="0" quotePrefix="1" applyFont="1" applyFill="1" applyAlignment="1">
      <alignment horizontal="center"/>
    </xf>
    <xf numFmtId="1" fontId="1" fillId="0" borderId="0" xfId="0" applyNumberFormat="1" applyFont="1" applyFill="1" applyBorder="1"/>
    <xf numFmtId="0" fontId="1" fillId="0" borderId="0" xfId="0" quotePrefix="1" applyFont="1" applyFill="1"/>
    <xf numFmtId="0" fontId="0" fillId="0" borderId="0" xfId="0" applyFill="1" applyAlignment="1" applyProtection="1">
      <alignment horizontal="center"/>
    </xf>
    <xf numFmtId="0" fontId="3" fillId="0" borderId="0" xfId="0" applyFont="1" applyFill="1" applyAlignment="1">
      <alignment wrapText="1"/>
    </xf>
    <xf numFmtId="0" fontId="0" fillId="0" borderId="1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0" fillId="0" borderId="0" xfId="0" applyFont="1" applyFill="1" applyAlignment="1">
      <alignment horizontal="left" wrapText="1"/>
    </xf>
    <xf numFmtId="0" fontId="8" fillId="0" borderId="0" xfId="0" applyFont="1" applyFill="1" applyAlignment="1">
      <alignment wrapText="1"/>
    </xf>
    <xf numFmtId="1" fontId="3" fillId="0" borderId="0" xfId="0" applyNumberFormat="1" applyFont="1" applyFill="1" applyBorder="1" applyAlignment="1">
      <alignment wrapText="1"/>
    </xf>
    <xf numFmtId="0" fontId="1" fillId="0" borderId="0" xfId="0" applyFont="1" applyFill="1" applyAlignment="1">
      <alignment horizontal="center" wrapText="1"/>
    </xf>
    <xf numFmtId="0" fontId="3" fillId="0" borderId="2" xfId="0" applyFont="1" applyFill="1" applyBorder="1" applyAlignment="1">
      <alignment wrapText="1"/>
    </xf>
    <xf numFmtId="164" fontId="22" fillId="0" borderId="0" xfId="0" applyNumberFormat="1" applyFont="1" applyFill="1" applyAlignment="1">
      <alignment horizontal="right"/>
    </xf>
    <xf numFmtId="1" fontId="2" fillId="0" borderId="0" xfId="0" applyNumberFormat="1" applyFont="1" applyFill="1" applyBorder="1" applyAlignment="1">
      <alignment wrapText="1"/>
    </xf>
    <xf numFmtId="4" fontId="15" fillId="0" borderId="0" xfId="0" applyNumberFormat="1" applyFont="1" applyFill="1" applyAlignment="1">
      <alignment horizontal="left"/>
    </xf>
    <xf numFmtId="2" fontId="2" fillId="0" borderId="0" xfId="0" applyNumberFormat="1" applyFont="1" applyFill="1" applyBorder="1"/>
    <xf numFmtId="0" fontId="3" fillId="0" borderId="2" xfId="0" applyFont="1" applyFill="1" applyBorder="1"/>
    <xf numFmtId="164" fontId="20" fillId="0" borderId="0" xfId="0" applyNumberFormat="1" applyFont="1" applyFill="1"/>
    <xf numFmtId="17" fontId="0" fillId="0" borderId="0" xfId="0" applyNumberFormat="1" applyFill="1"/>
    <xf numFmtId="1" fontId="0" fillId="0" borderId="0" xfId="0" quotePrefix="1" applyNumberFormat="1" applyFill="1"/>
    <xf numFmtId="2" fontId="20" fillId="0" borderId="2" xfId="0" applyNumberFormat="1" applyFont="1" applyFill="1" applyBorder="1"/>
    <xf numFmtId="165" fontId="20" fillId="0" borderId="0" xfId="0" applyNumberFormat="1" applyFont="1" applyFill="1"/>
    <xf numFmtId="1" fontId="23" fillId="0" borderId="0" xfId="0" applyNumberFormat="1" applyFont="1" applyFill="1"/>
    <xf numFmtId="3" fontId="23" fillId="0" borderId="0" xfId="0" applyNumberFormat="1" applyFont="1" applyFill="1"/>
    <xf numFmtId="0" fontId="23" fillId="0" borderId="0" xfId="0" applyFont="1" applyFill="1"/>
    <xf numFmtId="164" fontId="23" fillId="0" borderId="0" xfId="0" applyNumberFormat="1" applyFont="1" applyFill="1"/>
    <xf numFmtId="2" fontId="23" fillId="0" borderId="0" xfId="0" applyNumberFormat="1" applyFont="1" applyFill="1"/>
    <xf numFmtId="0" fontId="0" fillId="0" borderId="0" xfId="0" applyFill="1" applyAlignment="1" applyProtection="1">
      <alignment horizontal="fill"/>
    </xf>
    <xf numFmtId="165" fontId="0" fillId="0" borderId="0" xfId="0" applyNumberFormat="1" applyFill="1"/>
    <xf numFmtId="0" fontId="0" fillId="0" borderId="0" xfId="0" applyFill="1" applyProtection="1"/>
    <xf numFmtId="2" fontId="0" fillId="0" borderId="2" xfId="0" applyNumberFormat="1" applyFill="1" applyBorder="1"/>
    <xf numFmtId="0" fontId="24" fillId="0" borderId="0" xfId="0" applyFont="1" applyFill="1" applyBorder="1" applyAlignment="1">
      <alignment wrapText="1"/>
    </xf>
    <xf numFmtId="0" fontId="25" fillId="0" borderId="0" xfId="0" applyFont="1" applyFill="1" applyBorder="1" applyAlignment="1">
      <alignment horizontal="right"/>
    </xf>
    <xf numFmtId="166" fontId="26" fillId="0" borderId="8" xfId="0" applyNumberFormat="1" applyFont="1" applyFill="1" applyBorder="1" applyAlignment="1">
      <alignment horizontal="right" wrapText="1"/>
    </xf>
    <xf numFmtId="167" fontId="0" fillId="0" borderId="0" xfId="0" applyNumberFormat="1" applyFill="1"/>
    <xf numFmtId="168" fontId="0" fillId="0" borderId="0" xfId="0" applyNumberFormat="1" applyFill="1"/>
    <xf numFmtId="0" fontId="29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0" fontId="30" fillId="0" borderId="0" xfId="2" applyFont="1"/>
    <xf numFmtId="0" fontId="31" fillId="0" borderId="0" xfId="2" applyFont="1"/>
    <xf numFmtId="0" fontId="32" fillId="0" borderId="0" xfId="2" applyFont="1" applyAlignment="1">
      <alignment horizontal="left" wrapText="1"/>
    </xf>
    <xf numFmtId="0" fontId="33" fillId="0" borderId="0" xfId="2" applyFont="1"/>
    <xf numFmtId="0" fontId="32" fillId="0" borderId="0" xfId="2" applyFont="1"/>
    <xf numFmtId="0" fontId="34" fillId="0" borderId="0" xfId="2" applyFont="1"/>
    <xf numFmtId="0" fontId="35" fillId="2" borderId="9" xfId="2" applyFont="1" applyFill="1" applyBorder="1" applyAlignment="1">
      <alignment horizontal="left"/>
    </xf>
    <xf numFmtId="3" fontId="36" fillId="2" borderId="9" xfId="2" applyNumberFormat="1" applyFont="1" applyFill="1" applyBorder="1"/>
    <xf numFmtId="4" fontId="35" fillId="2" borderId="9" xfId="2" applyNumberFormat="1" applyFont="1" applyFill="1" applyBorder="1"/>
    <xf numFmtId="3" fontId="37" fillId="2" borderId="0" xfId="2" applyNumberFormat="1" applyFont="1" applyFill="1"/>
    <xf numFmtId="0" fontId="37" fillId="2" borderId="0" xfId="2" applyFont="1" applyFill="1"/>
    <xf numFmtId="3" fontId="8" fillId="3" borderId="0" xfId="2" applyNumberFormat="1" applyFont="1" applyFill="1" applyBorder="1" applyAlignment="1">
      <alignment horizontal="left"/>
    </xf>
    <xf numFmtId="3" fontId="8" fillId="2" borderId="0" xfId="2" applyNumberFormat="1" applyFont="1" applyFill="1"/>
    <xf numFmtId="4" fontId="37" fillId="2" borderId="0" xfId="2" applyNumberFormat="1" applyFont="1" applyFill="1"/>
    <xf numFmtId="3" fontId="38" fillId="2" borderId="0" xfId="2" applyNumberFormat="1" applyFont="1" applyFill="1"/>
    <xf numFmtId="3" fontId="8" fillId="3" borderId="0" xfId="2" applyNumberFormat="1" applyFont="1" applyFill="1"/>
    <xf numFmtId="0" fontId="8" fillId="3" borderId="0" xfId="2" applyFont="1" applyFill="1"/>
    <xf numFmtId="3" fontId="8" fillId="2" borderId="0" xfId="2" applyNumberFormat="1" applyFont="1" applyFill="1" applyBorder="1" applyAlignment="1">
      <alignment horizontal="left"/>
    </xf>
    <xf numFmtId="3" fontId="8" fillId="4" borderId="0" xfId="2" applyNumberFormat="1" applyFont="1" applyFill="1"/>
    <xf numFmtId="4" fontId="37" fillId="4" borderId="0" xfId="2" applyNumberFormat="1" applyFont="1" applyFill="1"/>
    <xf numFmtId="0" fontId="8" fillId="2" borderId="0" xfId="2" applyFont="1" applyFill="1"/>
    <xf numFmtId="0" fontId="8" fillId="2" borderId="0" xfId="2" applyFont="1" applyFill="1" applyAlignment="1">
      <alignment horizontal="left"/>
    </xf>
    <xf numFmtId="3" fontId="8" fillId="5" borderId="0" xfId="2" applyNumberFormat="1" applyFont="1" applyFill="1"/>
    <xf numFmtId="4" fontId="37" fillId="5" borderId="0" xfId="2" applyNumberFormat="1" applyFont="1" applyFill="1"/>
    <xf numFmtId="4" fontId="37" fillId="0" borderId="0" xfId="2" applyNumberFormat="1" applyFont="1" applyFill="1"/>
    <xf numFmtId="3" fontId="39" fillId="2" borderId="0" xfId="2" applyNumberFormat="1" applyFont="1" applyFill="1"/>
    <xf numFmtId="3" fontId="39" fillId="5" borderId="0" xfId="2" applyNumberFormat="1" applyFont="1" applyFill="1"/>
    <xf numFmtId="0" fontId="39" fillId="2" borderId="0" xfId="2" applyFont="1" applyFill="1"/>
    <xf numFmtId="0" fontId="3" fillId="3" borderId="0" xfId="2" applyFont="1" applyFill="1" applyAlignment="1">
      <alignment horizontal="left"/>
    </xf>
    <xf numFmtId="2" fontId="34" fillId="0" borderId="0" xfId="2" applyNumberFormat="1" applyFont="1"/>
    <xf numFmtId="0" fontId="3" fillId="0" borderId="0" xfId="2" applyFont="1" applyFill="1" applyAlignment="1">
      <alignment horizontal="left"/>
    </xf>
    <xf numFmtId="9" fontId="40" fillId="0" borderId="0" xfId="2" applyNumberFormat="1" applyFont="1"/>
    <xf numFmtId="2" fontId="41" fillId="0" borderId="0" xfId="2" applyNumberFormat="1" applyFont="1"/>
    <xf numFmtId="2" fontId="3" fillId="0" borderId="0" xfId="2" applyNumberFormat="1" applyFont="1"/>
    <xf numFmtId="2" fontId="2" fillId="0" borderId="0" xfId="2" applyNumberFormat="1"/>
    <xf numFmtId="1" fontId="41" fillId="0" borderId="0" xfId="2" applyNumberFormat="1" applyFont="1"/>
    <xf numFmtId="1" fontId="42" fillId="0" borderId="0" xfId="2" applyNumberFormat="1" applyFont="1"/>
    <xf numFmtId="1" fontId="2" fillId="0" borderId="0" xfId="2" applyNumberFormat="1"/>
    <xf numFmtId="1" fontId="34" fillId="6" borderId="0" xfId="2" applyNumberFormat="1" applyFont="1" applyFill="1"/>
    <xf numFmtId="1" fontId="34" fillId="7" borderId="0" xfId="2" applyNumberFormat="1" applyFont="1" applyFill="1"/>
    <xf numFmtId="1" fontId="32" fillId="6" borderId="0" xfId="2" applyNumberFormat="1" applyFont="1" applyFill="1"/>
    <xf numFmtId="1" fontId="17" fillId="6" borderId="0" xfId="2" applyNumberFormat="1" applyFont="1" applyFill="1"/>
    <xf numFmtId="1" fontId="32" fillId="5" borderId="0" xfId="2" applyNumberFormat="1" applyFont="1" applyFill="1"/>
    <xf numFmtId="1" fontId="34" fillId="5" borderId="0" xfId="2" applyNumberFormat="1" applyFont="1" applyFill="1"/>
    <xf numFmtId="1" fontId="32" fillId="0" borderId="0" xfId="2" applyNumberFormat="1" applyFont="1"/>
    <xf numFmtId="1" fontId="34" fillId="0" borderId="0" xfId="2" applyNumberFormat="1" applyFont="1"/>
    <xf numFmtId="1" fontId="43" fillId="0" borderId="0" xfId="2" applyNumberFormat="1" applyFont="1"/>
    <xf numFmtId="1" fontId="44" fillId="0" borderId="0" xfId="2" applyNumberFormat="1" applyFont="1"/>
    <xf numFmtId="1" fontId="2" fillId="0" borderId="0" xfId="2" applyNumberFormat="1" applyFill="1" applyAlignment="1">
      <alignment horizontal="left"/>
    </xf>
    <xf numFmtId="1" fontId="2" fillId="6" borderId="0" xfId="2" applyNumberFormat="1" applyFill="1"/>
    <xf numFmtId="1" fontId="2" fillId="7" borderId="0" xfId="2" applyNumberFormat="1" applyFill="1"/>
    <xf numFmtId="1" fontId="8" fillId="3" borderId="0" xfId="2" applyNumberFormat="1" applyFont="1" applyFill="1" applyBorder="1" applyAlignment="1">
      <alignment horizontal="left"/>
    </xf>
    <xf numFmtId="1" fontId="8" fillId="3" borderId="0" xfId="2" applyNumberFormat="1" applyFont="1" applyFill="1"/>
    <xf numFmtId="1" fontId="37" fillId="2" borderId="0" xfId="2" applyNumberFormat="1" applyFont="1" applyFill="1"/>
    <xf numFmtId="1" fontId="38" fillId="2" borderId="0" xfId="2" applyNumberFormat="1" applyFont="1" applyFill="1"/>
    <xf numFmtId="1" fontId="2" fillId="0" borderId="0" xfId="2" applyNumberFormat="1" applyFont="1" applyFill="1" applyBorder="1" applyAlignment="1">
      <alignment horizontal="left"/>
    </xf>
    <xf numFmtId="1" fontId="8" fillId="2" borderId="0" xfId="2" applyNumberFormat="1" applyFont="1" applyFill="1" applyBorder="1" applyAlignment="1">
      <alignment horizontal="left"/>
    </xf>
    <xf numFmtId="1" fontId="8" fillId="2" borderId="0" xfId="2" applyNumberFormat="1" applyFont="1" applyFill="1"/>
    <xf numFmtId="1" fontId="2" fillId="5" borderId="0" xfId="2" applyNumberFormat="1" applyFill="1"/>
    <xf numFmtId="1" fontId="8" fillId="2" borderId="0" xfId="2" applyNumberFormat="1" applyFont="1" applyFill="1" applyAlignment="1">
      <alignment horizontal="left"/>
    </xf>
    <xf numFmtId="1" fontId="8" fillId="0" borderId="0" xfId="2" applyNumberFormat="1" applyFont="1" applyFill="1" applyAlignment="1">
      <alignment horizontal="left"/>
    </xf>
    <xf numFmtId="1" fontId="8" fillId="0" borderId="0" xfId="2" applyNumberFormat="1" applyFont="1"/>
    <xf numFmtId="1" fontId="2" fillId="0" borderId="0" xfId="2" applyNumberFormat="1" applyFont="1" applyFill="1" applyAlignment="1">
      <alignment horizontal="left"/>
    </xf>
    <xf numFmtId="1" fontId="43" fillId="0" borderId="0" xfId="2" applyNumberFormat="1" applyFont="1" applyAlignment="1">
      <alignment horizontal="left" wrapText="1"/>
    </xf>
    <xf numFmtId="1" fontId="43" fillId="0" borderId="0" xfId="2" applyNumberFormat="1" applyFont="1" applyFill="1"/>
    <xf numFmtId="1" fontId="44" fillId="0" borderId="0" xfId="2" applyNumberFormat="1" applyFont="1" applyFill="1"/>
    <xf numFmtId="1" fontId="20" fillId="0" borderId="0" xfId="2" applyNumberFormat="1" applyFont="1"/>
    <xf numFmtId="1" fontId="8" fillId="3" borderId="0" xfId="2" applyNumberFormat="1" applyFont="1" applyFill="1" applyAlignment="1">
      <alignment horizontal="left"/>
    </xf>
    <xf numFmtId="1" fontId="8" fillId="8" borderId="0" xfId="2" applyNumberFormat="1" applyFont="1" applyFill="1" applyAlignment="1">
      <alignment horizontal="left"/>
    </xf>
    <xf numFmtId="1" fontId="8" fillId="8" borderId="0" xfId="2" applyNumberFormat="1" applyFont="1" applyFill="1"/>
    <xf numFmtId="1" fontId="37" fillId="8" borderId="0" xfId="2" applyNumberFormat="1" applyFont="1" applyFill="1"/>
    <xf numFmtId="1" fontId="37" fillId="5" borderId="0" xfId="2" applyNumberFormat="1" applyFont="1" applyFill="1"/>
    <xf numFmtId="1" fontId="2" fillId="8" borderId="0" xfId="2" applyNumberFormat="1" applyFill="1" applyAlignment="1">
      <alignment horizontal="left"/>
    </xf>
    <xf numFmtId="1" fontId="2" fillId="8" borderId="0" xfId="2" applyNumberFormat="1" applyFill="1"/>
    <xf numFmtId="1" fontId="37" fillId="0" borderId="0" xfId="2" applyNumberFormat="1" applyFont="1" applyFill="1"/>
    <xf numFmtId="1" fontId="8" fillId="5" borderId="0" xfId="2" applyNumberFormat="1" applyFont="1" applyFill="1"/>
    <xf numFmtId="1" fontId="39" fillId="8" borderId="0" xfId="2" applyNumberFormat="1" applyFont="1" applyFill="1"/>
    <xf numFmtId="1" fontId="39" fillId="2" borderId="0" xfId="2" applyNumberFormat="1" applyFont="1" applyFill="1"/>
    <xf numFmtId="1" fontId="45" fillId="0" borderId="0" xfId="2" applyNumberFormat="1" applyFont="1"/>
    <xf numFmtId="1" fontId="39" fillId="5" borderId="0" xfId="2" applyNumberFormat="1" applyFont="1" applyFill="1"/>
    <xf numFmtId="1" fontId="39" fillId="0" borderId="0" xfId="2" applyNumberFormat="1" applyFont="1" applyFill="1"/>
    <xf numFmtId="1" fontId="39" fillId="0" borderId="0" xfId="2" applyNumberFormat="1" applyFont="1"/>
    <xf numFmtId="1" fontId="46" fillId="2" borderId="0" xfId="2" applyNumberFormat="1" applyFont="1" applyFill="1" applyAlignment="1">
      <alignment horizontal="left"/>
    </xf>
    <xf numFmtId="1" fontId="2" fillId="0" borderId="0" xfId="2" applyNumberFormat="1" applyAlignment="1">
      <alignment horizontal="left"/>
    </xf>
    <xf numFmtId="1" fontId="3" fillId="0" borderId="0" xfId="2" applyNumberFormat="1" applyFont="1" applyAlignment="1">
      <alignment horizontal="left"/>
    </xf>
    <xf numFmtId="1" fontId="2" fillId="0" borderId="0" xfId="2" applyNumberFormat="1" applyFont="1"/>
    <xf numFmtId="1" fontId="44" fillId="2" borderId="0" xfId="2" applyNumberFormat="1" applyFont="1" applyFill="1"/>
    <xf numFmtId="0" fontId="2" fillId="0" borderId="0" xfId="2" applyAlignment="1">
      <alignment horizontal="left"/>
    </xf>
    <xf numFmtId="0" fontId="2" fillId="0" borderId="0" xfId="2"/>
    <xf numFmtId="0" fontId="41" fillId="0" borderId="0" xfId="2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0.xml"/><Relationship Id="rId1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2.xml"/><Relationship Id="rId10" Type="http://schemas.openxmlformats.org/officeDocument/2006/relationships/chartsheet" Target="chartsheets/sheet8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84697508896779E-2"/>
          <c:y val="7.1352842705685399E-2"/>
          <c:w val="0.91814946619217064"/>
          <c:h val="0.81084606058101005"/>
        </c:manualLayout>
      </c:layout>
      <c:lineChart>
        <c:grouping val="standard"/>
        <c:varyColors val="0"/>
        <c:ser>
          <c:idx val="0"/>
          <c:order val="0"/>
          <c:tx>
            <c:strRef>
              <c:f>'App2DataFig2.1-2.9'!$F$17</c:f>
              <c:strCache>
                <c:ptCount val="1"/>
                <c:pt idx="0">
                  <c:v>IndProd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'App2DataFig2.1-2.9'!$A$98:$A$248</c:f>
              <c:numCache>
                <c:formatCode>General</c:formatCode>
                <c:ptCount val="151"/>
                <c:pt idx="0">
                  <c:v>1860</c:v>
                </c:pt>
                <c:pt idx="1">
                  <c:v>1861</c:v>
                </c:pt>
                <c:pt idx="2">
                  <c:v>1862</c:v>
                </c:pt>
                <c:pt idx="3">
                  <c:v>1863</c:v>
                </c:pt>
                <c:pt idx="4">
                  <c:v>1864</c:v>
                </c:pt>
                <c:pt idx="5">
                  <c:v>1865</c:v>
                </c:pt>
                <c:pt idx="6">
                  <c:v>1866</c:v>
                </c:pt>
                <c:pt idx="7">
                  <c:v>1867</c:v>
                </c:pt>
                <c:pt idx="8">
                  <c:v>1868</c:v>
                </c:pt>
                <c:pt idx="9">
                  <c:v>1869</c:v>
                </c:pt>
                <c:pt idx="10">
                  <c:v>1870</c:v>
                </c:pt>
                <c:pt idx="11">
                  <c:v>1871</c:v>
                </c:pt>
                <c:pt idx="12">
                  <c:v>1872</c:v>
                </c:pt>
                <c:pt idx="13">
                  <c:v>1873</c:v>
                </c:pt>
                <c:pt idx="14">
                  <c:v>1874</c:v>
                </c:pt>
                <c:pt idx="15">
                  <c:v>1875</c:v>
                </c:pt>
                <c:pt idx="16">
                  <c:v>1876</c:v>
                </c:pt>
                <c:pt idx="17">
                  <c:v>1877</c:v>
                </c:pt>
                <c:pt idx="18">
                  <c:v>1878</c:v>
                </c:pt>
                <c:pt idx="19">
                  <c:v>1879</c:v>
                </c:pt>
                <c:pt idx="20">
                  <c:v>1880</c:v>
                </c:pt>
                <c:pt idx="21">
                  <c:v>1881</c:v>
                </c:pt>
                <c:pt idx="22">
                  <c:v>1882</c:v>
                </c:pt>
                <c:pt idx="23">
                  <c:v>1883</c:v>
                </c:pt>
                <c:pt idx="24">
                  <c:v>1884</c:v>
                </c:pt>
                <c:pt idx="25">
                  <c:v>1885</c:v>
                </c:pt>
                <c:pt idx="26">
                  <c:v>1886</c:v>
                </c:pt>
                <c:pt idx="27">
                  <c:v>1887</c:v>
                </c:pt>
                <c:pt idx="28">
                  <c:v>1888</c:v>
                </c:pt>
                <c:pt idx="29">
                  <c:v>1889</c:v>
                </c:pt>
                <c:pt idx="30">
                  <c:v>1890</c:v>
                </c:pt>
                <c:pt idx="31">
                  <c:v>1891</c:v>
                </c:pt>
                <c:pt idx="32">
                  <c:v>1892</c:v>
                </c:pt>
                <c:pt idx="33">
                  <c:v>1893</c:v>
                </c:pt>
                <c:pt idx="34">
                  <c:v>1894</c:v>
                </c:pt>
                <c:pt idx="35">
                  <c:v>1895</c:v>
                </c:pt>
                <c:pt idx="36">
                  <c:v>1896</c:v>
                </c:pt>
                <c:pt idx="37">
                  <c:v>1897</c:v>
                </c:pt>
                <c:pt idx="38">
                  <c:v>1898</c:v>
                </c:pt>
                <c:pt idx="39">
                  <c:v>1899</c:v>
                </c:pt>
                <c:pt idx="40">
                  <c:v>1900</c:v>
                </c:pt>
                <c:pt idx="41">
                  <c:v>1901</c:v>
                </c:pt>
                <c:pt idx="42">
                  <c:v>1902</c:v>
                </c:pt>
                <c:pt idx="43">
                  <c:v>1903</c:v>
                </c:pt>
                <c:pt idx="44">
                  <c:v>1904</c:v>
                </c:pt>
                <c:pt idx="45">
                  <c:v>1905</c:v>
                </c:pt>
                <c:pt idx="46">
                  <c:v>1906</c:v>
                </c:pt>
                <c:pt idx="47">
                  <c:v>1907</c:v>
                </c:pt>
                <c:pt idx="48">
                  <c:v>1908</c:v>
                </c:pt>
                <c:pt idx="49">
                  <c:v>1909</c:v>
                </c:pt>
                <c:pt idx="50">
                  <c:v>1910</c:v>
                </c:pt>
                <c:pt idx="51">
                  <c:v>1911</c:v>
                </c:pt>
                <c:pt idx="52">
                  <c:v>1912</c:v>
                </c:pt>
                <c:pt idx="53">
                  <c:v>1913</c:v>
                </c:pt>
                <c:pt idx="54">
                  <c:v>1914</c:v>
                </c:pt>
                <c:pt idx="55">
                  <c:v>1915</c:v>
                </c:pt>
                <c:pt idx="56">
                  <c:v>1916</c:v>
                </c:pt>
                <c:pt idx="57">
                  <c:v>1917</c:v>
                </c:pt>
                <c:pt idx="58">
                  <c:v>1918</c:v>
                </c:pt>
                <c:pt idx="59">
                  <c:v>1919</c:v>
                </c:pt>
                <c:pt idx="60">
                  <c:v>1920</c:v>
                </c:pt>
                <c:pt idx="61">
                  <c:v>1921</c:v>
                </c:pt>
                <c:pt idx="62">
                  <c:v>1922</c:v>
                </c:pt>
                <c:pt idx="63">
                  <c:v>1923</c:v>
                </c:pt>
                <c:pt idx="64">
                  <c:v>1924</c:v>
                </c:pt>
                <c:pt idx="65">
                  <c:v>1925</c:v>
                </c:pt>
                <c:pt idx="66">
                  <c:v>1926</c:v>
                </c:pt>
                <c:pt idx="67">
                  <c:v>1927</c:v>
                </c:pt>
                <c:pt idx="68">
                  <c:v>1928</c:v>
                </c:pt>
                <c:pt idx="69">
                  <c:v>1929</c:v>
                </c:pt>
                <c:pt idx="70">
                  <c:v>1930</c:v>
                </c:pt>
                <c:pt idx="71">
                  <c:v>1931</c:v>
                </c:pt>
                <c:pt idx="72">
                  <c:v>1932</c:v>
                </c:pt>
                <c:pt idx="73">
                  <c:v>1933</c:v>
                </c:pt>
                <c:pt idx="74">
                  <c:v>1934</c:v>
                </c:pt>
                <c:pt idx="75">
                  <c:v>1935</c:v>
                </c:pt>
                <c:pt idx="76">
                  <c:v>1936</c:v>
                </c:pt>
                <c:pt idx="77">
                  <c:v>1937</c:v>
                </c:pt>
                <c:pt idx="78">
                  <c:v>1938</c:v>
                </c:pt>
                <c:pt idx="79">
                  <c:v>1939</c:v>
                </c:pt>
                <c:pt idx="80">
                  <c:v>1940</c:v>
                </c:pt>
                <c:pt idx="81">
                  <c:v>1941</c:v>
                </c:pt>
                <c:pt idx="82">
                  <c:v>1942</c:v>
                </c:pt>
                <c:pt idx="83">
                  <c:v>1943</c:v>
                </c:pt>
                <c:pt idx="84">
                  <c:v>1944</c:v>
                </c:pt>
                <c:pt idx="85">
                  <c:v>1945</c:v>
                </c:pt>
                <c:pt idx="86">
                  <c:v>1946</c:v>
                </c:pt>
                <c:pt idx="87">
                  <c:v>1947</c:v>
                </c:pt>
                <c:pt idx="88">
                  <c:v>1948</c:v>
                </c:pt>
                <c:pt idx="89">
                  <c:v>1949</c:v>
                </c:pt>
                <c:pt idx="90">
                  <c:v>1950</c:v>
                </c:pt>
                <c:pt idx="91">
                  <c:v>1951</c:v>
                </c:pt>
                <c:pt idx="92">
                  <c:v>1952</c:v>
                </c:pt>
                <c:pt idx="93">
                  <c:v>1953</c:v>
                </c:pt>
                <c:pt idx="94">
                  <c:v>1954</c:v>
                </c:pt>
                <c:pt idx="95">
                  <c:v>1955</c:v>
                </c:pt>
                <c:pt idx="96">
                  <c:v>1956</c:v>
                </c:pt>
                <c:pt idx="97">
                  <c:v>1957</c:v>
                </c:pt>
                <c:pt idx="98">
                  <c:v>1958</c:v>
                </c:pt>
                <c:pt idx="99">
                  <c:v>1959</c:v>
                </c:pt>
                <c:pt idx="100">
                  <c:v>1960</c:v>
                </c:pt>
                <c:pt idx="101">
                  <c:v>1961</c:v>
                </c:pt>
                <c:pt idx="102">
                  <c:v>1962</c:v>
                </c:pt>
                <c:pt idx="103">
                  <c:v>1963</c:v>
                </c:pt>
                <c:pt idx="104">
                  <c:v>1964</c:v>
                </c:pt>
                <c:pt idx="105">
                  <c:v>1965</c:v>
                </c:pt>
                <c:pt idx="106">
                  <c:v>1966</c:v>
                </c:pt>
                <c:pt idx="107">
                  <c:v>1967</c:v>
                </c:pt>
                <c:pt idx="108">
                  <c:v>1968</c:v>
                </c:pt>
                <c:pt idx="109">
                  <c:v>1969</c:v>
                </c:pt>
                <c:pt idx="110">
                  <c:v>1970</c:v>
                </c:pt>
                <c:pt idx="111">
                  <c:v>1971</c:v>
                </c:pt>
                <c:pt idx="112">
                  <c:v>1972</c:v>
                </c:pt>
                <c:pt idx="113">
                  <c:v>1973</c:v>
                </c:pt>
                <c:pt idx="114">
                  <c:v>1974</c:v>
                </c:pt>
                <c:pt idx="115">
                  <c:v>1975</c:v>
                </c:pt>
                <c:pt idx="116">
                  <c:v>1976</c:v>
                </c:pt>
                <c:pt idx="117">
                  <c:v>1977</c:v>
                </c:pt>
                <c:pt idx="118">
                  <c:v>1978</c:v>
                </c:pt>
                <c:pt idx="119">
                  <c:v>1979</c:v>
                </c:pt>
                <c:pt idx="120">
                  <c:v>1980</c:v>
                </c:pt>
                <c:pt idx="121">
                  <c:v>1981</c:v>
                </c:pt>
                <c:pt idx="122">
                  <c:v>1982</c:v>
                </c:pt>
                <c:pt idx="123">
                  <c:v>1983</c:v>
                </c:pt>
                <c:pt idx="124">
                  <c:v>1984</c:v>
                </c:pt>
                <c:pt idx="125">
                  <c:v>1985</c:v>
                </c:pt>
                <c:pt idx="126">
                  <c:v>1986</c:v>
                </c:pt>
                <c:pt idx="127">
                  <c:v>1987</c:v>
                </c:pt>
                <c:pt idx="128">
                  <c:v>1988</c:v>
                </c:pt>
                <c:pt idx="129">
                  <c:v>1989</c:v>
                </c:pt>
                <c:pt idx="130">
                  <c:v>1990</c:v>
                </c:pt>
                <c:pt idx="131">
                  <c:v>1991</c:v>
                </c:pt>
                <c:pt idx="132">
                  <c:v>1992</c:v>
                </c:pt>
                <c:pt idx="133">
                  <c:v>1993</c:v>
                </c:pt>
                <c:pt idx="134">
                  <c:v>1994</c:v>
                </c:pt>
                <c:pt idx="135">
                  <c:v>1995</c:v>
                </c:pt>
                <c:pt idx="136">
                  <c:v>1996</c:v>
                </c:pt>
                <c:pt idx="137">
                  <c:v>1997</c:v>
                </c:pt>
                <c:pt idx="138">
                  <c:v>1998</c:v>
                </c:pt>
                <c:pt idx="139">
                  <c:v>1999</c:v>
                </c:pt>
                <c:pt idx="140">
                  <c:v>2000</c:v>
                </c:pt>
                <c:pt idx="141">
                  <c:v>2001</c:v>
                </c:pt>
                <c:pt idx="142">
                  <c:v>2002</c:v>
                </c:pt>
                <c:pt idx="143">
                  <c:v>2003</c:v>
                </c:pt>
                <c:pt idx="144">
                  <c:v>2004</c:v>
                </c:pt>
                <c:pt idx="145">
                  <c:v>2005</c:v>
                </c:pt>
                <c:pt idx="146">
                  <c:v>2006</c:v>
                </c:pt>
                <c:pt idx="147">
                  <c:v>2007</c:v>
                </c:pt>
                <c:pt idx="148">
                  <c:v>2008</c:v>
                </c:pt>
                <c:pt idx="149">
                  <c:v>2009</c:v>
                </c:pt>
                <c:pt idx="150">
                  <c:v>2010</c:v>
                </c:pt>
              </c:numCache>
            </c:numRef>
          </c:cat>
          <c:val>
            <c:numRef>
              <c:f>'App2DataFig2.1-2.9'!$F$98:$F$248</c:f>
              <c:numCache>
                <c:formatCode>0.000</c:formatCode>
                <c:ptCount val="151"/>
                <c:pt idx="0">
                  <c:v>1.636761487964989</c:v>
                </c:pt>
                <c:pt idx="1">
                  <c:v>1.6389496717724288</c:v>
                </c:pt>
                <c:pt idx="2">
                  <c:v>1.5185995623632385</c:v>
                </c:pt>
                <c:pt idx="3">
                  <c:v>1.724288840262582</c:v>
                </c:pt>
                <c:pt idx="4">
                  <c:v>1.8271334792122538</c:v>
                </c:pt>
                <c:pt idx="5">
                  <c:v>1.7505470459518599</c:v>
                </c:pt>
                <c:pt idx="6">
                  <c:v>2.1531728665207877</c:v>
                </c:pt>
                <c:pt idx="7">
                  <c:v>2.2538293216630199</c:v>
                </c:pt>
                <c:pt idx="8">
                  <c:v>2.3632385120350108</c:v>
                </c:pt>
                <c:pt idx="9">
                  <c:v>2.5382932166301968</c:v>
                </c:pt>
                <c:pt idx="10">
                  <c:v>2.5601750547045952</c:v>
                </c:pt>
                <c:pt idx="11">
                  <c:v>2.6914660831509849</c:v>
                </c:pt>
                <c:pt idx="12">
                  <c:v>3.1947483588621446</c:v>
                </c:pt>
                <c:pt idx="13">
                  <c:v>3.1509846827133479</c:v>
                </c:pt>
                <c:pt idx="14">
                  <c:v>3.0415754923413565</c:v>
                </c:pt>
                <c:pt idx="15">
                  <c:v>2.9540481400437635</c:v>
                </c:pt>
                <c:pt idx="16">
                  <c:v>2.9321663019693656</c:v>
                </c:pt>
                <c:pt idx="17">
                  <c:v>3.1947483588621446</c:v>
                </c:pt>
                <c:pt idx="18">
                  <c:v>3.3916849015317285</c:v>
                </c:pt>
                <c:pt idx="19">
                  <c:v>3.8293216630196936</c:v>
                </c:pt>
                <c:pt idx="20">
                  <c:v>4.4420131291028451</c:v>
                </c:pt>
                <c:pt idx="21">
                  <c:v>4.8796498905908097</c:v>
                </c:pt>
                <c:pt idx="22">
                  <c:v>5.2297592997811817</c:v>
                </c:pt>
                <c:pt idx="23">
                  <c:v>5.3391684901531731</c:v>
                </c:pt>
                <c:pt idx="24">
                  <c:v>5.0547045951859957</c:v>
                </c:pt>
                <c:pt idx="25">
                  <c:v>5.0765864332603936</c:v>
                </c:pt>
                <c:pt idx="26">
                  <c:v>6.1050328227571118</c:v>
                </c:pt>
                <c:pt idx="27">
                  <c:v>6.4551422319474838</c:v>
                </c:pt>
                <c:pt idx="28">
                  <c:v>6.6958424507658645</c:v>
                </c:pt>
                <c:pt idx="29">
                  <c:v>7.1334792122538291</c:v>
                </c:pt>
                <c:pt idx="30">
                  <c:v>7.6586433260393871</c:v>
                </c:pt>
                <c:pt idx="31">
                  <c:v>7.8774617067833699</c:v>
                </c:pt>
                <c:pt idx="32">
                  <c:v>8.4901531728665205</c:v>
                </c:pt>
                <c:pt idx="33">
                  <c:v>7.5929978118161934</c:v>
                </c:pt>
                <c:pt idx="34">
                  <c:v>7.3741794310722106</c:v>
                </c:pt>
                <c:pt idx="35">
                  <c:v>8.6870897155361053</c:v>
                </c:pt>
                <c:pt idx="36">
                  <c:v>8.0743982494529547</c:v>
                </c:pt>
                <c:pt idx="37">
                  <c:v>8.6870897155361053</c:v>
                </c:pt>
                <c:pt idx="38">
                  <c:v>9.7811816192560173</c:v>
                </c:pt>
                <c:pt idx="39">
                  <c:v>10.76586433260394</c:v>
                </c:pt>
                <c:pt idx="40">
                  <c:v>11.072210065645514</c:v>
                </c:pt>
                <c:pt idx="41">
                  <c:v>12.407002188183807</c:v>
                </c:pt>
                <c:pt idx="42">
                  <c:v>13.829321663019694</c:v>
                </c:pt>
                <c:pt idx="43">
                  <c:v>14.310722100656458</c:v>
                </c:pt>
                <c:pt idx="44">
                  <c:v>13.63238512035011</c:v>
                </c:pt>
                <c:pt idx="45">
                  <c:v>16.10503282275711</c:v>
                </c:pt>
                <c:pt idx="46">
                  <c:v>17.264770240700219</c:v>
                </c:pt>
                <c:pt idx="47">
                  <c:v>17.636761487964986</c:v>
                </c:pt>
                <c:pt idx="48">
                  <c:v>14.879649890590809</c:v>
                </c:pt>
                <c:pt idx="49">
                  <c:v>17.549234135667398</c:v>
                </c:pt>
                <c:pt idx="50">
                  <c:v>18.665207877461707</c:v>
                </c:pt>
                <c:pt idx="51">
                  <c:v>17.986870897155359</c:v>
                </c:pt>
                <c:pt idx="52">
                  <c:v>20.503282275711161</c:v>
                </c:pt>
                <c:pt idx="53">
                  <c:v>21.881838074398249</c:v>
                </c:pt>
                <c:pt idx="54">
                  <c:v>20.590809628008753</c:v>
                </c:pt>
                <c:pt idx="55">
                  <c:v>23.916849015317286</c:v>
                </c:pt>
                <c:pt idx="56">
                  <c:v>28.358862144420133</c:v>
                </c:pt>
                <c:pt idx="57">
                  <c:v>28.380743982494526</c:v>
                </c:pt>
                <c:pt idx="58">
                  <c:v>28.18380743982495</c:v>
                </c:pt>
                <c:pt idx="59">
                  <c:v>24.310020492360479</c:v>
                </c:pt>
                <c:pt idx="60">
                  <c:v>25.458235382816575</c:v>
                </c:pt>
                <c:pt idx="61">
                  <c:v>19.573912162178868</c:v>
                </c:pt>
                <c:pt idx="62">
                  <c:v>24.917128300963316</c:v>
                </c:pt>
                <c:pt idx="63">
                  <c:v>29.697484309377792</c:v>
                </c:pt>
                <c:pt idx="64">
                  <c:v>27.820665890478349</c:v>
                </c:pt>
                <c:pt idx="65">
                  <c:v>30.6470790352523</c:v>
                </c:pt>
                <c:pt idx="66">
                  <c:v>32.424401976561093</c:v>
                </c:pt>
                <c:pt idx="67">
                  <c:v>32.402401734311233</c:v>
                </c:pt>
                <c:pt idx="68">
                  <c:v>33.73823666822399</c:v>
                </c:pt>
                <c:pt idx="69">
                  <c:v>37.447749424656585</c:v>
                </c:pt>
                <c:pt idx="70">
                  <c:v>31.110690881764768</c:v>
                </c:pt>
                <c:pt idx="71">
                  <c:v>25.767351146113747</c:v>
                </c:pt>
                <c:pt idx="72">
                  <c:v>20.114772050298981</c:v>
                </c:pt>
                <c:pt idx="73">
                  <c:v>23.82428480673158</c:v>
                </c:pt>
                <c:pt idx="74">
                  <c:v>25.82259894547154</c:v>
                </c:pt>
                <c:pt idx="75">
                  <c:v>29.907228191950878</c:v>
                </c:pt>
                <c:pt idx="76">
                  <c:v>35.294815605834764</c:v>
                </c:pt>
                <c:pt idx="77">
                  <c:v>38.661965041862267</c:v>
                </c:pt>
                <c:pt idx="78">
                  <c:v>30.569583799911506</c:v>
                </c:pt>
                <c:pt idx="79">
                  <c:v>37.513873748272744</c:v>
                </c:pt>
                <c:pt idx="80">
                  <c:v>43.331949048427724</c:v>
                </c:pt>
                <c:pt idx="81">
                  <c:v>54.725231805923265</c:v>
                </c:pt>
                <c:pt idx="82">
                  <c:v>62.795242015024435</c:v>
                </c:pt>
                <c:pt idx="83">
                  <c:v>76.275210670859082</c:v>
                </c:pt>
                <c:pt idx="84">
                  <c:v>81.994037687156563</c:v>
                </c:pt>
                <c:pt idx="85">
                  <c:v>70.181143567648277</c:v>
                </c:pt>
                <c:pt idx="86">
                  <c:v>60.65367910792726</c:v>
                </c:pt>
                <c:pt idx="87">
                  <c:v>68.260201067382539</c:v>
                </c:pt>
                <c:pt idx="88">
                  <c:v>71.141614817781146</c:v>
                </c:pt>
                <c:pt idx="89">
                  <c:v>67.167233976284237</c:v>
                </c:pt>
                <c:pt idx="90">
                  <c:v>77.754541566862201</c:v>
                </c:pt>
                <c:pt idx="91">
                  <c:v>84.334467952568474</c:v>
                </c:pt>
                <c:pt idx="92">
                  <c:v>87.624245750121759</c:v>
                </c:pt>
                <c:pt idx="93">
                  <c:v>94.976899745637652</c:v>
                </c:pt>
                <c:pt idx="94">
                  <c:v>89.600436049745269</c:v>
                </c:pt>
                <c:pt idx="95">
                  <c:v>101.06009032459011</c:v>
                </c:pt>
                <c:pt idx="96">
                  <c:v>105.43183509211674</c:v>
                </c:pt>
                <c:pt idx="97">
                  <c:v>106.93316623036974</c:v>
                </c:pt>
                <c:pt idx="98">
                  <c:v>100</c:v>
                </c:pt>
                <c:pt idx="99">
                  <c:v>111.95651367846521</c:v>
                </c:pt>
                <c:pt idx="100">
                  <c:v>114.48444039046724</c:v>
                </c:pt>
                <c:pt idx="101">
                  <c:v>115.24629147601851</c:v>
                </c:pt>
                <c:pt idx="102">
                  <c:v>124.85112757421375</c:v>
                </c:pt>
                <c:pt idx="103">
                  <c:v>132.50189721190191</c:v>
                </c:pt>
                <c:pt idx="104">
                  <c:v>141.4222538630201</c:v>
                </c:pt>
                <c:pt idx="105">
                  <c:v>155.47608277034962</c:v>
                </c:pt>
                <c:pt idx="106">
                  <c:v>169.23191963237352</c:v>
                </c:pt>
                <c:pt idx="107">
                  <c:v>172.88494862078258</c:v>
                </c:pt>
                <c:pt idx="108">
                  <c:v>182.48854875031211</c:v>
                </c:pt>
                <c:pt idx="109">
                  <c:v>190.96000158203989</c:v>
                </c:pt>
                <c:pt idx="110">
                  <c:v>184.66298842391748</c:v>
                </c:pt>
                <c:pt idx="111">
                  <c:v>187.18745442365545</c:v>
                </c:pt>
                <c:pt idx="112">
                  <c:v>205.18884365243574</c:v>
                </c:pt>
                <c:pt idx="113">
                  <c:v>221.99406240652988</c:v>
                </c:pt>
                <c:pt idx="114">
                  <c:v>221.35074071602139</c:v>
                </c:pt>
                <c:pt idx="115">
                  <c:v>201.80908733601788</c:v>
                </c:pt>
                <c:pt idx="116">
                  <c:v>217.65321685564629</c:v>
                </c:pt>
                <c:pt idx="117">
                  <c:v>234.21111827972942</c:v>
                </c:pt>
                <c:pt idx="118">
                  <c:v>247.03713591453032</c:v>
                </c:pt>
                <c:pt idx="119">
                  <c:v>254.5060945614907</c:v>
                </c:pt>
                <c:pt idx="120">
                  <c:v>248.0304839311714</c:v>
                </c:pt>
                <c:pt idx="121">
                  <c:v>251.34300355217397</c:v>
                </c:pt>
                <c:pt idx="122">
                  <c:v>238.37262477721666</c:v>
                </c:pt>
                <c:pt idx="123">
                  <c:v>244.93178688933881</c:v>
                </c:pt>
                <c:pt idx="124">
                  <c:v>266.75083613280236</c:v>
                </c:pt>
                <c:pt idx="125">
                  <c:v>269.97189407254149</c:v>
                </c:pt>
                <c:pt idx="126">
                  <c:v>272.69213750892987</c:v>
                </c:pt>
                <c:pt idx="127">
                  <c:v>286.78576460729568</c:v>
                </c:pt>
                <c:pt idx="128">
                  <c:v>301.58537700752214</c:v>
                </c:pt>
                <c:pt idx="129">
                  <c:v>304.26013679701197</c:v>
                </c:pt>
                <c:pt idx="130">
                  <c:v>307.15180908733601</c:v>
                </c:pt>
                <c:pt idx="131">
                  <c:v>302.40507142662921</c:v>
                </c:pt>
                <c:pt idx="132">
                  <c:v>310.95278352503209</c:v>
                </c:pt>
                <c:pt idx="133">
                  <c:v>321.11195156980381</c:v>
                </c:pt>
                <c:pt idx="134">
                  <c:v>338.06931806664841</c:v>
                </c:pt>
                <c:pt idx="135">
                  <c:v>354.11280933205785</c:v>
                </c:pt>
                <c:pt idx="136">
                  <c:v>369.85398266183159</c:v>
                </c:pt>
                <c:pt idx="137">
                  <c:v>396.51481555639606</c:v>
                </c:pt>
                <c:pt idx="138">
                  <c:v>419.55500184159337</c:v>
                </c:pt>
                <c:pt idx="139">
                  <c:v>437.53575039365603</c:v>
                </c:pt>
                <c:pt idx="140">
                  <c:v>455.09861793983799</c:v>
                </c:pt>
                <c:pt idx="141">
                  <c:v>439.5957393688156</c:v>
                </c:pt>
                <c:pt idx="142">
                  <c:v>440.50232238512291</c:v>
                </c:pt>
                <c:pt idx="143">
                  <c:v>446.08778838238902</c:v>
                </c:pt>
                <c:pt idx="144">
                  <c:v>456.46213857186297</c:v>
                </c:pt>
                <c:pt idx="145">
                  <c:v>471.2416046828381</c:v>
                </c:pt>
                <c:pt idx="146">
                  <c:v>481.56392059148521</c:v>
                </c:pt>
                <c:pt idx="147">
                  <c:v>494.38746628895467</c:v>
                </c:pt>
                <c:pt idx="148">
                  <c:v>476.04890480816539</c:v>
                </c:pt>
                <c:pt idx="149">
                  <c:v>422.92499400555198</c:v>
                </c:pt>
                <c:pt idx="150">
                  <c:v>445.27390301601076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35296"/>
        <c:axId val="199652480"/>
      </c:lineChart>
      <c:catAx>
        <c:axId val="19933529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65248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99652480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335296"/>
        <c:crosses val="autoZero"/>
        <c:crossBetween val="between"/>
      </c:valAx>
      <c:spPr>
        <a:solidFill>
          <a:srgbClr val="FFFFFF"/>
        </a:solidFill>
        <a:ln w="254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75571405315874"/>
          <c:y val="7.7326645974505601E-2"/>
          <c:w val="0.85067606364345771"/>
          <c:h val="0.8035633513753655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'App2DataFig2.1-2.9'!$A$70:$A$248</c:f>
              <c:numCache>
                <c:formatCode>General</c:formatCode>
                <c:ptCount val="179"/>
                <c:pt idx="0">
                  <c:v>1832</c:v>
                </c:pt>
                <c:pt idx="1">
                  <c:v>1833</c:v>
                </c:pt>
                <c:pt idx="2">
                  <c:v>1834</c:v>
                </c:pt>
                <c:pt idx="3">
                  <c:v>1835</c:v>
                </c:pt>
                <c:pt idx="4">
                  <c:v>1836</c:v>
                </c:pt>
                <c:pt idx="5">
                  <c:v>1837</c:v>
                </c:pt>
                <c:pt idx="6">
                  <c:v>1838</c:v>
                </c:pt>
                <c:pt idx="7">
                  <c:v>1839</c:v>
                </c:pt>
                <c:pt idx="8">
                  <c:v>1840</c:v>
                </c:pt>
                <c:pt idx="9">
                  <c:v>1841</c:v>
                </c:pt>
                <c:pt idx="10">
                  <c:v>1842</c:v>
                </c:pt>
                <c:pt idx="11">
                  <c:v>1843</c:v>
                </c:pt>
                <c:pt idx="12">
                  <c:v>1844</c:v>
                </c:pt>
                <c:pt idx="13">
                  <c:v>1845</c:v>
                </c:pt>
                <c:pt idx="14">
                  <c:v>1846</c:v>
                </c:pt>
                <c:pt idx="15">
                  <c:v>1847</c:v>
                </c:pt>
                <c:pt idx="16">
                  <c:v>1848</c:v>
                </c:pt>
                <c:pt idx="17">
                  <c:v>1849</c:v>
                </c:pt>
                <c:pt idx="18">
                  <c:v>1850</c:v>
                </c:pt>
                <c:pt idx="19">
                  <c:v>1851</c:v>
                </c:pt>
                <c:pt idx="20">
                  <c:v>1852</c:v>
                </c:pt>
                <c:pt idx="21">
                  <c:v>1853</c:v>
                </c:pt>
                <c:pt idx="22">
                  <c:v>1854</c:v>
                </c:pt>
                <c:pt idx="23">
                  <c:v>1855</c:v>
                </c:pt>
                <c:pt idx="24">
                  <c:v>1856</c:v>
                </c:pt>
                <c:pt idx="25">
                  <c:v>1857</c:v>
                </c:pt>
                <c:pt idx="26">
                  <c:v>1858</c:v>
                </c:pt>
                <c:pt idx="27">
                  <c:v>1859</c:v>
                </c:pt>
                <c:pt idx="28">
                  <c:v>1860</c:v>
                </c:pt>
                <c:pt idx="29">
                  <c:v>1861</c:v>
                </c:pt>
                <c:pt idx="30">
                  <c:v>1862</c:v>
                </c:pt>
                <c:pt idx="31">
                  <c:v>1863</c:v>
                </c:pt>
                <c:pt idx="32">
                  <c:v>1864</c:v>
                </c:pt>
                <c:pt idx="33">
                  <c:v>1865</c:v>
                </c:pt>
                <c:pt idx="34">
                  <c:v>1866</c:v>
                </c:pt>
                <c:pt idx="35">
                  <c:v>1867</c:v>
                </c:pt>
                <c:pt idx="36">
                  <c:v>1868</c:v>
                </c:pt>
                <c:pt idx="37">
                  <c:v>1869</c:v>
                </c:pt>
                <c:pt idx="38">
                  <c:v>1870</c:v>
                </c:pt>
                <c:pt idx="39">
                  <c:v>1871</c:v>
                </c:pt>
                <c:pt idx="40">
                  <c:v>1872</c:v>
                </c:pt>
                <c:pt idx="41">
                  <c:v>1873</c:v>
                </c:pt>
                <c:pt idx="42">
                  <c:v>1874</c:v>
                </c:pt>
                <c:pt idx="43">
                  <c:v>1875</c:v>
                </c:pt>
                <c:pt idx="44">
                  <c:v>1876</c:v>
                </c:pt>
                <c:pt idx="45">
                  <c:v>1877</c:v>
                </c:pt>
                <c:pt idx="46">
                  <c:v>1878</c:v>
                </c:pt>
                <c:pt idx="47">
                  <c:v>1879</c:v>
                </c:pt>
                <c:pt idx="48">
                  <c:v>1880</c:v>
                </c:pt>
                <c:pt idx="49">
                  <c:v>1881</c:v>
                </c:pt>
                <c:pt idx="50">
                  <c:v>1882</c:v>
                </c:pt>
                <c:pt idx="51">
                  <c:v>1883</c:v>
                </c:pt>
                <c:pt idx="52">
                  <c:v>1884</c:v>
                </c:pt>
                <c:pt idx="53">
                  <c:v>1885</c:v>
                </c:pt>
                <c:pt idx="54">
                  <c:v>1886</c:v>
                </c:pt>
                <c:pt idx="55">
                  <c:v>1887</c:v>
                </c:pt>
                <c:pt idx="56">
                  <c:v>1888</c:v>
                </c:pt>
                <c:pt idx="57">
                  <c:v>1889</c:v>
                </c:pt>
                <c:pt idx="58">
                  <c:v>1890</c:v>
                </c:pt>
                <c:pt idx="59">
                  <c:v>1891</c:v>
                </c:pt>
                <c:pt idx="60">
                  <c:v>1892</c:v>
                </c:pt>
                <c:pt idx="61">
                  <c:v>1893</c:v>
                </c:pt>
                <c:pt idx="62">
                  <c:v>1894</c:v>
                </c:pt>
                <c:pt idx="63">
                  <c:v>1895</c:v>
                </c:pt>
                <c:pt idx="64">
                  <c:v>1896</c:v>
                </c:pt>
                <c:pt idx="65">
                  <c:v>1897</c:v>
                </c:pt>
                <c:pt idx="66">
                  <c:v>1898</c:v>
                </c:pt>
                <c:pt idx="67">
                  <c:v>1899</c:v>
                </c:pt>
                <c:pt idx="68">
                  <c:v>1900</c:v>
                </c:pt>
                <c:pt idx="69">
                  <c:v>1901</c:v>
                </c:pt>
                <c:pt idx="70">
                  <c:v>1902</c:v>
                </c:pt>
                <c:pt idx="71">
                  <c:v>1903</c:v>
                </c:pt>
                <c:pt idx="72">
                  <c:v>1904</c:v>
                </c:pt>
                <c:pt idx="73">
                  <c:v>1905</c:v>
                </c:pt>
                <c:pt idx="74">
                  <c:v>1906</c:v>
                </c:pt>
                <c:pt idx="75">
                  <c:v>1907</c:v>
                </c:pt>
                <c:pt idx="76">
                  <c:v>1908</c:v>
                </c:pt>
                <c:pt idx="77">
                  <c:v>1909</c:v>
                </c:pt>
                <c:pt idx="78">
                  <c:v>1910</c:v>
                </c:pt>
                <c:pt idx="79">
                  <c:v>1911</c:v>
                </c:pt>
                <c:pt idx="80">
                  <c:v>1912</c:v>
                </c:pt>
                <c:pt idx="81">
                  <c:v>1913</c:v>
                </c:pt>
                <c:pt idx="82">
                  <c:v>1914</c:v>
                </c:pt>
                <c:pt idx="83">
                  <c:v>1915</c:v>
                </c:pt>
                <c:pt idx="84">
                  <c:v>1916</c:v>
                </c:pt>
                <c:pt idx="85">
                  <c:v>1917</c:v>
                </c:pt>
                <c:pt idx="86">
                  <c:v>1918</c:v>
                </c:pt>
                <c:pt idx="87">
                  <c:v>1919</c:v>
                </c:pt>
                <c:pt idx="88">
                  <c:v>1920</c:v>
                </c:pt>
                <c:pt idx="89">
                  <c:v>1921</c:v>
                </c:pt>
                <c:pt idx="90">
                  <c:v>1922</c:v>
                </c:pt>
                <c:pt idx="91">
                  <c:v>1923</c:v>
                </c:pt>
                <c:pt idx="92">
                  <c:v>1924</c:v>
                </c:pt>
                <c:pt idx="93">
                  <c:v>1925</c:v>
                </c:pt>
                <c:pt idx="94">
                  <c:v>1926</c:v>
                </c:pt>
                <c:pt idx="95">
                  <c:v>1927</c:v>
                </c:pt>
                <c:pt idx="96">
                  <c:v>1928</c:v>
                </c:pt>
                <c:pt idx="97">
                  <c:v>1929</c:v>
                </c:pt>
                <c:pt idx="98">
                  <c:v>1930</c:v>
                </c:pt>
                <c:pt idx="99">
                  <c:v>1931</c:v>
                </c:pt>
                <c:pt idx="100">
                  <c:v>1932</c:v>
                </c:pt>
                <c:pt idx="101">
                  <c:v>1933</c:v>
                </c:pt>
                <c:pt idx="102">
                  <c:v>1934</c:v>
                </c:pt>
                <c:pt idx="103">
                  <c:v>1935</c:v>
                </c:pt>
                <c:pt idx="104">
                  <c:v>1936</c:v>
                </c:pt>
                <c:pt idx="105">
                  <c:v>1937</c:v>
                </c:pt>
                <c:pt idx="106">
                  <c:v>1938</c:v>
                </c:pt>
                <c:pt idx="107">
                  <c:v>1939</c:v>
                </c:pt>
                <c:pt idx="108">
                  <c:v>1940</c:v>
                </c:pt>
                <c:pt idx="109">
                  <c:v>1941</c:v>
                </c:pt>
                <c:pt idx="110">
                  <c:v>1942</c:v>
                </c:pt>
                <c:pt idx="111">
                  <c:v>1943</c:v>
                </c:pt>
                <c:pt idx="112">
                  <c:v>1944</c:v>
                </c:pt>
                <c:pt idx="113">
                  <c:v>1945</c:v>
                </c:pt>
                <c:pt idx="114">
                  <c:v>1946</c:v>
                </c:pt>
                <c:pt idx="115">
                  <c:v>1947</c:v>
                </c:pt>
                <c:pt idx="116">
                  <c:v>1948</c:v>
                </c:pt>
                <c:pt idx="117">
                  <c:v>1949</c:v>
                </c:pt>
                <c:pt idx="118">
                  <c:v>1950</c:v>
                </c:pt>
                <c:pt idx="119">
                  <c:v>1951</c:v>
                </c:pt>
                <c:pt idx="120">
                  <c:v>1952</c:v>
                </c:pt>
                <c:pt idx="121">
                  <c:v>1953</c:v>
                </c:pt>
                <c:pt idx="122">
                  <c:v>1954</c:v>
                </c:pt>
                <c:pt idx="123">
                  <c:v>1955</c:v>
                </c:pt>
                <c:pt idx="124">
                  <c:v>1956</c:v>
                </c:pt>
                <c:pt idx="125">
                  <c:v>1957</c:v>
                </c:pt>
                <c:pt idx="126">
                  <c:v>1958</c:v>
                </c:pt>
                <c:pt idx="127">
                  <c:v>1959</c:v>
                </c:pt>
                <c:pt idx="128">
                  <c:v>1960</c:v>
                </c:pt>
                <c:pt idx="129">
                  <c:v>1961</c:v>
                </c:pt>
                <c:pt idx="130">
                  <c:v>1962</c:v>
                </c:pt>
                <c:pt idx="131">
                  <c:v>1963</c:v>
                </c:pt>
                <c:pt idx="132">
                  <c:v>1964</c:v>
                </c:pt>
                <c:pt idx="133">
                  <c:v>1965</c:v>
                </c:pt>
                <c:pt idx="134">
                  <c:v>1966</c:v>
                </c:pt>
                <c:pt idx="135">
                  <c:v>1967</c:v>
                </c:pt>
                <c:pt idx="136">
                  <c:v>1968</c:v>
                </c:pt>
                <c:pt idx="137">
                  <c:v>1969</c:v>
                </c:pt>
                <c:pt idx="138">
                  <c:v>1970</c:v>
                </c:pt>
                <c:pt idx="139">
                  <c:v>1971</c:v>
                </c:pt>
                <c:pt idx="140">
                  <c:v>1972</c:v>
                </c:pt>
                <c:pt idx="141">
                  <c:v>1973</c:v>
                </c:pt>
                <c:pt idx="142">
                  <c:v>1974</c:v>
                </c:pt>
                <c:pt idx="143">
                  <c:v>1975</c:v>
                </c:pt>
                <c:pt idx="144">
                  <c:v>1976</c:v>
                </c:pt>
                <c:pt idx="145">
                  <c:v>1977</c:v>
                </c:pt>
                <c:pt idx="146">
                  <c:v>1978</c:v>
                </c:pt>
                <c:pt idx="147">
                  <c:v>1979</c:v>
                </c:pt>
                <c:pt idx="148">
                  <c:v>1980</c:v>
                </c:pt>
                <c:pt idx="149">
                  <c:v>1981</c:v>
                </c:pt>
                <c:pt idx="150">
                  <c:v>1982</c:v>
                </c:pt>
                <c:pt idx="151">
                  <c:v>1983</c:v>
                </c:pt>
                <c:pt idx="152">
                  <c:v>1984</c:v>
                </c:pt>
                <c:pt idx="153">
                  <c:v>1985</c:v>
                </c:pt>
                <c:pt idx="154">
                  <c:v>1986</c:v>
                </c:pt>
                <c:pt idx="155">
                  <c:v>1987</c:v>
                </c:pt>
                <c:pt idx="156">
                  <c:v>1988</c:v>
                </c:pt>
                <c:pt idx="157">
                  <c:v>1989</c:v>
                </c:pt>
                <c:pt idx="158">
                  <c:v>1990</c:v>
                </c:pt>
                <c:pt idx="159">
                  <c:v>1991</c:v>
                </c:pt>
                <c:pt idx="160">
                  <c:v>1992</c:v>
                </c:pt>
                <c:pt idx="161">
                  <c:v>1993</c:v>
                </c:pt>
                <c:pt idx="162">
                  <c:v>1994</c:v>
                </c:pt>
                <c:pt idx="163">
                  <c:v>1995</c:v>
                </c:pt>
                <c:pt idx="164">
                  <c:v>1996</c:v>
                </c:pt>
                <c:pt idx="165">
                  <c:v>1997</c:v>
                </c:pt>
                <c:pt idx="166">
                  <c:v>1998</c:v>
                </c:pt>
                <c:pt idx="167">
                  <c:v>1999</c:v>
                </c:pt>
                <c:pt idx="168">
                  <c:v>2000</c:v>
                </c:pt>
                <c:pt idx="169">
                  <c:v>2001</c:v>
                </c:pt>
                <c:pt idx="170">
                  <c:v>2002</c:v>
                </c:pt>
                <c:pt idx="171">
                  <c:v>2003</c:v>
                </c:pt>
                <c:pt idx="172">
                  <c:v>2004</c:v>
                </c:pt>
                <c:pt idx="173">
                  <c:v>2005</c:v>
                </c:pt>
                <c:pt idx="174">
                  <c:v>2006</c:v>
                </c:pt>
                <c:pt idx="175">
                  <c:v>2007</c:v>
                </c:pt>
                <c:pt idx="176">
                  <c:v>2008</c:v>
                </c:pt>
                <c:pt idx="177">
                  <c:v>2009</c:v>
                </c:pt>
                <c:pt idx="178">
                  <c:v>2010</c:v>
                </c:pt>
              </c:numCache>
            </c:numRef>
          </c:cat>
          <c:val>
            <c:numRef>
              <c:f>'App2DataFig2.1-2.9'!$M$70:$M$248</c:f>
              <c:numCache>
                <c:formatCode>0.00</c:formatCode>
                <c:ptCount val="179"/>
                <c:pt idx="0">
                  <c:v>8.0574156107276529E-2</c:v>
                </c:pt>
                <c:pt idx="1">
                  <c:v>4.9495553037327014E-2</c:v>
                </c:pt>
                <c:pt idx="2">
                  <c:v>8.8631571718004176E-2</c:v>
                </c:pt>
                <c:pt idx="3">
                  <c:v>5.8704028021015757E-2</c:v>
                </c:pt>
                <c:pt idx="4">
                  <c:v>0.123163352906837</c:v>
                </c:pt>
                <c:pt idx="5">
                  <c:v>0.15193983723086432</c:v>
                </c:pt>
                <c:pt idx="6">
                  <c:v>0.22560763710037426</c:v>
                </c:pt>
                <c:pt idx="7">
                  <c:v>0.18416949967377494</c:v>
                </c:pt>
                <c:pt idx="8">
                  <c:v>0.22675869647333535</c:v>
                </c:pt>
                <c:pt idx="9">
                  <c:v>0.2923690807321177</c:v>
                </c:pt>
                <c:pt idx="10">
                  <c:v>0.23366505271110191</c:v>
                </c:pt>
                <c:pt idx="11">
                  <c:v>0.13237182789052573</c:v>
                </c:pt>
                <c:pt idx="12">
                  <c:v>8.6329452972081999E-2</c:v>
                </c:pt>
                <c:pt idx="13">
                  <c:v>0.13352288726348682</c:v>
                </c:pt>
                <c:pt idx="14">
                  <c:v>0.15539301534974759</c:v>
                </c:pt>
                <c:pt idx="15">
                  <c:v>0.11510593729610931</c:v>
                </c:pt>
                <c:pt idx="16">
                  <c:v>0.44315785859002094</c:v>
                </c:pt>
                <c:pt idx="17">
                  <c:v>0.4155324336389547</c:v>
                </c:pt>
                <c:pt idx="18">
                  <c:v>0.54099790529171377</c:v>
                </c:pt>
                <c:pt idx="19">
                  <c:v>0.53178943030802506</c:v>
                </c:pt>
                <c:pt idx="20">
                  <c:v>1.0497661481405172</c:v>
                </c:pt>
                <c:pt idx="21">
                  <c:v>1.0002705951031898</c:v>
                </c:pt>
                <c:pt idx="22">
                  <c:v>1.5412685003949038</c:v>
                </c:pt>
                <c:pt idx="23">
                  <c:v>1.7242869406957178</c:v>
                </c:pt>
                <c:pt idx="24">
                  <c:v>1.3053013289378799</c:v>
                </c:pt>
                <c:pt idx="25">
                  <c:v>1.6045767659077639</c:v>
                </c:pt>
                <c:pt idx="26">
                  <c:v>1.6471659627073243</c:v>
                </c:pt>
                <c:pt idx="27">
                  <c:v>1.4940750661034992</c:v>
                </c:pt>
                <c:pt idx="28">
                  <c:v>1.4296157412176778</c:v>
                </c:pt>
                <c:pt idx="29">
                  <c:v>1.3778180694344286</c:v>
                </c:pt>
                <c:pt idx="30">
                  <c:v>1.2281803509494866</c:v>
                </c:pt>
                <c:pt idx="31">
                  <c:v>0.82646062978606505</c:v>
                </c:pt>
                <c:pt idx="32">
                  <c:v>0.94271762645513535</c:v>
                </c:pt>
                <c:pt idx="33">
                  <c:v>0.87710724219635305</c:v>
                </c:pt>
                <c:pt idx="34">
                  <c:v>1.2684674290031248</c:v>
                </c:pt>
                <c:pt idx="35">
                  <c:v>1.7956526218193056</c:v>
                </c:pt>
                <c:pt idx="36">
                  <c:v>2.0293176745304078</c:v>
                </c:pt>
                <c:pt idx="37">
                  <c:v>2.9064249167267606</c:v>
                </c:pt>
                <c:pt idx="38">
                  <c:v>4.4684124858349641</c:v>
                </c:pt>
                <c:pt idx="39">
                  <c:v>4.1587775145084294</c:v>
                </c:pt>
                <c:pt idx="40">
                  <c:v>4.8563194945228521</c:v>
                </c:pt>
                <c:pt idx="41">
                  <c:v>4.3440980735551662</c:v>
                </c:pt>
                <c:pt idx="42">
                  <c:v>3.3967762096081859</c:v>
                </c:pt>
                <c:pt idx="43">
                  <c:v>2.9328992823048656</c:v>
                </c:pt>
                <c:pt idx="44">
                  <c:v>3.0710264070601965</c:v>
                </c:pt>
                <c:pt idx="45">
                  <c:v>3.4715950688506569</c:v>
                </c:pt>
                <c:pt idx="46">
                  <c:v>4.4108595171869096</c:v>
                </c:pt>
                <c:pt idx="47">
                  <c:v>4.0908650115037251</c:v>
                </c:pt>
                <c:pt idx="48">
                  <c:v>4.6997754198001438</c:v>
                </c:pt>
                <c:pt idx="49">
                  <c:v>8.6997067408399413</c:v>
                </c:pt>
                <c:pt idx="50">
                  <c:v>8.4925160537069466</c:v>
                </c:pt>
                <c:pt idx="51">
                  <c:v>7.0859214999484905</c:v>
                </c:pt>
                <c:pt idx="52">
                  <c:v>6.6082318601696368</c:v>
                </c:pt>
                <c:pt idx="53">
                  <c:v>5.3259517186909795</c:v>
                </c:pt>
                <c:pt idx="54">
                  <c:v>5.3144411249613679</c:v>
                </c:pt>
                <c:pt idx="55">
                  <c:v>9.0726499776793386</c:v>
                </c:pt>
                <c:pt idx="56">
                  <c:v>8.9897737028261382</c:v>
                </c:pt>
                <c:pt idx="57">
                  <c:v>9.5814182205281408</c:v>
                </c:pt>
                <c:pt idx="58">
                  <c:v>12.142525325366574</c:v>
                </c:pt>
                <c:pt idx="59">
                  <c:v>11.444983345352149</c:v>
                </c:pt>
                <c:pt idx="60">
                  <c:v>11.501385254627243</c:v>
                </c:pt>
                <c:pt idx="61">
                  <c:v>11.938787816352459</c:v>
                </c:pt>
                <c:pt idx="62">
                  <c:v>10.59204834998798</c:v>
                </c:pt>
                <c:pt idx="63">
                  <c:v>11.411602623536279</c:v>
                </c:pt>
                <c:pt idx="64">
                  <c:v>14.21328113732358</c:v>
                </c:pt>
                <c:pt idx="65">
                  <c:v>14.292704234057895</c:v>
                </c:pt>
                <c:pt idx="66">
                  <c:v>13.659621578929293</c:v>
                </c:pt>
                <c:pt idx="67">
                  <c:v>15.334412966587685</c:v>
                </c:pt>
                <c:pt idx="68">
                  <c:v>16.656980186119977</c:v>
                </c:pt>
                <c:pt idx="69">
                  <c:v>17.265890594416398</c:v>
                </c:pt>
                <c:pt idx="70">
                  <c:v>21.077572885546513</c:v>
                </c:pt>
                <c:pt idx="71">
                  <c:v>22.571340269908312</c:v>
                </c:pt>
                <c:pt idx="72">
                  <c:v>20.078294014628618</c:v>
                </c:pt>
                <c:pt idx="73">
                  <c:v>20.603688060162771</c:v>
                </c:pt>
                <c:pt idx="74">
                  <c:v>23.920881837848974</c:v>
                </c:pt>
                <c:pt idx="75">
                  <c:v>26.619964973730298</c:v>
                </c:pt>
                <c:pt idx="76">
                  <c:v>20.737612032553823</c:v>
                </c:pt>
                <c:pt idx="77">
                  <c:v>23.879674461728651</c:v>
                </c:pt>
                <c:pt idx="78">
                  <c:v>26.990831358813228</c:v>
                </c:pt>
                <c:pt idx="79">
                  <c:v>25.239517873699391</c:v>
                </c:pt>
                <c:pt idx="80">
                  <c:v>28.711239311836813</c:v>
                </c:pt>
                <c:pt idx="81">
                  <c:v>29.916555063356341</c:v>
                </c:pt>
                <c:pt idx="82">
                  <c:v>24.322653755022152</c:v>
                </c:pt>
                <c:pt idx="83">
                  <c:v>22.612547646028634</c:v>
                </c:pt>
                <c:pt idx="84">
                  <c:v>29.113011229009992</c:v>
                </c:pt>
                <c:pt idx="85">
                  <c:v>32.90408983207994</c:v>
                </c:pt>
                <c:pt idx="86">
                  <c:v>34.511177500772639</c:v>
                </c:pt>
                <c:pt idx="87">
                  <c:v>35.819511692592968</c:v>
                </c:pt>
                <c:pt idx="88">
                  <c:v>42.289069743484092</c:v>
                </c:pt>
                <c:pt idx="89">
                  <c:v>32.471412382816524</c:v>
                </c:pt>
                <c:pt idx="90">
                  <c:v>37.900484186669409</c:v>
                </c:pt>
                <c:pt idx="91">
                  <c:v>50.283300710827234</c:v>
                </c:pt>
                <c:pt idx="92">
                  <c:v>45.389924796538573</c:v>
                </c:pt>
                <c:pt idx="93">
                  <c:v>55.104563716905325</c:v>
                </c:pt>
                <c:pt idx="94">
                  <c:v>55.423920881837844</c:v>
                </c:pt>
                <c:pt idx="95">
                  <c:v>53.167817039250018</c:v>
                </c:pt>
                <c:pt idx="96">
                  <c:v>53.991964561656523</c:v>
                </c:pt>
                <c:pt idx="97">
                  <c:v>58.648398063253325</c:v>
                </c:pt>
                <c:pt idx="98">
                  <c:v>50.53054496754919</c:v>
                </c:pt>
                <c:pt idx="99">
                  <c:v>34.480271968682395</c:v>
                </c:pt>
                <c:pt idx="100">
                  <c:v>22.39620892139693</c:v>
                </c:pt>
                <c:pt idx="101">
                  <c:v>20.191614298959514</c:v>
                </c:pt>
                <c:pt idx="102">
                  <c:v>24.178427938601008</c:v>
                </c:pt>
                <c:pt idx="103">
                  <c:v>29.329349953641699</c:v>
                </c:pt>
                <c:pt idx="104">
                  <c:v>38.27135057175235</c:v>
                </c:pt>
                <c:pt idx="105">
                  <c:v>45.503245080869476</c:v>
                </c:pt>
                <c:pt idx="106">
                  <c:v>34.95415679406613</c:v>
                </c:pt>
                <c:pt idx="107">
                  <c:v>38.085917379210876</c:v>
                </c:pt>
                <c:pt idx="108">
                  <c:v>45.678376429380855</c:v>
                </c:pt>
                <c:pt idx="109">
                  <c:v>51.550427526527244</c:v>
                </c:pt>
                <c:pt idx="110">
                  <c:v>33.11012671268157</c:v>
                </c:pt>
                <c:pt idx="111">
                  <c:v>27.9489028536108</c:v>
                </c:pt>
                <c:pt idx="112">
                  <c:v>35.386834243329552</c:v>
                </c:pt>
                <c:pt idx="113">
                  <c:v>49.088286803337795</c:v>
                </c:pt>
                <c:pt idx="114">
                  <c:v>70.701555578448534</c:v>
                </c:pt>
                <c:pt idx="115">
                  <c:v>80.673740599567324</c:v>
                </c:pt>
                <c:pt idx="116">
                  <c:v>85.804058926547867</c:v>
                </c:pt>
                <c:pt idx="117">
                  <c:v>77.923148243535579</c:v>
                </c:pt>
                <c:pt idx="118">
                  <c:v>85.536210981765748</c:v>
                </c:pt>
                <c:pt idx="119">
                  <c:v>89.512722777377149</c:v>
                </c:pt>
                <c:pt idx="120">
                  <c:v>87.771711136293391</c:v>
                </c:pt>
                <c:pt idx="121">
                  <c:v>94.879983517049567</c:v>
                </c:pt>
                <c:pt idx="122">
                  <c:v>92.685690738642222</c:v>
                </c:pt>
                <c:pt idx="123">
                  <c:v>103.08025136499434</c:v>
                </c:pt>
                <c:pt idx="124">
                  <c:v>109.90007211290821</c:v>
                </c:pt>
                <c:pt idx="125">
                  <c:v>111.50715978160092</c:v>
                </c:pt>
                <c:pt idx="126">
                  <c:v>100</c:v>
                </c:pt>
                <c:pt idx="127">
                  <c:v>105.696919748635</c:v>
                </c:pt>
                <c:pt idx="128">
                  <c:v>112.14587411146593</c:v>
                </c:pt>
                <c:pt idx="129">
                  <c:v>111.54836715772122</c:v>
                </c:pt>
                <c:pt idx="130">
                  <c:v>121.56175955496032</c:v>
                </c:pt>
                <c:pt idx="131">
                  <c:v>127.63984753270836</c:v>
                </c:pt>
                <c:pt idx="132">
                  <c:v>142.84536932110845</c:v>
                </c:pt>
                <c:pt idx="133">
                  <c:v>167.51828577315337</c:v>
                </c:pt>
                <c:pt idx="134">
                  <c:v>187.63778716390232</c:v>
                </c:pt>
                <c:pt idx="135">
                  <c:v>185.33017410116409</c:v>
                </c:pt>
                <c:pt idx="136">
                  <c:v>193.79828989389102</c:v>
                </c:pt>
                <c:pt idx="137">
                  <c:v>208.80807664571958</c:v>
                </c:pt>
                <c:pt idx="138">
                  <c:v>206.44895436283096</c:v>
                </c:pt>
                <c:pt idx="139">
                  <c:v>206.15020088595858</c:v>
                </c:pt>
                <c:pt idx="140">
                  <c:v>225.9400432677449</c:v>
                </c:pt>
                <c:pt idx="141">
                  <c:v>258.76171834758424</c:v>
                </c:pt>
                <c:pt idx="142">
                  <c:v>260.2863912640363</c:v>
                </c:pt>
                <c:pt idx="143">
                  <c:v>235.43834346347995</c:v>
                </c:pt>
                <c:pt idx="144">
                  <c:v>245.85350777789222</c:v>
                </c:pt>
                <c:pt idx="145">
                  <c:v>273.69939219120226</c:v>
                </c:pt>
                <c:pt idx="146">
                  <c:v>314.73163696301634</c:v>
                </c:pt>
                <c:pt idx="147">
                  <c:v>347.39878438240447</c:v>
                </c:pt>
                <c:pt idx="148">
                  <c:v>345.74018749356128</c:v>
                </c:pt>
                <c:pt idx="149">
                  <c:v>364.45863809621926</c:v>
                </c:pt>
                <c:pt idx="150">
                  <c:v>347.84176367569796</c:v>
                </c:pt>
                <c:pt idx="151">
                  <c:v>343.14412279798074</c:v>
                </c:pt>
                <c:pt idx="152">
                  <c:v>405.05820541877</c:v>
                </c:pt>
                <c:pt idx="153">
                  <c:v>434.14031111568983</c:v>
                </c:pt>
                <c:pt idx="154">
                  <c:v>418.29607499742457</c:v>
                </c:pt>
                <c:pt idx="155">
                  <c:v>421.61326877511078</c:v>
                </c:pt>
                <c:pt idx="156">
                  <c:v>442.33027711960438</c:v>
                </c:pt>
                <c:pt idx="157">
                  <c:v>465.83908519625015</c:v>
                </c:pt>
                <c:pt idx="158">
                  <c:v>471.56691047697541</c:v>
                </c:pt>
                <c:pt idx="159">
                  <c:v>444.89543628309468</c:v>
                </c:pt>
                <c:pt idx="160">
                  <c:v>456.588029257237</c:v>
                </c:pt>
                <c:pt idx="161">
                  <c:v>502.42093334706914</c:v>
                </c:pt>
                <c:pt idx="162">
                  <c:v>547.41938807046461</c:v>
                </c:pt>
                <c:pt idx="163">
                  <c:v>606.75800968373335</c:v>
                </c:pt>
                <c:pt idx="164">
                  <c:v>668.39394251571025</c:v>
                </c:pt>
                <c:pt idx="165">
                  <c:v>745.20449160399721</c:v>
                </c:pt>
                <c:pt idx="166">
                  <c:v>834.83053466570516</c:v>
                </c:pt>
                <c:pt idx="167">
                  <c:v>919.04810961162059</c:v>
                </c:pt>
                <c:pt idx="168">
                  <c:v>1008.2414752240652</c:v>
                </c:pt>
                <c:pt idx="169">
                  <c:v>974.19388070464618</c:v>
                </c:pt>
                <c:pt idx="170">
                  <c:v>894.20006181106419</c:v>
                </c:pt>
                <c:pt idx="171">
                  <c:v>902.15308540228693</c:v>
                </c:pt>
                <c:pt idx="172">
                  <c:v>961.85227155660868</c:v>
                </c:pt>
                <c:pt idx="173">
                  <c:v>1030.1844030081386</c:v>
                </c:pt>
                <c:pt idx="174">
                  <c:v>1111.3011229009992</c:v>
                </c:pt>
                <c:pt idx="175">
                  <c:v>1186.7003193571647</c:v>
                </c:pt>
                <c:pt idx="176">
                  <c:v>1179.3138971875967</c:v>
                </c:pt>
                <c:pt idx="177">
                  <c:v>972.7207170083442</c:v>
                </c:pt>
                <c:pt idx="178">
                  <c:v>1013.2687751107449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81920"/>
        <c:axId val="199683456"/>
      </c:lineChart>
      <c:catAx>
        <c:axId val="19968192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683456"/>
        <c:crossesAt val="0.01"/>
        <c:auto val="1"/>
        <c:lblAlgn val="ctr"/>
        <c:lblOffset val="100"/>
        <c:tickLblSkip val="20"/>
        <c:tickMarkSkip val="10"/>
        <c:noMultiLvlLbl val="0"/>
      </c:catAx>
      <c:valAx>
        <c:axId val="199683456"/>
        <c:scaling>
          <c:logBase val="10"/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/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681920"/>
        <c:crosses val="autoZero"/>
        <c:crossBetween val="between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512455516014224E-2"/>
          <c:y val="7.9508156650923131E-2"/>
          <c:w val="0.86963425056743349"/>
          <c:h val="0.8000728999872210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'App2DataFig2.1-2.9'!$A$127:$A$248</c:f>
              <c:numCache>
                <c:formatCode>General</c:formatCode>
                <c:ptCount val="122"/>
                <c:pt idx="0">
                  <c:v>1889</c:v>
                </c:pt>
                <c:pt idx="1">
                  <c:v>1890</c:v>
                </c:pt>
                <c:pt idx="2">
                  <c:v>1891</c:v>
                </c:pt>
                <c:pt idx="3">
                  <c:v>1892</c:v>
                </c:pt>
                <c:pt idx="4">
                  <c:v>1893</c:v>
                </c:pt>
                <c:pt idx="5">
                  <c:v>1894</c:v>
                </c:pt>
                <c:pt idx="6">
                  <c:v>1895</c:v>
                </c:pt>
                <c:pt idx="7">
                  <c:v>1896</c:v>
                </c:pt>
                <c:pt idx="8">
                  <c:v>1897</c:v>
                </c:pt>
                <c:pt idx="9">
                  <c:v>1898</c:v>
                </c:pt>
                <c:pt idx="10">
                  <c:v>1899</c:v>
                </c:pt>
                <c:pt idx="11">
                  <c:v>1900</c:v>
                </c:pt>
                <c:pt idx="12">
                  <c:v>1901</c:v>
                </c:pt>
                <c:pt idx="13">
                  <c:v>1902</c:v>
                </c:pt>
                <c:pt idx="14">
                  <c:v>1903</c:v>
                </c:pt>
                <c:pt idx="15">
                  <c:v>1904</c:v>
                </c:pt>
                <c:pt idx="16">
                  <c:v>1905</c:v>
                </c:pt>
                <c:pt idx="17">
                  <c:v>1906</c:v>
                </c:pt>
                <c:pt idx="18">
                  <c:v>1907</c:v>
                </c:pt>
                <c:pt idx="19">
                  <c:v>1908</c:v>
                </c:pt>
                <c:pt idx="20">
                  <c:v>1909</c:v>
                </c:pt>
                <c:pt idx="21">
                  <c:v>1910</c:v>
                </c:pt>
                <c:pt idx="22">
                  <c:v>1911</c:v>
                </c:pt>
                <c:pt idx="23">
                  <c:v>1912</c:v>
                </c:pt>
                <c:pt idx="24">
                  <c:v>1913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1917</c:v>
                </c:pt>
                <c:pt idx="29">
                  <c:v>1918</c:v>
                </c:pt>
                <c:pt idx="30">
                  <c:v>1919</c:v>
                </c:pt>
                <c:pt idx="31">
                  <c:v>1920</c:v>
                </c:pt>
                <c:pt idx="32">
                  <c:v>1921</c:v>
                </c:pt>
                <c:pt idx="33">
                  <c:v>1922</c:v>
                </c:pt>
                <c:pt idx="34">
                  <c:v>1923</c:v>
                </c:pt>
                <c:pt idx="35">
                  <c:v>1924</c:v>
                </c:pt>
                <c:pt idx="36">
                  <c:v>1925</c:v>
                </c:pt>
                <c:pt idx="37">
                  <c:v>1926</c:v>
                </c:pt>
                <c:pt idx="38">
                  <c:v>1927</c:v>
                </c:pt>
                <c:pt idx="39">
                  <c:v>1928</c:v>
                </c:pt>
                <c:pt idx="40">
                  <c:v>1929</c:v>
                </c:pt>
                <c:pt idx="41">
                  <c:v>1930</c:v>
                </c:pt>
                <c:pt idx="42">
                  <c:v>1931</c:v>
                </c:pt>
                <c:pt idx="43">
                  <c:v>1932</c:v>
                </c:pt>
                <c:pt idx="44">
                  <c:v>1933</c:v>
                </c:pt>
                <c:pt idx="45">
                  <c:v>1934</c:v>
                </c:pt>
                <c:pt idx="46">
                  <c:v>1935</c:v>
                </c:pt>
                <c:pt idx="47">
                  <c:v>1936</c:v>
                </c:pt>
                <c:pt idx="48">
                  <c:v>1937</c:v>
                </c:pt>
                <c:pt idx="49">
                  <c:v>1938</c:v>
                </c:pt>
                <c:pt idx="50">
                  <c:v>1939</c:v>
                </c:pt>
                <c:pt idx="51">
                  <c:v>1940</c:v>
                </c:pt>
                <c:pt idx="52">
                  <c:v>1941</c:v>
                </c:pt>
                <c:pt idx="53">
                  <c:v>1942</c:v>
                </c:pt>
                <c:pt idx="54">
                  <c:v>1943</c:v>
                </c:pt>
                <c:pt idx="55">
                  <c:v>1944</c:v>
                </c:pt>
                <c:pt idx="56">
                  <c:v>1945</c:v>
                </c:pt>
                <c:pt idx="57">
                  <c:v>1946</c:v>
                </c:pt>
                <c:pt idx="58">
                  <c:v>1947</c:v>
                </c:pt>
                <c:pt idx="59">
                  <c:v>1948</c:v>
                </c:pt>
                <c:pt idx="60">
                  <c:v>1949</c:v>
                </c:pt>
                <c:pt idx="61">
                  <c:v>1950</c:v>
                </c:pt>
                <c:pt idx="62">
                  <c:v>1951</c:v>
                </c:pt>
                <c:pt idx="63">
                  <c:v>1952</c:v>
                </c:pt>
                <c:pt idx="64">
                  <c:v>1953</c:v>
                </c:pt>
                <c:pt idx="65">
                  <c:v>1954</c:v>
                </c:pt>
                <c:pt idx="66">
                  <c:v>1955</c:v>
                </c:pt>
                <c:pt idx="67">
                  <c:v>1956</c:v>
                </c:pt>
                <c:pt idx="68">
                  <c:v>1957</c:v>
                </c:pt>
                <c:pt idx="69">
                  <c:v>1958</c:v>
                </c:pt>
                <c:pt idx="70">
                  <c:v>1959</c:v>
                </c:pt>
                <c:pt idx="71">
                  <c:v>1960</c:v>
                </c:pt>
                <c:pt idx="72">
                  <c:v>1961</c:v>
                </c:pt>
                <c:pt idx="73">
                  <c:v>1962</c:v>
                </c:pt>
                <c:pt idx="74">
                  <c:v>1963</c:v>
                </c:pt>
                <c:pt idx="75">
                  <c:v>1964</c:v>
                </c:pt>
                <c:pt idx="76">
                  <c:v>1965</c:v>
                </c:pt>
                <c:pt idx="77">
                  <c:v>1966</c:v>
                </c:pt>
                <c:pt idx="78">
                  <c:v>1967</c:v>
                </c:pt>
                <c:pt idx="79">
                  <c:v>1968</c:v>
                </c:pt>
                <c:pt idx="80">
                  <c:v>1969</c:v>
                </c:pt>
                <c:pt idx="81">
                  <c:v>1970</c:v>
                </c:pt>
                <c:pt idx="82">
                  <c:v>1971</c:v>
                </c:pt>
                <c:pt idx="83">
                  <c:v>1972</c:v>
                </c:pt>
                <c:pt idx="84">
                  <c:v>1973</c:v>
                </c:pt>
                <c:pt idx="85">
                  <c:v>1974</c:v>
                </c:pt>
                <c:pt idx="86">
                  <c:v>1975</c:v>
                </c:pt>
                <c:pt idx="87">
                  <c:v>1976</c:v>
                </c:pt>
                <c:pt idx="88">
                  <c:v>1977</c:v>
                </c:pt>
                <c:pt idx="89">
                  <c:v>1978</c:v>
                </c:pt>
                <c:pt idx="90">
                  <c:v>1979</c:v>
                </c:pt>
                <c:pt idx="91">
                  <c:v>1980</c:v>
                </c:pt>
                <c:pt idx="92">
                  <c:v>1981</c:v>
                </c:pt>
                <c:pt idx="93">
                  <c:v>1982</c:v>
                </c:pt>
                <c:pt idx="94">
                  <c:v>1983</c:v>
                </c:pt>
                <c:pt idx="95">
                  <c:v>1984</c:v>
                </c:pt>
                <c:pt idx="96">
                  <c:v>1985</c:v>
                </c:pt>
                <c:pt idx="97">
                  <c:v>1986</c:v>
                </c:pt>
                <c:pt idx="98">
                  <c:v>1987</c:v>
                </c:pt>
                <c:pt idx="99">
                  <c:v>1988</c:v>
                </c:pt>
                <c:pt idx="100">
                  <c:v>1989</c:v>
                </c:pt>
                <c:pt idx="101">
                  <c:v>1990</c:v>
                </c:pt>
                <c:pt idx="102">
                  <c:v>1991</c:v>
                </c:pt>
                <c:pt idx="103">
                  <c:v>1992</c:v>
                </c:pt>
                <c:pt idx="104">
                  <c:v>1993</c:v>
                </c:pt>
                <c:pt idx="105">
                  <c:v>1994</c:v>
                </c:pt>
                <c:pt idx="106">
                  <c:v>1995</c:v>
                </c:pt>
                <c:pt idx="107">
                  <c:v>1996</c:v>
                </c:pt>
                <c:pt idx="108">
                  <c:v>1997</c:v>
                </c:pt>
                <c:pt idx="109">
                  <c:v>1998</c:v>
                </c:pt>
                <c:pt idx="110">
                  <c:v>1999</c:v>
                </c:pt>
                <c:pt idx="111">
                  <c:v>2000</c:v>
                </c:pt>
                <c:pt idx="112">
                  <c:v>2001</c:v>
                </c:pt>
                <c:pt idx="113">
                  <c:v>2002</c:v>
                </c:pt>
                <c:pt idx="114">
                  <c:v>2003</c:v>
                </c:pt>
                <c:pt idx="115">
                  <c:v>2004</c:v>
                </c:pt>
                <c:pt idx="116">
                  <c:v>2005</c:v>
                </c:pt>
                <c:pt idx="117">
                  <c:v>2006</c:v>
                </c:pt>
                <c:pt idx="118">
                  <c:v>2007</c:v>
                </c:pt>
                <c:pt idx="119">
                  <c:v>2008</c:v>
                </c:pt>
                <c:pt idx="120">
                  <c:v>2009</c:v>
                </c:pt>
                <c:pt idx="121">
                  <c:v>2010</c:v>
                </c:pt>
              </c:numCache>
            </c:numRef>
          </c:cat>
          <c:val>
            <c:numRef>
              <c:f>'App2DataFig2.1-2.9'!$Q$127:$Q$248</c:f>
              <c:numCache>
                <c:formatCode>#,##0.00</c:formatCode>
                <c:ptCount val="122"/>
                <c:pt idx="0">
                  <c:v>4698.82</c:v>
                </c:pt>
                <c:pt idx="1">
                  <c:v>5060.21</c:v>
                </c:pt>
                <c:pt idx="2">
                  <c:v>5010.71</c:v>
                </c:pt>
                <c:pt idx="3">
                  <c:v>5147.16</c:v>
                </c:pt>
                <c:pt idx="4">
                  <c:v>4737.01</c:v>
                </c:pt>
                <c:pt idx="5">
                  <c:v>4418.2</c:v>
                </c:pt>
                <c:pt idx="6">
                  <c:v>4841.13</c:v>
                </c:pt>
                <c:pt idx="7">
                  <c:v>4686.7700000000004</c:v>
                </c:pt>
                <c:pt idx="8">
                  <c:v>4804.22</c:v>
                </c:pt>
                <c:pt idx="9">
                  <c:v>5245.57</c:v>
                </c:pt>
                <c:pt idx="10">
                  <c:v>5514.89</c:v>
                </c:pt>
                <c:pt idx="11">
                  <c:v>5556.85</c:v>
                </c:pt>
                <c:pt idx="12">
                  <c:v>5739.42</c:v>
                </c:pt>
                <c:pt idx="13">
                  <c:v>5913.87</c:v>
                </c:pt>
                <c:pt idx="14">
                  <c:v>5975.56</c:v>
                </c:pt>
                <c:pt idx="15">
                  <c:v>5656.37</c:v>
                </c:pt>
                <c:pt idx="16">
                  <c:v>6170.23</c:v>
                </c:pt>
                <c:pt idx="17">
                  <c:v>6300.18</c:v>
                </c:pt>
                <c:pt idx="18">
                  <c:v>6346.36</c:v>
                </c:pt>
                <c:pt idx="19">
                  <c:v>5551.62</c:v>
                </c:pt>
                <c:pt idx="20">
                  <c:v>5835.8</c:v>
                </c:pt>
                <c:pt idx="21">
                  <c:v>5776.26</c:v>
                </c:pt>
                <c:pt idx="22">
                  <c:v>5870.91</c:v>
                </c:pt>
                <c:pt idx="23">
                  <c:v>6051.07</c:v>
                </c:pt>
                <c:pt idx="24">
                  <c:v>6167.66</c:v>
                </c:pt>
                <c:pt idx="25">
                  <c:v>5587.06</c:v>
                </c:pt>
                <c:pt idx="26">
                  <c:v>5657.46</c:v>
                </c:pt>
                <c:pt idx="27">
                  <c:v>6352.56</c:v>
                </c:pt>
                <c:pt idx="28">
                  <c:v>6108.39</c:v>
                </c:pt>
                <c:pt idx="29">
                  <c:v>6586.95</c:v>
                </c:pt>
                <c:pt idx="30">
                  <c:v>6607.38</c:v>
                </c:pt>
                <c:pt idx="31">
                  <c:v>6459.68</c:v>
                </c:pt>
                <c:pt idx="32">
                  <c:v>6190.81</c:v>
                </c:pt>
                <c:pt idx="33">
                  <c:v>6444.86</c:v>
                </c:pt>
                <c:pt idx="34">
                  <c:v>7169.82</c:v>
                </c:pt>
                <c:pt idx="35">
                  <c:v>7250.57</c:v>
                </c:pt>
                <c:pt idx="36">
                  <c:v>7310.68</c:v>
                </c:pt>
                <c:pt idx="37">
                  <c:v>7684.37</c:v>
                </c:pt>
                <c:pt idx="38">
                  <c:v>7651.82</c:v>
                </c:pt>
                <c:pt idx="39">
                  <c:v>7644.85</c:v>
                </c:pt>
                <c:pt idx="40">
                  <c:v>8016.21</c:v>
                </c:pt>
                <c:pt idx="41">
                  <c:v>7247.46</c:v>
                </c:pt>
                <c:pt idx="42" formatCode="0.00">
                  <c:v>6724.98</c:v>
                </c:pt>
                <c:pt idx="43" formatCode="0.00">
                  <c:v>5808.77</c:v>
                </c:pt>
                <c:pt idx="44" formatCode="0.00">
                  <c:v>5699.74</c:v>
                </c:pt>
                <c:pt idx="45" formatCode="0.00">
                  <c:v>6280.59</c:v>
                </c:pt>
                <c:pt idx="46" formatCode="0.00">
                  <c:v>6791.67</c:v>
                </c:pt>
                <c:pt idx="47" formatCode="0.00">
                  <c:v>7629.06</c:v>
                </c:pt>
                <c:pt idx="48" formatCode="0.00">
                  <c:v>7971.4</c:v>
                </c:pt>
                <c:pt idx="49" formatCode="0.00">
                  <c:v>7637.21</c:v>
                </c:pt>
                <c:pt idx="50" formatCode="0.00">
                  <c:v>8187.56</c:v>
                </c:pt>
                <c:pt idx="51" formatCode="0.00">
                  <c:v>8831.99</c:v>
                </c:pt>
                <c:pt idx="52" formatCode="0.00">
                  <c:v>10240.48</c:v>
                </c:pt>
                <c:pt idx="53" formatCode="0.00">
                  <c:v>11999.11</c:v>
                </c:pt>
                <c:pt idx="54" formatCode="0.00">
                  <c:v>13771.49</c:v>
                </c:pt>
                <c:pt idx="55" formatCode="0.00">
                  <c:v>14705.52</c:v>
                </c:pt>
                <c:pt idx="56" formatCode="0.00">
                  <c:v>14381.68</c:v>
                </c:pt>
                <c:pt idx="57" formatCode="0.00">
                  <c:v>12675.67</c:v>
                </c:pt>
                <c:pt idx="58" formatCode="0.00">
                  <c:v>12323.25</c:v>
                </c:pt>
                <c:pt idx="59" formatCode="0.00">
                  <c:v>12645.35</c:v>
                </c:pt>
                <c:pt idx="60" formatCode="0.00">
                  <c:v>12364.94</c:v>
                </c:pt>
                <c:pt idx="61" formatCode="0.00">
                  <c:v>13224.86</c:v>
                </c:pt>
                <c:pt idx="62" formatCode="0.00">
                  <c:v>14007.01</c:v>
                </c:pt>
                <c:pt idx="63" formatCode="0.00">
                  <c:v>14296.55</c:v>
                </c:pt>
                <c:pt idx="64" formatCode="0.00">
                  <c:v>14709.99</c:v>
                </c:pt>
                <c:pt idx="65" formatCode="0.00">
                  <c:v>14362.87</c:v>
                </c:pt>
                <c:pt idx="66" formatCode="0.00">
                  <c:v>15128.12</c:v>
                </c:pt>
                <c:pt idx="67" formatCode="0.00">
                  <c:v>15156.85</c:v>
                </c:pt>
                <c:pt idx="68" formatCode="0.00">
                  <c:v>15186.78</c:v>
                </c:pt>
                <c:pt idx="69" formatCode="0.00">
                  <c:v>14801.8</c:v>
                </c:pt>
                <c:pt idx="70" formatCode="0.00">
                  <c:v>15595.89</c:v>
                </c:pt>
                <c:pt idx="71" formatCode="0.00">
                  <c:v>15661.1</c:v>
                </c:pt>
                <c:pt idx="72" formatCode="0.00">
                  <c:v>15766.13</c:v>
                </c:pt>
                <c:pt idx="73" formatCode="0.00">
                  <c:v>16466.05</c:v>
                </c:pt>
                <c:pt idx="74" formatCode="0.00">
                  <c:v>16939.78</c:v>
                </c:pt>
                <c:pt idx="75" formatCode="0.00">
                  <c:v>17674.95</c:v>
                </c:pt>
                <c:pt idx="76" formatCode="0.00">
                  <c:v>18575.54</c:v>
                </c:pt>
                <c:pt idx="77" formatCode="0.00">
                  <c:v>19559.099999999999</c:v>
                </c:pt>
                <c:pt idx="78" formatCode="0.00">
                  <c:v>19836.28</c:v>
                </c:pt>
                <c:pt idx="79" formatCode="0.00">
                  <c:v>20590.3</c:v>
                </c:pt>
                <c:pt idx="80" formatCode="0.00">
                  <c:v>21021.43</c:v>
                </c:pt>
                <c:pt idx="81" formatCode="0.00">
                  <c:v>20819.740000000002</c:v>
                </c:pt>
                <c:pt idx="82" formatCode="0.00">
                  <c:v>21249.25</c:v>
                </c:pt>
                <c:pt idx="83" formatCode="0.00">
                  <c:v>22139.919999999998</c:v>
                </c:pt>
                <c:pt idx="84" formatCode="0.00">
                  <c:v>23200.07</c:v>
                </c:pt>
                <c:pt idx="85" formatCode="0.00">
                  <c:v>22860.9</c:v>
                </c:pt>
                <c:pt idx="86" formatCode="0.00">
                  <c:v>22592.27</c:v>
                </c:pt>
                <c:pt idx="87" formatCode="0.00">
                  <c:v>23574.65</c:v>
                </c:pt>
                <c:pt idx="88" formatCode="0.00">
                  <c:v>24412.02</c:v>
                </c:pt>
                <c:pt idx="89" formatCode="0.00">
                  <c:v>25502.52</c:v>
                </c:pt>
                <c:pt idx="90" formatCode="0.00">
                  <c:v>26009.97</c:v>
                </c:pt>
                <c:pt idx="91" formatCode="0.00">
                  <c:v>25640.46</c:v>
                </c:pt>
                <c:pt idx="92" formatCode="0.00">
                  <c:v>26030.400000000001</c:v>
                </c:pt>
                <c:pt idx="93" formatCode="0.00">
                  <c:v>25281.85</c:v>
                </c:pt>
                <c:pt idx="94" formatCode="0.00">
                  <c:v>26185.81</c:v>
                </c:pt>
                <c:pt idx="95" formatCode="0.00">
                  <c:v>27822.62</c:v>
                </c:pt>
                <c:pt idx="96" formatCode="0.00">
                  <c:v>28717.52</c:v>
                </c:pt>
                <c:pt idx="97" formatCode="0.00">
                  <c:v>29443.29</c:v>
                </c:pt>
                <c:pt idx="98" formatCode="0.00">
                  <c:v>30115.34</c:v>
                </c:pt>
                <c:pt idx="99" formatCode="0.00">
                  <c:v>31069.41</c:v>
                </c:pt>
                <c:pt idx="100" formatCode="0.00">
                  <c:v>31876.78</c:v>
                </c:pt>
                <c:pt idx="101" formatCode="0.00">
                  <c:v>32112.35</c:v>
                </c:pt>
                <c:pt idx="102" formatCode="0.00">
                  <c:v>31614.01</c:v>
                </c:pt>
                <c:pt idx="103" formatCode="0.00">
                  <c:v>32255.32</c:v>
                </c:pt>
                <c:pt idx="104" formatCode="0.00">
                  <c:v>32746.79</c:v>
                </c:pt>
                <c:pt idx="105" formatCode="0.00">
                  <c:v>33670.65</c:v>
                </c:pt>
                <c:pt idx="106" formatCode="0.00">
                  <c:v>34111.440000000002</c:v>
                </c:pt>
                <c:pt idx="107" formatCode="0.00">
                  <c:v>34977.42</c:v>
                </c:pt>
                <c:pt idx="108" formatCode="0.00">
                  <c:v>36101.89</c:v>
                </c:pt>
                <c:pt idx="109" formatCode="0.00">
                  <c:v>37238.28</c:v>
                </c:pt>
                <c:pt idx="110">
                  <c:v>38591.910000000003</c:v>
                </c:pt>
                <c:pt idx="111">
                  <c:v>39749.589999999997</c:v>
                </c:pt>
                <c:pt idx="112">
                  <c:v>39767.99</c:v>
                </c:pt>
                <c:pt idx="113">
                  <c:v>40061.71</c:v>
                </c:pt>
                <c:pt idx="114">
                  <c:v>40696.589999999997</c:v>
                </c:pt>
                <c:pt idx="115">
                  <c:v>41726.800000000003</c:v>
                </c:pt>
                <c:pt idx="116">
                  <c:v>42612.3</c:v>
                </c:pt>
                <c:pt idx="117">
                  <c:v>43331.93</c:v>
                </c:pt>
                <c:pt idx="118">
                  <c:v>43726.18</c:v>
                </c:pt>
                <c:pt idx="119">
                  <c:v>43177.7</c:v>
                </c:pt>
                <c:pt idx="120">
                  <c:v>41313.18</c:v>
                </c:pt>
                <c:pt idx="121">
                  <c:v>42204.92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6080"/>
        <c:axId val="199976064"/>
      </c:lineChart>
      <c:catAx>
        <c:axId val="1999660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76064"/>
        <c:crossesAt val="100"/>
        <c:auto val="1"/>
        <c:lblAlgn val="ctr"/>
        <c:lblOffset val="100"/>
        <c:tickLblSkip val="20"/>
        <c:tickMarkSkip val="10"/>
        <c:noMultiLvlLbl val="0"/>
      </c:catAx>
      <c:valAx>
        <c:axId val="199976064"/>
        <c:scaling>
          <c:logBase val="10"/>
          <c:orientation val="minMax"/>
          <c:min val="1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/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66080"/>
        <c:crosses val="autoZero"/>
        <c:crossBetween val="between"/>
        <c:majorUnit val="10"/>
        <c:minorUnit val="1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491103202846966E-2"/>
          <c:y val="8.1304572816577395E-2"/>
          <c:w val="0.92348754448398573"/>
          <c:h val="0.8807373180577583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C0C0C0"/>
            </a:solidFill>
            <a:ln w="25400">
              <a:solidFill>
                <a:srgbClr val="000000"/>
              </a:solidFill>
              <a:prstDash val="solid"/>
            </a:ln>
          </c:spPr>
          <c:cat>
            <c:strRef>
              <c:f>'App2DataFig2.1-2.9'!$T$98:$T$529</c:f>
              <c:strCache>
                <c:ptCount val="432"/>
                <c:pt idx="0">
                  <c:v>1831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1832</c:v>
                </c:pt>
                <c:pt idx="13">
                  <c:v>Feb</c:v>
                </c:pt>
                <c:pt idx="14">
                  <c:v>Mar</c:v>
                </c:pt>
                <c:pt idx="15">
                  <c:v>April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1833</c:v>
                </c:pt>
                <c:pt idx="25">
                  <c:v>Feb</c:v>
                </c:pt>
                <c:pt idx="26">
                  <c:v>Mar</c:v>
                </c:pt>
                <c:pt idx="27">
                  <c:v>April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1834</c:v>
                </c:pt>
                <c:pt idx="37">
                  <c:v>Feb</c:v>
                </c:pt>
                <c:pt idx="38">
                  <c:v>Mar</c:v>
                </c:pt>
                <c:pt idx="39">
                  <c:v>April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1835</c:v>
                </c:pt>
                <c:pt idx="49">
                  <c:v>Feb</c:v>
                </c:pt>
                <c:pt idx="50">
                  <c:v>Mar</c:v>
                </c:pt>
                <c:pt idx="51">
                  <c:v>April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1836</c:v>
                </c:pt>
                <c:pt idx="61">
                  <c:v>Feb</c:v>
                </c:pt>
                <c:pt idx="62">
                  <c:v>Mar</c:v>
                </c:pt>
                <c:pt idx="63">
                  <c:v>April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1837</c:v>
                </c:pt>
                <c:pt idx="73">
                  <c:v>Feb</c:v>
                </c:pt>
                <c:pt idx="74">
                  <c:v>Mar</c:v>
                </c:pt>
                <c:pt idx="75">
                  <c:v>April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1838</c:v>
                </c:pt>
                <c:pt idx="85">
                  <c:v>Feb</c:v>
                </c:pt>
                <c:pt idx="86">
                  <c:v>Mar</c:v>
                </c:pt>
                <c:pt idx="87">
                  <c:v>April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1839</c:v>
                </c:pt>
                <c:pt idx="97">
                  <c:v>Feb</c:v>
                </c:pt>
                <c:pt idx="98">
                  <c:v>Mar</c:v>
                </c:pt>
                <c:pt idx="99">
                  <c:v>April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1840</c:v>
                </c:pt>
                <c:pt idx="109">
                  <c:v>Feb</c:v>
                </c:pt>
                <c:pt idx="110">
                  <c:v>Mar</c:v>
                </c:pt>
                <c:pt idx="111">
                  <c:v>April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1841</c:v>
                </c:pt>
                <c:pt idx="121">
                  <c:v>Feb</c:v>
                </c:pt>
                <c:pt idx="122">
                  <c:v>Mar</c:v>
                </c:pt>
                <c:pt idx="123">
                  <c:v>April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1842</c:v>
                </c:pt>
                <c:pt idx="133">
                  <c:v>Feb</c:v>
                </c:pt>
                <c:pt idx="134">
                  <c:v>Mar</c:v>
                </c:pt>
                <c:pt idx="135">
                  <c:v>April</c:v>
                </c:pt>
                <c:pt idx="136">
                  <c:v>May</c:v>
                </c:pt>
                <c:pt idx="137">
                  <c:v>Jun</c:v>
                </c:pt>
                <c:pt idx="138">
                  <c:v>Jul</c:v>
                </c:pt>
                <c:pt idx="139">
                  <c:v>Aug</c:v>
                </c:pt>
                <c:pt idx="140">
                  <c:v>Sep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1843</c:v>
                </c:pt>
                <c:pt idx="145">
                  <c:v>Feb</c:v>
                </c:pt>
                <c:pt idx="146">
                  <c:v>Mar</c:v>
                </c:pt>
                <c:pt idx="147">
                  <c:v>April</c:v>
                </c:pt>
                <c:pt idx="148">
                  <c:v>May</c:v>
                </c:pt>
                <c:pt idx="149">
                  <c:v>Jun</c:v>
                </c:pt>
                <c:pt idx="150">
                  <c:v>Jul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1844</c:v>
                </c:pt>
                <c:pt idx="157">
                  <c:v>Feb</c:v>
                </c:pt>
                <c:pt idx="158">
                  <c:v>Mar</c:v>
                </c:pt>
                <c:pt idx="159">
                  <c:v>April</c:v>
                </c:pt>
                <c:pt idx="160">
                  <c:v>May</c:v>
                </c:pt>
                <c:pt idx="161">
                  <c:v>Jun</c:v>
                </c:pt>
                <c:pt idx="162">
                  <c:v>Jul</c:v>
                </c:pt>
                <c:pt idx="163">
                  <c:v>Aug</c:v>
                </c:pt>
                <c:pt idx="164">
                  <c:v>Sep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1845</c:v>
                </c:pt>
                <c:pt idx="169">
                  <c:v>Feb</c:v>
                </c:pt>
                <c:pt idx="170">
                  <c:v>Mar</c:v>
                </c:pt>
                <c:pt idx="171">
                  <c:v>April</c:v>
                </c:pt>
                <c:pt idx="172">
                  <c:v>May</c:v>
                </c:pt>
                <c:pt idx="173">
                  <c:v>Jun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1846</c:v>
                </c:pt>
                <c:pt idx="181">
                  <c:v>Feb</c:v>
                </c:pt>
                <c:pt idx="182">
                  <c:v>Mar</c:v>
                </c:pt>
                <c:pt idx="183">
                  <c:v>April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1847</c:v>
                </c:pt>
                <c:pt idx="193">
                  <c:v>Feb</c:v>
                </c:pt>
                <c:pt idx="194">
                  <c:v>Mar</c:v>
                </c:pt>
                <c:pt idx="195">
                  <c:v>April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1848</c:v>
                </c:pt>
                <c:pt idx="205">
                  <c:v>Feb</c:v>
                </c:pt>
                <c:pt idx="206">
                  <c:v>Mar</c:v>
                </c:pt>
                <c:pt idx="207">
                  <c:v>April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1849</c:v>
                </c:pt>
                <c:pt idx="217">
                  <c:v>Feb</c:v>
                </c:pt>
                <c:pt idx="218">
                  <c:v>Mar</c:v>
                </c:pt>
                <c:pt idx="219">
                  <c:v>April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1850</c:v>
                </c:pt>
                <c:pt idx="229">
                  <c:v>Feb</c:v>
                </c:pt>
                <c:pt idx="230">
                  <c:v>Mar</c:v>
                </c:pt>
                <c:pt idx="231">
                  <c:v>April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1851</c:v>
                </c:pt>
                <c:pt idx="241">
                  <c:v>Feb</c:v>
                </c:pt>
                <c:pt idx="242">
                  <c:v>Mar</c:v>
                </c:pt>
                <c:pt idx="243">
                  <c:v>April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1852</c:v>
                </c:pt>
                <c:pt idx="253">
                  <c:v>Feb</c:v>
                </c:pt>
                <c:pt idx="254">
                  <c:v>Mar</c:v>
                </c:pt>
                <c:pt idx="255">
                  <c:v>April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1853</c:v>
                </c:pt>
                <c:pt idx="265">
                  <c:v>Feb</c:v>
                </c:pt>
                <c:pt idx="266">
                  <c:v>Mar</c:v>
                </c:pt>
                <c:pt idx="267">
                  <c:v>April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1854</c:v>
                </c:pt>
                <c:pt idx="277">
                  <c:v>Feb</c:v>
                </c:pt>
                <c:pt idx="278">
                  <c:v>Mar</c:v>
                </c:pt>
                <c:pt idx="279">
                  <c:v>April</c:v>
                </c:pt>
                <c:pt idx="280">
                  <c:v>May</c:v>
                </c:pt>
                <c:pt idx="281">
                  <c:v>Jun</c:v>
                </c:pt>
                <c:pt idx="282">
                  <c:v>Jul</c:v>
                </c:pt>
                <c:pt idx="283">
                  <c:v>Aug</c:v>
                </c:pt>
                <c:pt idx="284">
                  <c:v>Sep</c:v>
                </c:pt>
                <c:pt idx="285">
                  <c:v>Oct</c:v>
                </c:pt>
                <c:pt idx="286">
                  <c:v>Nov</c:v>
                </c:pt>
                <c:pt idx="287">
                  <c:v>Dec</c:v>
                </c:pt>
                <c:pt idx="288">
                  <c:v>1855</c:v>
                </c:pt>
                <c:pt idx="289">
                  <c:v>Feb</c:v>
                </c:pt>
                <c:pt idx="290">
                  <c:v>Mar</c:v>
                </c:pt>
                <c:pt idx="291">
                  <c:v>April</c:v>
                </c:pt>
                <c:pt idx="292">
                  <c:v>May</c:v>
                </c:pt>
                <c:pt idx="293">
                  <c:v>Jun</c:v>
                </c:pt>
                <c:pt idx="294">
                  <c:v>Jul</c:v>
                </c:pt>
                <c:pt idx="295">
                  <c:v>Aug</c:v>
                </c:pt>
                <c:pt idx="296">
                  <c:v>Sep</c:v>
                </c:pt>
                <c:pt idx="297">
                  <c:v>Oct</c:v>
                </c:pt>
                <c:pt idx="298">
                  <c:v>Nov</c:v>
                </c:pt>
                <c:pt idx="299">
                  <c:v>Dec</c:v>
                </c:pt>
                <c:pt idx="300">
                  <c:v>1856</c:v>
                </c:pt>
                <c:pt idx="301">
                  <c:v>Feb</c:v>
                </c:pt>
                <c:pt idx="302">
                  <c:v>Mar</c:v>
                </c:pt>
                <c:pt idx="303">
                  <c:v>April</c:v>
                </c:pt>
                <c:pt idx="304">
                  <c:v>May</c:v>
                </c:pt>
                <c:pt idx="305">
                  <c:v>Jun</c:v>
                </c:pt>
                <c:pt idx="306">
                  <c:v>Jul</c:v>
                </c:pt>
                <c:pt idx="307">
                  <c:v>Aug</c:v>
                </c:pt>
                <c:pt idx="308">
                  <c:v>Sep</c:v>
                </c:pt>
                <c:pt idx="309">
                  <c:v>Oct</c:v>
                </c:pt>
                <c:pt idx="310">
                  <c:v>Nov</c:v>
                </c:pt>
                <c:pt idx="311">
                  <c:v>Dec</c:v>
                </c:pt>
                <c:pt idx="312">
                  <c:v>1857</c:v>
                </c:pt>
                <c:pt idx="313">
                  <c:v>Feb</c:v>
                </c:pt>
                <c:pt idx="314">
                  <c:v>Mar</c:v>
                </c:pt>
                <c:pt idx="315">
                  <c:v>April</c:v>
                </c:pt>
                <c:pt idx="316">
                  <c:v>May</c:v>
                </c:pt>
                <c:pt idx="317">
                  <c:v>Jun</c:v>
                </c:pt>
                <c:pt idx="318">
                  <c:v>Jul</c:v>
                </c:pt>
                <c:pt idx="319">
                  <c:v>Aug</c:v>
                </c:pt>
                <c:pt idx="320">
                  <c:v>Sep</c:v>
                </c:pt>
                <c:pt idx="321">
                  <c:v>Oct</c:v>
                </c:pt>
                <c:pt idx="322">
                  <c:v>Nov</c:v>
                </c:pt>
                <c:pt idx="323">
                  <c:v>Dec</c:v>
                </c:pt>
                <c:pt idx="324">
                  <c:v>1858</c:v>
                </c:pt>
                <c:pt idx="325">
                  <c:v>Feb</c:v>
                </c:pt>
                <c:pt idx="326">
                  <c:v>Mar</c:v>
                </c:pt>
                <c:pt idx="327">
                  <c:v>April</c:v>
                </c:pt>
                <c:pt idx="328">
                  <c:v>May</c:v>
                </c:pt>
                <c:pt idx="329">
                  <c:v>Jun</c:v>
                </c:pt>
                <c:pt idx="330">
                  <c:v>Jul</c:v>
                </c:pt>
                <c:pt idx="331">
                  <c:v>Aug</c:v>
                </c:pt>
                <c:pt idx="332">
                  <c:v>Sep</c:v>
                </c:pt>
                <c:pt idx="333">
                  <c:v>Oct</c:v>
                </c:pt>
                <c:pt idx="334">
                  <c:v>Nov</c:v>
                </c:pt>
                <c:pt idx="335">
                  <c:v>Dec</c:v>
                </c:pt>
                <c:pt idx="336">
                  <c:v>1859</c:v>
                </c:pt>
                <c:pt idx="337">
                  <c:v>Feb</c:v>
                </c:pt>
                <c:pt idx="338">
                  <c:v>Mar</c:v>
                </c:pt>
                <c:pt idx="339">
                  <c:v>April</c:v>
                </c:pt>
                <c:pt idx="340">
                  <c:v>May</c:v>
                </c:pt>
                <c:pt idx="341">
                  <c:v>Jun</c:v>
                </c:pt>
                <c:pt idx="342">
                  <c:v>Jul</c:v>
                </c:pt>
                <c:pt idx="343">
                  <c:v>Aug</c:v>
                </c:pt>
                <c:pt idx="344">
                  <c:v>Sep</c:v>
                </c:pt>
                <c:pt idx="345">
                  <c:v>Oct</c:v>
                </c:pt>
                <c:pt idx="346">
                  <c:v>Nov</c:v>
                </c:pt>
                <c:pt idx="347">
                  <c:v>Dec</c:v>
                </c:pt>
                <c:pt idx="348">
                  <c:v>1860</c:v>
                </c:pt>
                <c:pt idx="349">
                  <c:v>Feb</c:v>
                </c:pt>
                <c:pt idx="350">
                  <c:v>Mar</c:v>
                </c:pt>
                <c:pt idx="351">
                  <c:v>April</c:v>
                </c:pt>
                <c:pt idx="352">
                  <c:v>May</c:v>
                </c:pt>
                <c:pt idx="353">
                  <c:v>Jun</c:v>
                </c:pt>
                <c:pt idx="354">
                  <c:v>Jul</c:v>
                </c:pt>
                <c:pt idx="355">
                  <c:v>Aug</c:v>
                </c:pt>
                <c:pt idx="356">
                  <c:v>Sep</c:v>
                </c:pt>
                <c:pt idx="357">
                  <c:v>Oct</c:v>
                </c:pt>
                <c:pt idx="358">
                  <c:v>Nov</c:v>
                </c:pt>
                <c:pt idx="359">
                  <c:v>Dec</c:v>
                </c:pt>
                <c:pt idx="360">
                  <c:v>1861</c:v>
                </c:pt>
                <c:pt idx="361">
                  <c:v>Feb</c:v>
                </c:pt>
                <c:pt idx="362">
                  <c:v>Mar</c:v>
                </c:pt>
                <c:pt idx="363">
                  <c:v>April</c:v>
                </c:pt>
                <c:pt idx="364">
                  <c:v>May</c:v>
                </c:pt>
                <c:pt idx="365">
                  <c:v>Jun</c:v>
                </c:pt>
                <c:pt idx="366">
                  <c:v>Jul</c:v>
                </c:pt>
                <c:pt idx="367">
                  <c:v>Aug</c:v>
                </c:pt>
                <c:pt idx="368">
                  <c:v>Sep</c:v>
                </c:pt>
                <c:pt idx="369">
                  <c:v>Oct</c:v>
                </c:pt>
                <c:pt idx="370">
                  <c:v>Nov</c:v>
                </c:pt>
                <c:pt idx="371">
                  <c:v>Dec</c:v>
                </c:pt>
                <c:pt idx="372">
                  <c:v>1862</c:v>
                </c:pt>
                <c:pt idx="373">
                  <c:v>Feb</c:v>
                </c:pt>
                <c:pt idx="374">
                  <c:v>Mar</c:v>
                </c:pt>
                <c:pt idx="375">
                  <c:v>April</c:v>
                </c:pt>
                <c:pt idx="376">
                  <c:v>May</c:v>
                </c:pt>
                <c:pt idx="377">
                  <c:v>Jun</c:v>
                </c:pt>
                <c:pt idx="378">
                  <c:v>Jul</c:v>
                </c:pt>
                <c:pt idx="379">
                  <c:v>Aug</c:v>
                </c:pt>
                <c:pt idx="380">
                  <c:v>Sep</c:v>
                </c:pt>
                <c:pt idx="381">
                  <c:v>Oct</c:v>
                </c:pt>
                <c:pt idx="382">
                  <c:v>Nov</c:v>
                </c:pt>
                <c:pt idx="383">
                  <c:v>Dec</c:v>
                </c:pt>
                <c:pt idx="384">
                  <c:v>1863</c:v>
                </c:pt>
                <c:pt idx="385">
                  <c:v>Feb</c:v>
                </c:pt>
                <c:pt idx="386">
                  <c:v>Mar</c:v>
                </c:pt>
                <c:pt idx="387">
                  <c:v>April</c:v>
                </c:pt>
                <c:pt idx="388">
                  <c:v>May</c:v>
                </c:pt>
                <c:pt idx="389">
                  <c:v>Jun</c:v>
                </c:pt>
                <c:pt idx="390">
                  <c:v>Jul</c:v>
                </c:pt>
                <c:pt idx="391">
                  <c:v>Aug</c:v>
                </c:pt>
                <c:pt idx="392">
                  <c:v>Sep</c:v>
                </c:pt>
                <c:pt idx="393">
                  <c:v>Oct</c:v>
                </c:pt>
                <c:pt idx="394">
                  <c:v>Nov</c:v>
                </c:pt>
                <c:pt idx="395">
                  <c:v>Dec</c:v>
                </c:pt>
                <c:pt idx="396">
                  <c:v>1864</c:v>
                </c:pt>
                <c:pt idx="397">
                  <c:v>Feb</c:v>
                </c:pt>
                <c:pt idx="398">
                  <c:v>Mar</c:v>
                </c:pt>
                <c:pt idx="399">
                  <c:v>April</c:v>
                </c:pt>
                <c:pt idx="400">
                  <c:v>May</c:v>
                </c:pt>
                <c:pt idx="401">
                  <c:v>Jun</c:v>
                </c:pt>
                <c:pt idx="402">
                  <c:v>Jul</c:v>
                </c:pt>
                <c:pt idx="403">
                  <c:v>Aug</c:v>
                </c:pt>
                <c:pt idx="404">
                  <c:v>Sep</c:v>
                </c:pt>
                <c:pt idx="405">
                  <c:v>Oct</c:v>
                </c:pt>
                <c:pt idx="406">
                  <c:v>Nov</c:v>
                </c:pt>
                <c:pt idx="407">
                  <c:v>Dec</c:v>
                </c:pt>
                <c:pt idx="408">
                  <c:v>1865</c:v>
                </c:pt>
                <c:pt idx="409">
                  <c:v>Feb</c:v>
                </c:pt>
                <c:pt idx="410">
                  <c:v>Mar</c:v>
                </c:pt>
                <c:pt idx="411">
                  <c:v>April</c:v>
                </c:pt>
                <c:pt idx="412">
                  <c:v>May</c:v>
                </c:pt>
                <c:pt idx="413">
                  <c:v>Jun</c:v>
                </c:pt>
                <c:pt idx="414">
                  <c:v>Jul</c:v>
                </c:pt>
                <c:pt idx="415">
                  <c:v>Aug</c:v>
                </c:pt>
                <c:pt idx="416">
                  <c:v>Sep</c:v>
                </c:pt>
                <c:pt idx="417">
                  <c:v>Oct</c:v>
                </c:pt>
                <c:pt idx="418">
                  <c:v>Nov</c:v>
                </c:pt>
                <c:pt idx="419">
                  <c:v>Dec</c:v>
                </c:pt>
                <c:pt idx="420">
                  <c:v>1866</c:v>
                </c:pt>
                <c:pt idx="421">
                  <c:v>Feb</c:v>
                </c:pt>
                <c:pt idx="422">
                  <c:v>Mar</c:v>
                </c:pt>
                <c:pt idx="423">
                  <c:v>April</c:v>
                </c:pt>
                <c:pt idx="424">
                  <c:v>May</c:v>
                </c:pt>
                <c:pt idx="425">
                  <c:v>Jun</c:v>
                </c:pt>
                <c:pt idx="426">
                  <c:v>Jul</c:v>
                </c:pt>
                <c:pt idx="427">
                  <c:v>Aug</c:v>
                </c:pt>
                <c:pt idx="428">
                  <c:v>Sep</c:v>
                </c:pt>
                <c:pt idx="429">
                  <c:v>Oct</c:v>
                </c:pt>
                <c:pt idx="430">
                  <c:v>Nov</c:v>
                </c:pt>
                <c:pt idx="431">
                  <c:v>Dec</c:v>
                </c:pt>
              </c:strCache>
            </c:strRef>
          </c:cat>
          <c:val>
            <c:numRef>
              <c:f>'App2DataFig2.1-2.9'!$U$98:$U$529</c:f>
              <c:numCache>
                <c:formatCode>General</c:formatCode>
                <c:ptCount val="432"/>
                <c:pt idx="0">
                  <c:v>0.9</c:v>
                </c:pt>
                <c:pt idx="1">
                  <c:v>2</c:v>
                </c:pt>
                <c:pt idx="2">
                  <c:v>3.3</c:v>
                </c:pt>
                <c:pt idx="3">
                  <c:v>4.0999999999999996</c:v>
                </c:pt>
                <c:pt idx="4">
                  <c:v>5.2</c:v>
                </c:pt>
                <c:pt idx="5">
                  <c:v>5.0999999999999996</c:v>
                </c:pt>
                <c:pt idx="6">
                  <c:v>5.4</c:v>
                </c:pt>
                <c:pt idx="7">
                  <c:v>5.0999999999999996</c:v>
                </c:pt>
                <c:pt idx="8">
                  <c:v>5.4</c:v>
                </c:pt>
                <c:pt idx="9">
                  <c:v>5</c:v>
                </c:pt>
                <c:pt idx="10">
                  <c:v>5.8</c:v>
                </c:pt>
                <c:pt idx="11">
                  <c:v>5.4</c:v>
                </c:pt>
                <c:pt idx="12">
                  <c:v>5.5</c:v>
                </c:pt>
                <c:pt idx="13">
                  <c:v>6.1</c:v>
                </c:pt>
                <c:pt idx="14">
                  <c:v>5.0999999999999996</c:v>
                </c:pt>
                <c:pt idx="15">
                  <c:v>3</c:v>
                </c:pt>
                <c:pt idx="16">
                  <c:v>3.4</c:v>
                </c:pt>
                <c:pt idx="17">
                  <c:v>4.0999999999999996</c:v>
                </c:pt>
                <c:pt idx="18">
                  <c:v>3.1</c:v>
                </c:pt>
                <c:pt idx="19">
                  <c:v>2.7</c:v>
                </c:pt>
                <c:pt idx="20">
                  <c:v>4</c:v>
                </c:pt>
                <c:pt idx="21">
                  <c:v>3.6</c:v>
                </c:pt>
                <c:pt idx="22">
                  <c:v>5.9</c:v>
                </c:pt>
                <c:pt idx="23">
                  <c:v>4.3</c:v>
                </c:pt>
                <c:pt idx="24">
                  <c:v>5.0999999999999996</c:v>
                </c:pt>
                <c:pt idx="25">
                  <c:v>2.5</c:v>
                </c:pt>
                <c:pt idx="26">
                  <c:v>2.2000000000000002</c:v>
                </c:pt>
                <c:pt idx="27">
                  <c:v>3.3</c:v>
                </c:pt>
                <c:pt idx="28">
                  <c:v>3.6</c:v>
                </c:pt>
                <c:pt idx="29">
                  <c:v>3.5</c:v>
                </c:pt>
                <c:pt idx="30">
                  <c:v>3.3</c:v>
                </c:pt>
                <c:pt idx="31">
                  <c:v>3.2</c:v>
                </c:pt>
                <c:pt idx="32">
                  <c:v>3.7</c:v>
                </c:pt>
                <c:pt idx="33">
                  <c:v>4</c:v>
                </c:pt>
                <c:pt idx="34">
                  <c:v>3</c:v>
                </c:pt>
                <c:pt idx="35">
                  <c:v>2.5</c:v>
                </c:pt>
                <c:pt idx="36">
                  <c:v>-1.7</c:v>
                </c:pt>
                <c:pt idx="37">
                  <c:v>-2</c:v>
                </c:pt>
                <c:pt idx="38">
                  <c:v>-5</c:v>
                </c:pt>
                <c:pt idx="39">
                  <c:v>-6.2</c:v>
                </c:pt>
                <c:pt idx="40">
                  <c:v>-6.4</c:v>
                </c:pt>
                <c:pt idx="41">
                  <c:v>-7</c:v>
                </c:pt>
                <c:pt idx="42">
                  <c:v>-7.5</c:v>
                </c:pt>
                <c:pt idx="43">
                  <c:v>-7.3</c:v>
                </c:pt>
                <c:pt idx="44">
                  <c:v>-7</c:v>
                </c:pt>
                <c:pt idx="45">
                  <c:v>-7.4</c:v>
                </c:pt>
                <c:pt idx="46">
                  <c:v>-7</c:v>
                </c:pt>
                <c:pt idx="47">
                  <c:v>-6.8</c:v>
                </c:pt>
                <c:pt idx="48">
                  <c:v>-6.4</c:v>
                </c:pt>
                <c:pt idx="49">
                  <c:v>-6</c:v>
                </c:pt>
                <c:pt idx="50">
                  <c:v>-5</c:v>
                </c:pt>
                <c:pt idx="51">
                  <c:v>-1.5</c:v>
                </c:pt>
                <c:pt idx="52">
                  <c:v>1.5</c:v>
                </c:pt>
                <c:pt idx="53">
                  <c:v>4.3</c:v>
                </c:pt>
                <c:pt idx="54">
                  <c:v>5.8</c:v>
                </c:pt>
                <c:pt idx="55">
                  <c:v>6.1</c:v>
                </c:pt>
                <c:pt idx="56">
                  <c:v>5.9</c:v>
                </c:pt>
                <c:pt idx="57">
                  <c:v>6</c:v>
                </c:pt>
                <c:pt idx="58">
                  <c:v>7.2</c:v>
                </c:pt>
                <c:pt idx="59">
                  <c:v>8.8000000000000007</c:v>
                </c:pt>
                <c:pt idx="60">
                  <c:v>9.9</c:v>
                </c:pt>
                <c:pt idx="61">
                  <c:v>11.1</c:v>
                </c:pt>
                <c:pt idx="62">
                  <c:v>14.4</c:v>
                </c:pt>
                <c:pt idx="63">
                  <c:v>17.399999999999999</c:v>
                </c:pt>
                <c:pt idx="64">
                  <c:v>17.3</c:v>
                </c:pt>
                <c:pt idx="65">
                  <c:v>16.5</c:v>
                </c:pt>
                <c:pt idx="66">
                  <c:v>16.5</c:v>
                </c:pt>
                <c:pt idx="67">
                  <c:v>16.2</c:v>
                </c:pt>
                <c:pt idx="68">
                  <c:v>17.100000000000001</c:v>
                </c:pt>
                <c:pt idx="69">
                  <c:v>18.100000000000001</c:v>
                </c:pt>
                <c:pt idx="70">
                  <c:v>18.399999999999999</c:v>
                </c:pt>
                <c:pt idx="71">
                  <c:v>18.899999999999999</c:v>
                </c:pt>
                <c:pt idx="72">
                  <c:v>17.100000000000001</c:v>
                </c:pt>
                <c:pt idx="73">
                  <c:v>21</c:v>
                </c:pt>
                <c:pt idx="74">
                  <c:v>19.5</c:v>
                </c:pt>
                <c:pt idx="75">
                  <c:v>-6.6</c:v>
                </c:pt>
                <c:pt idx="76">
                  <c:v>-14.3</c:v>
                </c:pt>
                <c:pt idx="77">
                  <c:v>-13.3</c:v>
                </c:pt>
                <c:pt idx="78">
                  <c:v>-11.4</c:v>
                </c:pt>
                <c:pt idx="79">
                  <c:v>-10</c:v>
                </c:pt>
                <c:pt idx="80">
                  <c:v>-10.1</c:v>
                </c:pt>
                <c:pt idx="81">
                  <c:v>-12.7</c:v>
                </c:pt>
                <c:pt idx="82">
                  <c:v>-11.3</c:v>
                </c:pt>
                <c:pt idx="83">
                  <c:v>-9.3000000000000007</c:v>
                </c:pt>
                <c:pt idx="84">
                  <c:v>-9.8000000000000007</c:v>
                </c:pt>
                <c:pt idx="85">
                  <c:v>-8.4</c:v>
                </c:pt>
                <c:pt idx="86">
                  <c:v>-7.1</c:v>
                </c:pt>
                <c:pt idx="87">
                  <c:v>-11.8</c:v>
                </c:pt>
                <c:pt idx="88">
                  <c:v>-10.6</c:v>
                </c:pt>
                <c:pt idx="89">
                  <c:v>-6</c:v>
                </c:pt>
                <c:pt idx="90">
                  <c:v>-4.5999999999999996</c:v>
                </c:pt>
                <c:pt idx="91">
                  <c:v>-1</c:v>
                </c:pt>
                <c:pt idx="92">
                  <c:v>-1.6</c:v>
                </c:pt>
                <c:pt idx="93">
                  <c:v>7</c:v>
                </c:pt>
                <c:pt idx="94">
                  <c:v>10.8</c:v>
                </c:pt>
                <c:pt idx="95">
                  <c:v>13.7</c:v>
                </c:pt>
                <c:pt idx="96">
                  <c:v>14</c:v>
                </c:pt>
                <c:pt idx="97">
                  <c:v>12.9</c:v>
                </c:pt>
                <c:pt idx="98">
                  <c:v>15.2</c:v>
                </c:pt>
                <c:pt idx="99">
                  <c:v>12.5</c:v>
                </c:pt>
                <c:pt idx="100">
                  <c:v>9.8000000000000007</c:v>
                </c:pt>
                <c:pt idx="101">
                  <c:v>6.2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4.3</c:v>
                </c:pt>
                <c:pt idx="105">
                  <c:v>3.5</c:v>
                </c:pt>
                <c:pt idx="106">
                  <c:v>2.2000000000000002</c:v>
                </c:pt>
                <c:pt idx="107">
                  <c:v>0.5</c:v>
                </c:pt>
                <c:pt idx="108">
                  <c:v>-1.2</c:v>
                </c:pt>
                <c:pt idx="109">
                  <c:v>-2.9</c:v>
                </c:pt>
                <c:pt idx="110">
                  <c:v>-5.8</c:v>
                </c:pt>
                <c:pt idx="111">
                  <c:v>-6</c:v>
                </c:pt>
                <c:pt idx="112">
                  <c:v>-6.9</c:v>
                </c:pt>
                <c:pt idx="113">
                  <c:v>-6.9</c:v>
                </c:pt>
                <c:pt idx="114">
                  <c:v>-6.3</c:v>
                </c:pt>
                <c:pt idx="115">
                  <c:v>-7</c:v>
                </c:pt>
                <c:pt idx="116">
                  <c:v>-6.2</c:v>
                </c:pt>
                <c:pt idx="117">
                  <c:v>-5.3</c:v>
                </c:pt>
                <c:pt idx="118">
                  <c:v>-4.4000000000000004</c:v>
                </c:pt>
                <c:pt idx="119">
                  <c:v>-3.5</c:v>
                </c:pt>
                <c:pt idx="120">
                  <c:v>-2.6</c:v>
                </c:pt>
                <c:pt idx="121">
                  <c:v>-2.9</c:v>
                </c:pt>
                <c:pt idx="122">
                  <c:v>-3.7</c:v>
                </c:pt>
                <c:pt idx="123">
                  <c:v>-3.6</c:v>
                </c:pt>
                <c:pt idx="124">
                  <c:v>-3.4</c:v>
                </c:pt>
                <c:pt idx="125">
                  <c:v>-2.9</c:v>
                </c:pt>
                <c:pt idx="126">
                  <c:v>-1.7</c:v>
                </c:pt>
                <c:pt idx="127">
                  <c:v>-0.8</c:v>
                </c:pt>
                <c:pt idx="128">
                  <c:v>-0.9</c:v>
                </c:pt>
                <c:pt idx="129">
                  <c:v>-1.7</c:v>
                </c:pt>
                <c:pt idx="130">
                  <c:v>-2.8</c:v>
                </c:pt>
                <c:pt idx="131">
                  <c:v>-4.5999999999999996</c:v>
                </c:pt>
                <c:pt idx="132">
                  <c:v>-6.5</c:v>
                </c:pt>
                <c:pt idx="133">
                  <c:v>-7.7</c:v>
                </c:pt>
                <c:pt idx="134">
                  <c:v>-8.1</c:v>
                </c:pt>
                <c:pt idx="135">
                  <c:v>-10.8</c:v>
                </c:pt>
                <c:pt idx="136">
                  <c:v>-11.3</c:v>
                </c:pt>
                <c:pt idx="137">
                  <c:v>-12.2</c:v>
                </c:pt>
                <c:pt idx="138">
                  <c:v>-14.3</c:v>
                </c:pt>
                <c:pt idx="139">
                  <c:v>-14.7</c:v>
                </c:pt>
                <c:pt idx="140">
                  <c:v>-14.2</c:v>
                </c:pt>
                <c:pt idx="141">
                  <c:v>-16.7</c:v>
                </c:pt>
                <c:pt idx="142">
                  <c:v>-16.7</c:v>
                </c:pt>
                <c:pt idx="143">
                  <c:v>-18.100000000000001</c:v>
                </c:pt>
                <c:pt idx="144">
                  <c:v>-18.600000000000001</c:v>
                </c:pt>
                <c:pt idx="145">
                  <c:v>-19.100000000000001</c:v>
                </c:pt>
                <c:pt idx="146">
                  <c:v>-18.399999999999999</c:v>
                </c:pt>
                <c:pt idx="147">
                  <c:v>-18.8</c:v>
                </c:pt>
                <c:pt idx="148">
                  <c:v>-17</c:v>
                </c:pt>
                <c:pt idx="149">
                  <c:v>-12.3</c:v>
                </c:pt>
                <c:pt idx="150">
                  <c:v>-11.4</c:v>
                </c:pt>
                <c:pt idx="151">
                  <c:v>-11.5</c:v>
                </c:pt>
                <c:pt idx="152">
                  <c:v>-10.7</c:v>
                </c:pt>
                <c:pt idx="153">
                  <c:v>-9.3000000000000007</c:v>
                </c:pt>
                <c:pt idx="154">
                  <c:v>-8.4</c:v>
                </c:pt>
                <c:pt idx="155">
                  <c:v>-4.9000000000000004</c:v>
                </c:pt>
                <c:pt idx="156">
                  <c:v>-4.0999999999999996</c:v>
                </c:pt>
                <c:pt idx="157">
                  <c:v>-2.9</c:v>
                </c:pt>
                <c:pt idx="158">
                  <c:v>-2</c:v>
                </c:pt>
                <c:pt idx="159">
                  <c:v>-1.5</c:v>
                </c:pt>
                <c:pt idx="160">
                  <c:v>-1</c:v>
                </c:pt>
                <c:pt idx="161">
                  <c:v>-0.7</c:v>
                </c:pt>
                <c:pt idx="162">
                  <c:v>-0.5</c:v>
                </c:pt>
                <c:pt idx="163">
                  <c:v>-0.6</c:v>
                </c:pt>
                <c:pt idx="164">
                  <c:v>-1.1000000000000001</c:v>
                </c:pt>
                <c:pt idx="165">
                  <c:v>-1.5</c:v>
                </c:pt>
                <c:pt idx="166">
                  <c:v>-1.8</c:v>
                </c:pt>
                <c:pt idx="167">
                  <c:v>-1.8</c:v>
                </c:pt>
                <c:pt idx="168">
                  <c:v>-1.6</c:v>
                </c:pt>
                <c:pt idx="169">
                  <c:v>-1.7</c:v>
                </c:pt>
                <c:pt idx="170">
                  <c:v>-1</c:v>
                </c:pt>
                <c:pt idx="171">
                  <c:v>-0.5</c:v>
                </c:pt>
                <c:pt idx="172">
                  <c:v>-0.1</c:v>
                </c:pt>
                <c:pt idx="173">
                  <c:v>-0.2</c:v>
                </c:pt>
                <c:pt idx="174">
                  <c:v>-0.3</c:v>
                </c:pt>
                <c:pt idx="175">
                  <c:v>-0.1</c:v>
                </c:pt>
                <c:pt idx="176">
                  <c:v>0.4</c:v>
                </c:pt>
                <c:pt idx="177">
                  <c:v>1.5</c:v>
                </c:pt>
                <c:pt idx="178">
                  <c:v>2.5</c:v>
                </c:pt>
                <c:pt idx="179">
                  <c:v>3.6</c:v>
                </c:pt>
                <c:pt idx="180">
                  <c:v>4.3</c:v>
                </c:pt>
                <c:pt idx="181">
                  <c:v>4.5</c:v>
                </c:pt>
                <c:pt idx="182">
                  <c:v>3.7</c:v>
                </c:pt>
                <c:pt idx="183">
                  <c:v>2.8</c:v>
                </c:pt>
                <c:pt idx="184">
                  <c:v>1.1000000000000001</c:v>
                </c:pt>
                <c:pt idx="185">
                  <c:v>-1.4</c:v>
                </c:pt>
                <c:pt idx="186">
                  <c:v>1</c:v>
                </c:pt>
                <c:pt idx="187">
                  <c:v>1.6</c:v>
                </c:pt>
                <c:pt idx="188">
                  <c:v>1.6</c:v>
                </c:pt>
                <c:pt idx="189">
                  <c:v>2</c:v>
                </c:pt>
                <c:pt idx="190">
                  <c:v>3</c:v>
                </c:pt>
                <c:pt idx="191">
                  <c:v>4.7</c:v>
                </c:pt>
                <c:pt idx="192">
                  <c:v>6.9</c:v>
                </c:pt>
                <c:pt idx="193">
                  <c:v>10.1</c:v>
                </c:pt>
                <c:pt idx="194">
                  <c:v>9.8000000000000007</c:v>
                </c:pt>
                <c:pt idx="195">
                  <c:v>11.8</c:v>
                </c:pt>
                <c:pt idx="196">
                  <c:v>12.5</c:v>
                </c:pt>
                <c:pt idx="197">
                  <c:v>14.3</c:v>
                </c:pt>
                <c:pt idx="198">
                  <c:v>12</c:v>
                </c:pt>
                <c:pt idx="199">
                  <c:v>11.9</c:v>
                </c:pt>
                <c:pt idx="200">
                  <c:v>11.9</c:v>
                </c:pt>
                <c:pt idx="201">
                  <c:v>9.3000000000000007</c:v>
                </c:pt>
                <c:pt idx="202">
                  <c:v>6.8</c:v>
                </c:pt>
                <c:pt idx="203">
                  <c:v>4.8</c:v>
                </c:pt>
                <c:pt idx="204">
                  <c:v>3.4</c:v>
                </c:pt>
                <c:pt idx="205">
                  <c:v>2.7</c:v>
                </c:pt>
                <c:pt idx="206">
                  <c:v>3.1</c:v>
                </c:pt>
                <c:pt idx="207">
                  <c:v>2.6</c:v>
                </c:pt>
                <c:pt idx="208">
                  <c:v>1.9</c:v>
                </c:pt>
                <c:pt idx="209">
                  <c:v>1.5</c:v>
                </c:pt>
                <c:pt idx="210">
                  <c:v>-1</c:v>
                </c:pt>
                <c:pt idx="211">
                  <c:v>-2.2000000000000002</c:v>
                </c:pt>
                <c:pt idx="212">
                  <c:v>-2</c:v>
                </c:pt>
                <c:pt idx="213">
                  <c:v>-2.9</c:v>
                </c:pt>
                <c:pt idx="214">
                  <c:v>-4.4000000000000004</c:v>
                </c:pt>
                <c:pt idx="215">
                  <c:v>-5.4</c:v>
                </c:pt>
                <c:pt idx="216">
                  <c:v>-4.0999999999999996</c:v>
                </c:pt>
                <c:pt idx="217">
                  <c:v>-4.7</c:v>
                </c:pt>
                <c:pt idx="218">
                  <c:v>-1.5</c:v>
                </c:pt>
                <c:pt idx="219">
                  <c:v>-2.2000000000000002</c:v>
                </c:pt>
                <c:pt idx="220">
                  <c:v>-2.1</c:v>
                </c:pt>
                <c:pt idx="221">
                  <c:v>-2.5</c:v>
                </c:pt>
                <c:pt idx="222">
                  <c:v>-0.7</c:v>
                </c:pt>
                <c:pt idx="223">
                  <c:v>-1.3</c:v>
                </c:pt>
                <c:pt idx="224">
                  <c:v>-0.7</c:v>
                </c:pt>
                <c:pt idx="225">
                  <c:v>-0.7</c:v>
                </c:pt>
                <c:pt idx="226">
                  <c:v>-0.5</c:v>
                </c:pt>
                <c:pt idx="227">
                  <c:v>0.1</c:v>
                </c:pt>
                <c:pt idx="228">
                  <c:v>0.2</c:v>
                </c:pt>
                <c:pt idx="229">
                  <c:v>-0.6</c:v>
                </c:pt>
                <c:pt idx="230">
                  <c:v>0.6</c:v>
                </c:pt>
                <c:pt idx="231">
                  <c:v>1.8</c:v>
                </c:pt>
                <c:pt idx="232">
                  <c:v>2.1</c:v>
                </c:pt>
                <c:pt idx="233">
                  <c:v>2.5</c:v>
                </c:pt>
                <c:pt idx="234">
                  <c:v>3.4</c:v>
                </c:pt>
                <c:pt idx="235">
                  <c:v>3.7</c:v>
                </c:pt>
                <c:pt idx="236">
                  <c:v>4.8</c:v>
                </c:pt>
                <c:pt idx="237">
                  <c:v>5.6</c:v>
                </c:pt>
                <c:pt idx="238">
                  <c:v>6.8</c:v>
                </c:pt>
                <c:pt idx="239">
                  <c:v>8.1999999999999993</c:v>
                </c:pt>
                <c:pt idx="240">
                  <c:v>10.9</c:v>
                </c:pt>
                <c:pt idx="241">
                  <c:v>9.6</c:v>
                </c:pt>
                <c:pt idx="242">
                  <c:v>9.6999999999999993</c:v>
                </c:pt>
                <c:pt idx="243">
                  <c:v>9</c:v>
                </c:pt>
                <c:pt idx="244">
                  <c:v>7.8</c:v>
                </c:pt>
                <c:pt idx="245">
                  <c:v>7.4</c:v>
                </c:pt>
                <c:pt idx="246">
                  <c:v>4.3</c:v>
                </c:pt>
                <c:pt idx="247">
                  <c:v>0.7</c:v>
                </c:pt>
                <c:pt idx="248">
                  <c:v>0.7</c:v>
                </c:pt>
                <c:pt idx="249">
                  <c:v>-0.9</c:v>
                </c:pt>
                <c:pt idx="250">
                  <c:v>0.9</c:v>
                </c:pt>
                <c:pt idx="251">
                  <c:v>1.3</c:v>
                </c:pt>
                <c:pt idx="252">
                  <c:v>0.3</c:v>
                </c:pt>
                <c:pt idx="253">
                  <c:v>1.3</c:v>
                </c:pt>
                <c:pt idx="254">
                  <c:v>2.2000000000000002</c:v>
                </c:pt>
                <c:pt idx="255">
                  <c:v>2.8</c:v>
                </c:pt>
                <c:pt idx="256">
                  <c:v>3.5</c:v>
                </c:pt>
                <c:pt idx="257">
                  <c:v>3.3</c:v>
                </c:pt>
                <c:pt idx="258">
                  <c:v>4.4000000000000004</c:v>
                </c:pt>
                <c:pt idx="259">
                  <c:v>4.7</c:v>
                </c:pt>
                <c:pt idx="260">
                  <c:v>5.6</c:v>
                </c:pt>
                <c:pt idx="261">
                  <c:v>6.5</c:v>
                </c:pt>
                <c:pt idx="262">
                  <c:v>7.4</c:v>
                </c:pt>
                <c:pt idx="263">
                  <c:v>9.5</c:v>
                </c:pt>
                <c:pt idx="264">
                  <c:v>9</c:v>
                </c:pt>
                <c:pt idx="265">
                  <c:v>8.9</c:v>
                </c:pt>
                <c:pt idx="266">
                  <c:v>8.6</c:v>
                </c:pt>
                <c:pt idx="267">
                  <c:v>8.1999999999999993</c:v>
                </c:pt>
                <c:pt idx="268">
                  <c:v>8.1</c:v>
                </c:pt>
                <c:pt idx="269">
                  <c:v>7.5</c:v>
                </c:pt>
                <c:pt idx="270">
                  <c:v>8.4</c:v>
                </c:pt>
                <c:pt idx="271">
                  <c:v>8</c:v>
                </c:pt>
                <c:pt idx="272">
                  <c:v>8.5</c:v>
                </c:pt>
                <c:pt idx="273">
                  <c:v>9</c:v>
                </c:pt>
                <c:pt idx="274">
                  <c:v>9.6999999999999993</c:v>
                </c:pt>
                <c:pt idx="275">
                  <c:v>12.1</c:v>
                </c:pt>
                <c:pt idx="276">
                  <c:v>12.2</c:v>
                </c:pt>
                <c:pt idx="277">
                  <c:v>10.9</c:v>
                </c:pt>
                <c:pt idx="278">
                  <c:v>14.6</c:v>
                </c:pt>
                <c:pt idx="279">
                  <c:v>11.5</c:v>
                </c:pt>
                <c:pt idx="280">
                  <c:v>10</c:v>
                </c:pt>
                <c:pt idx="281">
                  <c:v>10</c:v>
                </c:pt>
                <c:pt idx="282">
                  <c:v>9.1999999999999993</c:v>
                </c:pt>
                <c:pt idx="283">
                  <c:v>5.9</c:v>
                </c:pt>
                <c:pt idx="284">
                  <c:v>1.8</c:v>
                </c:pt>
                <c:pt idx="285">
                  <c:v>-2.2000000000000002</c:v>
                </c:pt>
                <c:pt idx="286">
                  <c:v>-2.2000000000000002</c:v>
                </c:pt>
                <c:pt idx="287">
                  <c:v>-3.8</c:v>
                </c:pt>
                <c:pt idx="288">
                  <c:v>-3</c:v>
                </c:pt>
                <c:pt idx="289">
                  <c:v>-2</c:v>
                </c:pt>
                <c:pt idx="290">
                  <c:v>-0.1</c:v>
                </c:pt>
                <c:pt idx="291">
                  <c:v>1.6</c:v>
                </c:pt>
                <c:pt idx="292">
                  <c:v>2.5</c:v>
                </c:pt>
                <c:pt idx="293">
                  <c:v>3.9</c:v>
                </c:pt>
                <c:pt idx="294">
                  <c:v>4.0999999999999996</c:v>
                </c:pt>
                <c:pt idx="295">
                  <c:v>3.6</c:v>
                </c:pt>
                <c:pt idx="296">
                  <c:v>3.9</c:v>
                </c:pt>
                <c:pt idx="297">
                  <c:v>5.2</c:v>
                </c:pt>
                <c:pt idx="298">
                  <c:v>2.7</c:v>
                </c:pt>
                <c:pt idx="299">
                  <c:v>3.9</c:v>
                </c:pt>
                <c:pt idx="300">
                  <c:v>4.5999999999999996</c:v>
                </c:pt>
                <c:pt idx="301">
                  <c:v>5.5</c:v>
                </c:pt>
                <c:pt idx="302">
                  <c:v>6.7</c:v>
                </c:pt>
                <c:pt idx="303">
                  <c:v>9.3000000000000007</c:v>
                </c:pt>
                <c:pt idx="304">
                  <c:v>10.1</c:v>
                </c:pt>
                <c:pt idx="305">
                  <c:v>9.6</c:v>
                </c:pt>
                <c:pt idx="306">
                  <c:v>9.6999999999999993</c:v>
                </c:pt>
                <c:pt idx="307">
                  <c:v>9.4</c:v>
                </c:pt>
                <c:pt idx="308">
                  <c:v>9.1999999999999993</c:v>
                </c:pt>
                <c:pt idx="309">
                  <c:v>8</c:v>
                </c:pt>
                <c:pt idx="310">
                  <c:v>5.9</c:v>
                </c:pt>
                <c:pt idx="311">
                  <c:v>5.2</c:v>
                </c:pt>
                <c:pt idx="312">
                  <c:v>5.9</c:v>
                </c:pt>
                <c:pt idx="313">
                  <c:v>6.8</c:v>
                </c:pt>
                <c:pt idx="314">
                  <c:v>5.8</c:v>
                </c:pt>
                <c:pt idx="315">
                  <c:v>4.5</c:v>
                </c:pt>
                <c:pt idx="316">
                  <c:v>4.4000000000000004</c:v>
                </c:pt>
                <c:pt idx="317">
                  <c:v>1.7</c:v>
                </c:pt>
                <c:pt idx="318">
                  <c:v>-0.3</c:v>
                </c:pt>
                <c:pt idx="319">
                  <c:v>0.5</c:v>
                </c:pt>
                <c:pt idx="320">
                  <c:v>-2.7</c:v>
                </c:pt>
                <c:pt idx="321">
                  <c:v>-10.1</c:v>
                </c:pt>
                <c:pt idx="322">
                  <c:v>-12</c:v>
                </c:pt>
                <c:pt idx="323">
                  <c:v>-10.7</c:v>
                </c:pt>
                <c:pt idx="324">
                  <c:v>-13</c:v>
                </c:pt>
                <c:pt idx="325">
                  <c:v>-11.7</c:v>
                </c:pt>
                <c:pt idx="326">
                  <c:v>-6.6</c:v>
                </c:pt>
                <c:pt idx="327">
                  <c:v>-9.3000000000000007</c:v>
                </c:pt>
                <c:pt idx="328">
                  <c:v>-8</c:v>
                </c:pt>
                <c:pt idx="329">
                  <c:v>-9.4</c:v>
                </c:pt>
                <c:pt idx="330">
                  <c:v>-10</c:v>
                </c:pt>
                <c:pt idx="331">
                  <c:v>-7.5</c:v>
                </c:pt>
                <c:pt idx="332">
                  <c:v>-6.7</c:v>
                </c:pt>
                <c:pt idx="333">
                  <c:v>-5.7</c:v>
                </c:pt>
                <c:pt idx="334">
                  <c:v>-5.5</c:v>
                </c:pt>
                <c:pt idx="335">
                  <c:v>-3.7</c:v>
                </c:pt>
                <c:pt idx="336">
                  <c:v>-1.8</c:v>
                </c:pt>
                <c:pt idx="337">
                  <c:v>-0.7</c:v>
                </c:pt>
                <c:pt idx="338">
                  <c:v>0.3</c:v>
                </c:pt>
                <c:pt idx="339">
                  <c:v>1.6</c:v>
                </c:pt>
                <c:pt idx="340">
                  <c:v>1.4</c:v>
                </c:pt>
                <c:pt idx="341">
                  <c:v>0.5</c:v>
                </c:pt>
                <c:pt idx="342">
                  <c:v>0.8</c:v>
                </c:pt>
                <c:pt idx="343">
                  <c:v>0.3</c:v>
                </c:pt>
                <c:pt idx="344">
                  <c:v>0.5</c:v>
                </c:pt>
                <c:pt idx="345">
                  <c:v>-0.8</c:v>
                </c:pt>
                <c:pt idx="346">
                  <c:v>-0.6</c:v>
                </c:pt>
                <c:pt idx="347">
                  <c:v>-0.3</c:v>
                </c:pt>
                <c:pt idx="348">
                  <c:v>-0.7</c:v>
                </c:pt>
                <c:pt idx="349">
                  <c:v>-0.1</c:v>
                </c:pt>
                <c:pt idx="350">
                  <c:v>0.4</c:v>
                </c:pt>
                <c:pt idx="351">
                  <c:v>1</c:v>
                </c:pt>
                <c:pt idx="352">
                  <c:v>1.6</c:v>
                </c:pt>
                <c:pt idx="353">
                  <c:v>2.2000000000000002</c:v>
                </c:pt>
                <c:pt idx="354">
                  <c:v>3.3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2.6</c:v>
                </c:pt>
                <c:pt idx="358">
                  <c:v>-0.4</c:v>
                </c:pt>
                <c:pt idx="359">
                  <c:v>-3.8</c:v>
                </c:pt>
                <c:pt idx="360">
                  <c:v>-3.6</c:v>
                </c:pt>
                <c:pt idx="361">
                  <c:v>-3.5</c:v>
                </c:pt>
                <c:pt idx="362">
                  <c:v>-2.2999999999999998</c:v>
                </c:pt>
                <c:pt idx="363">
                  <c:v>-5.5</c:v>
                </c:pt>
                <c:pt idx="364">
                  <c:v>-7.6</c:v>
                </c:pt>
                <c:pt idx="365">
                  <c:v>-9.8000000000000007</c:v>
                </c:pt>
                <c:pt idx="366">
                  <c:v>-9.8000000000000007</c:v>
                </c:pt>
                <c:pt idx="367">
                  <c:v>-9.6999999999999993</c:v>
                </c:pt>
                <c:pt idx="368">
                  <c:v>-9.6</c:v>
                </c:pt>
                <c:pt idx="369">
                  <c:v>-8.4</c:v>
                </c:pt>
                <c:pt idx="370">
                  <c:v>-8.4</c:v>
                </c:pt>
                <c:pt idx="371">
                  <c:v>-8.3000000000000007</c:v>
                </c:pt>
                <c:pt idx="372">
                  <c:v>-7.3</c:v>
                </c:pt>
                <c:pt idx="373">
                  <c:v>-7.3</c:v>
                </c:pt>
                <c:pt idx="374">
                  <c:v>-6.1</c:v>
                </c:pt>
                <c:pt idx="375">
                  <c:v>-5</c:v>
                </c:pt>
                <c:pt idx="376">
                  <c:v>-2.7</c:v>
                </c:pt>
                <c:pt idx="377">
                  <c:v>-0.5</c:v>
                </c:pt>
                <c:pt idx="378">
                  <c:v>-0.7</c:v>
                </c:pt>
                <c:pt idx="379">
                  <c:v>-1.7</c:v>
                </c:pt>
                <c:pt idx="380">
                  <c:v>-0.7</c:v>
                </c:pt>
                <c:pt idx="381">
                  <c:v>0.3</c:v>
                </c:pt>
                <c:pt idx="382">
                  <c:v>0.1</c:v>
                </c:pt>
                <c:pt idx="383">
                  <c:v>0</c:v>
                </c:pt>
                <c:pt idx="384">
                  <c:v>-0.3</c:v>
                </c:pt>
                <c:pt idx="385">
                  <c:v>1.3</c:v>
                </c:pt>
                <c:pt idx="386">
                  <c:v>0.9</c:v>
                </c:pt>
                <c:pt idx="387">
                  <c:v>0.7</c:v>
                </c:pt>
                <c:pt idx="388">
                  <c:v>1.2</c:v>
                </c:pt>
                <c:pt idx="389">
                  <c:v>1.6</c:v>
                </c:pt>
                <c:pt idx="390">
                  <c:v>2.2999999999999998</c:v>
                </c:pt>
                <c:pt idx="391">
                  <c:v>3.9</c:v>
                </c:pt>
                <c:pt idx="392">
                  <c:v>4.4000000000000004</c:v>
                </c:pt>
                <c:pt idx="393">
                  <c:v>4</c:v>
                </c:pt>
                <c:pt idx="394">
                  <c:v>3.1</c:v>
                </c:pt>
                <c:pt idx="395">
                  <c:v>1</c:v>
                </c:pt>
                <c:pt idx="396">
                  <c:v>3.1</c:v>
                </c:pt>
                <c:pt idx="397">
                  <c:v>6.8</c:v>
                </c:pt>
                <c:pt idx="398">
                  <c:v>8.3000000000000007</c:v>
                </c:pt>
                <c:pt idx="399">
                  <c:v>9.8000000000000007</c:v>
                </c:pt>
                <c:pt idx="400">
                  <c:v>9.6</c:v>
                </c:pt>
                <c:pt idx="401">
                  <c:v>5.9</c:v>
                </c:pt>
                <c:pt idx="402">
                  <c:v>4.0999999999999996</c:v>
                </c:pt>
                <c:pt idx="403">
                  <c:v>2.2999999999999998</c:v>
                </c:pt>
                <c:pt idx="404">
                  <c:v>2.8</c:v>
                </c:pt>
                <c:pt idx="405">
                  <c:v>2.6</c:v>
                </c:pt>
                <c:pt idx="406">
                  <c:v>2.8</c:v>
                </c:pt>
                <c:pt idx="407">
                  <c:v>3.4</c:v>
                </c:pt>
                <c:pt idx="408">
                  <c:v>3</c:v>
                </c:pt>
                <c:pt idx="409">
                  <c:v>4</c:v>
                </c:pt>
                <c:pt idx="410">
                  <c:v>4</c:v>
                </c:pt>
                <c:pt idx="411">
                  <c:v>2.5</c:v>
                </c:pt>
                <c:pt idx="412">
                  <c:v>-5.0999999999999996</c:v>
                </c:pt>
                <c:pt idx="413">
                  <c:v>-9.8000000000000007</c:v>
                </c:pt>
                <c:pt idx="414">
                  <c:v>-13</c:v>
                </c:pt>
                <c:pt idx="415">
                  <c:v>-13.5</c:v>
                </c:pt>
                <c:pt idx="416">
                  <c:v>-14</c:v>
                </c:pt>
                <c:pt idx="417">
                  <c:v>-13</c:v>
                </c:pt>
                <c:pt idx="418">
                  <c:v>-14</c:v>
                </c:pt>
                <c:pt idx="419">
                  <c:v>-13.8</c:v>
                </c:pt>
                <c:pt idx="420">
                  <c:v>-10.8</c:v>
                </c:pt>
                <c:pt idx="421">
                  <c:v>-8.3000000000000007</c:v>
                </c:pt>
                <c:pt idx="422">
                  <c:v>-5.2</c:v>
                </c:pt>
                <c:pt idx="423">
                  <c:v>0.4</c:v>
                </c:pt>
                <c:pt idx="424">
                  <c:v>5.2</c:v>
                </c:pt>
                <c:pt idx="425">
                  <c:v>6.9</c:v>
                </c:pt>
                <c:pt idx="426">
                  <c:v>8.1</c:v>
                </c:pt>
                <c:pt idx="427">
                  <c:v>9.1999999999999993</c:v>
                </c:pt>
                <c:pt idx="428">
                  <c:v>8.6</c:v>
                </c:pt>
                <c:pt idx="429">
                  <c:v>9.5</c:v>
                </c:pt>
                <c:pt idx="430">
                  <c:v>4.2</c:v>
                </c:pt>
                <c:pt idx="431">
                  <c:v>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5872"/>
        <c:axId val="50977408"/>
      </c:areaChart>
      <c:catAx>
        <c:axId val="5097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977408"/>
        <c:crossesAt val="0"/>
        <c:auto val="1"/>
        <c:lblAlgn val="ctr"/>
        <c:lblOffset val="100"/>
        <c:tickLblSkip val="36"/>
        <c:tickMarkSkip val="12"/>
        <c:noMultiLvlLbl val="0"/>
      </c:catAx>
      <c:valAx>
        <c:axId val="50977408"/>
        <c:scaling>
          <c:orientation val="minMax"/>
          <c:max val="60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975872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491103202846966E-2"/>
          <c:y val="8.304058423777734E-2"/>
          <c:w val="0.92348754448398573"/>
          <c:h val="0.879001306636558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C0C0C0"/>
            </a:solidFill>
            <a:ln w="25400">
              <a:solidFill>
                <a:srgbClr val="000000"/>
              </a:solidFill>
              <a:prstDash val="solid"/>
            </a:ln>
          </c:spPr>
          <c:cat>
            <c:strRef>
              <c:f>'App2DataFig2.1-2.9'!$T$530:$T$961</c:f>
              <c:strCache>
                <c:ptCount val="432"/>
                <c:pt idx="0">
                  <c:v>1867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1868</c:v>
                </c:pt>
                <c:pt idx="13">
                  <c:v>Feb</c:v>
                </c:pt>
                <c:pt idx="14">
                  <c:v>Mar</c:v>
                </c:pt>
                <c:pt idx="15">
                  <c:v>April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1869</c:v>
                </c:pt>
                <c:pt idx="25">
                  <c:v>Feb</c:v>
                </c:pt>
                <c:pt idx="26">
                  <c:v>Mar</c:v>
                </c:pt>
                <c:pt idx="27">
                  <c:v>April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1870</c:v>
                </c:pt>
                <c:pt idx="37">
                  <c:v>Feb</c:v>
                </c:pt>
                <c:pt idx="38">
                  <c:v>Mar</c:v>
                </c:pt>
                <c:pt idx="39">
                  <c:v>April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1871</c:v>
                </c:pt>
                <c:pt idx="49">
                  <c:v>Feb</c:v>
                </c:pt>
                <c:pt idx="50">
                  <c:v>Mar</c:v>
                </c:pt>
                <c:pt idx="51">
                  <c:v>April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1872</c:v>
                </c:pt>
                <c:pt idx="61">
                  <c:v>Feb</c:v>
                </c:pt>
                <c:pt idx="62">
                  <c:v>Mar</c:v>
                </c:pt>
                <c:pt idx="63">
                  <c:v>April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1873</c:v>
                </c:pt>
                <c:pt idx="73">
                  <c:v>Feb</c:v>
                </c:pt>
                <c:pt idx="74">
                  <c:v>Mar</c:v>
                </c:pt>
                <c:pt idx="75">
                  <c:v>April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1874</c:v>
                </c:pt>
                <c:pt idx="85">
                  <c:v>Feb</c:v>
                </c:pt>
                <c:pt idx="86">
                  <c:v>Mar</c:v>
                </c:pt>
                <c:pt idx="87">
                  <c:v>April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1875</c:v>
                </c:pt>
                <c:pt idx="97">
                  <c:v>Feb</c:v>
                </c:pt>
                <c:pt idx="98">
                  <c:v>Mar</c:v>
                </c:pt>
                <c:pt idx="99">
                  <c:v>April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Aug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1876</c:v>
                </c:pt>
                <c:pt idx="109">
                  <c:v>Feb</c:v>
                </c:pt>
                <c:pt idx="110">
                  <c:v>Mar</c:v>
                </c:pt>
                <c:pt idx="111">
                  <c:v>April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1877</c:v>
                </c:pt>
                <c:pt idx="121">
                  <c:v>Feb</c:v>
                </c:pt>
                <c:pt idx="122">
                  <c:v>Mar</c:v>
                </c:pt>
                <c:pt idx="123">
                  <c:v>April</c:v>
                </c:pt>
                <c:pt idx="124">
                  <c:v>May</c:v>
                </c:pt>
                <c:pt idx="125">
                  <c:v>Jun</c:v>
                </c:pt>
                <c:pt idx="126">
                  <c:v>Jul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1878</c:v>
                </c:pt>
                <c:pt idx="133">
                  <c:v>Feb</c:v>
                </c:pt>
                <c:pt idx="134">
                  <c:v>Mar</c:v>
                </c:pt>
                <c:pt idx="135">
                  <c:v>April</c:v>
                </c:pt>
                <c:pt idx="136">
                  <c:v>May</c:v>
                </c:pt>
                <c:pt idx="137">
                  <c:v>Jun</c:v>
                </c:pt>
                <c:pt idx="138">
                  <c:v>Jul</c:v>
                </c:pt>
                <c:pt idx="139">
                  <c:v>Aug</c:v>
                </c:pt>
                <c:pt idx="140">
                  <c:v>Sep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1879</c:v>
                </c:pt>
                <c:pt idx="145">
                  <c:v>Feb</c:v>
                </c:pt>
                <c:pt idx="146">
                  <c:v>Mar</c:v>
                </c:pt>
                <c:pt idx="147">
                  <c:v>April</c:v>
                </c:pt>
                <c:pt idx="148">
                  <c:v>May</c:v>
                </c:pt>
                <c:pt idx="149">
                  <c:v>Jun</c:v>
                </c:pt>
                <c:pt idx="150">
                  <c:v>Jul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1880</c:v>
                </c:pt>
                <c:pt idx="157">
                  <c:v>Feb</c:v>
                </c:pt>
                <c:pt idx="158">
                  <c:v>Mar</c:v>
                </c:pt>
                <c:pt idx="159">
                  <c:v>April</c:v>
                </c:pt>
                <c:pt idx="160">
                  <c:v>May</c:v>
                </c:pt>
                <c:pt idx="161">
                  <c:v>Jun</c:v>
                </c:pt>
                <c:pt idx="162">
                  <c:v>Jul</c:v>
                </c:pt>
                <c:pt idx="163">
                  <c:v>Aug</c:v>
                </c:pt>
                <c:pt idx="164">
                  <c:v>Sep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1881</c:v>
                </c:pt>
                <c:pt idx="169">
                  <c:v>Feb</c:v>
                </c:pt>
                <c:pt idx="170">
                  <c:v>Mar</c:v>
                </c:pt>
                <c:pt idx="171">
                  <c:v>April</c:v>
                </c:pt>
                <c:pt idx="172">
                  <c:v>May</c:v>
                </c:pt>
                <c:pt idx="173">
                  <c:v>Jun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1882</c:v>
                </c:pt>
                <c:pt idx="181">
                  <c:v>Feb</c:v>
                </c:pt>
                <c:pt idx="182">
                  <c:v>Mar</c:v>
                </c:pt>
                <c:pt idx="183">
                  <c:v>April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1883</c:v>
                </c:pt>
                <c:pt idx="193">
                  <c:v>Feb</c:v>
                </c:pt>
                <c:pt idx="194">
                  <c:v>Mar</c:v>
                </c:pt>
                <c:pt idx="195">
                  <c:v>April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1884</c:v>
                </c:pt>
                <c:pt idx="205">
                  <c:v>Feb</c:v>
                </c:pt>
                <c:pt idx="206">
                  <c:v>Mar</c:v>
                </c:pt>
                <c:pt idx="207">
                  <c:v>April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1885</c:v>
                </c:pt>
                <c:pt idx="217">
                  <c:v>Feb</c:v>
                </c:pt>
                <c:pt idx="218">
                  <c:v>Mar</c:v>
                </c:pt>
                <c:pt idx="219">
                  <c:v>April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1886</c:v>
                </c:pt>
                <c:pt idx="229">
                  <c:v>Feb</c:v>
                </c:pt>
                <c:pt idx="230">
                  <c:v>Mar</c:v>
                </c:pt>
                <c:pt idx="231">
                  <c:v>April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1887</c:v>
                </c:pt>
                <c:pt idx="241">
                  <c:v>Feb</c:v>
                </c:pt>
                <c:pt idx="242">
                  <c:v>Mar</c:v>
                </c:pt>
                <c:pt idx="243">
                  <c:v>April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1888</c:v>
                </c:pt>
                <c:pt idx="253">
                  <c:v>Feb</c:v>
                </c:pt>
                <c:pt idx="254">
                  <c:v>Mar</c:v>
                </c:pt>
                <c:pt idx="255">
                  <c:v>April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1889</c:v>
                </c:pt>
                <c:pt idx="265">
                  <c:v>Feb</c:v>
                </c:pt>
                <c:pt idx="266">
                  <c:v>Mar</c:v>
                </c:pt>
                <c:pt idx="267">
                  <c:v>April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1890</c:v>
                </c:pt>
                <c:pt idx="277">
                  <c:v>Feb</c:v>
                </c:pt>
                <c:pt idx="278">
                  <c:v>Mar</c:v>
                </c:pt>
                <c:pt idx="279">
                  <c:v>April</c:v>
                </c:pt>
                <c:pt idx="280">
                  <c:v>May</c:v>
                </c:pt>
                <c:pt idx="281">
                  <c:v>Jun</c:v>
                </c:pt>
                <c:pt idx="282">
                  <c:v>Jul</c:v>
                </c:pt>
                <c:pt idx="283">
                  <c:v>Aug</c:v>
                </c:pt>
                <c:pt idx="284">
                  <c:v>Sep</c:v>
                </c:pt>
                <c:pt idx="285">
                  <c:v>Oct</c:v>
                </c:pt>
                <c:pt idx="286">
                  <c:v>Nov</c:v>
                </c:pt>
                <c:pt idx="287">
                  <c:v>Dec</c:v>
                </c:pt>
                <c:pt idx="288">
                  <c:v>1891</c:v>
                </c:pt>
                <c:pt idx="289">
                  <c:v>Feb</c:v>
                </c:pt>
                <c:pt idx="290">
                  <c:v>Mar</c:v>
                </c:pt>
                <c:pt idx="291">
                  <c:v>April</c:v>
                </c:pt>
                <c:pt idx="292">
                  <c:v>May</c:v>
                </c:pt>
                <c:pt idx="293">
                  <c:v>Jun</c:v>
                </c:pt>
                <c:pt idx="294">
                  <c:v>Jul</c:v>
                </c:pt>
                <c:pt idx="295">
                  <c:v>Aug</c:v>
                </c:pt>
                <c:pt idx="296">
                  <c:v>Sep</c:v>
                </c:pt>
                <c:pt idx="297">
                  <c:v>Oct</c:v>
                </c:pt>
                <c:pt idx="298">
                  <c:v>Nov</c:v>
                </c:pt>
                <c:pt idx="299">
                  <c:v>Dec</c:v>
                </c:pt>
                <c:pt idx="300">
                  <c:v>1892</c:v>
                </c:pt>
                <c:pt idx="301">
                  <c:v>Feb</c:v>
                </c:pt>
                <c:pt idx="302">
                  <c:v>Mar</c:v>
                </c:pt>
                <c:pt idx="303">
                  <c:v>April</c:v>
                </c:pt>
                <c:pt idx="304">
                  <c:v>May</c:v>
                </c:pt>
                <c:pt idx="305">
                  <c:v>Jun</c:v>
                </c:pt>
                <c:pt idx="306">
                  <c:v>Jul</c:v>
                </c:pt>
                <c:pt idx="307">
                  <c:v>Aug</c:v>
                </c:pt>
                <c:pt idx="308">
                  <c:v>Sep</c:v>
                </c:pt>
                <c:pt idx="309">
                  <c:v>Oct</c:v>
                </c:pt>
                <c:pt idx="310">
                  <c:v>Nov</c:v>
                </c:pt>
                <c:pt idx="311">
                  <c:v>Dec</c:v>
                </c:pt>
                <c:pt idx="312">
                  <c:v>1893</c:v>
                </c:pt>
                <c:pt idx="313">
                  <c:v>Feb</c:v>
                </c:pt>
                <c:pt idx="314">
                  <c:v>Mar</c:v>
                </c:pt>
                <c:pt idx="315">
                  <c:v>April</c:v>
                </c:pt>
                <c:pt idx="316">
                  <c:v>May</c:v>
                </c:pt>
                <c:pt idx="317">
                  <c:v>Jun</c:v>
                </c:pt>
                <c:pt idx="318">
                  <c:v>Jul</c:v>
                </c:pt>
                <c:pt idx="319">
                  <c:v>Aug</c:v>
                </c:pt>
                <c:pt idx="320">
                  <c:v>Sep</c:v>
                </c:pt>
                <c:pt idx="321">
                  <c:v>Oct</c:v>
                </c:pt>
                <c:pt idx="322">
                  <c:v>Nov</c:v>
                </c:pt>
                <c:pt idx="323">
                  <c:v>Dec</c:v>
                </c:pt>
                <c:pt idx="324">
                  <c:v>1894</c:v>
                </c:pt>
                <c:pt idx="325">
                  <c:v>Feb</c:v>
                </c:pt>
                <c:pt idx="326">
                  <c:v>Mar</c:v>
                </c:pt>
                <c:pt idx="327">
                  <c:v>April</c:v>
                </c:pt>
                <c:pt idx="328">
                  <c:v>May</c:v>
                </c:pt>
                <c:pt idx="329">
                  <c:v>Jun</c:v>
                </c:pt>
                <c:pt idx="330">
                  <c:v>Jul</c:v>
                </c:pt>
                <c:pt idx="331">
                  <c:v>Aug</c:v>
                </c:pt>
                <c:pt idx="332">
                  <c:v>Sep</c:v>
                </c:pt>
                <c:pt idx="333">
                  <c:v>Oct</c:v>
                </c:pt>
                <c:pt idx="334">
                  <c:v>Nov</c:v>
                </c:pt>
                <c:pt idx="335">
                  <c:v>Dec</c:v>
                </c:pt>
                <c:pt idx="336">
                  <c:v>1895</c:v>
                </c:pt>
                <c:pt idx="337">
                  <c:v>Feb</c:v>
                </c:pt>
                <c:pt idx="338">
                  <c:v>Mar</c:v>
                </c:pt>
                <c:pt idx="339">
                  <c:v>April</c:v>
                </c:pt>
                <c:pt idx="340">
                  <c:v>May</c:v>
                </c:pt>
                <c:pt idx="341">
                  <c:v>Jun</c:v>
                </c:pt>
                <c:pt idx="342">
                  <c:v>Jul</c:v>
                </c:pt>
                <c:pt idx="343">
                  <c:v>Aug</c:v>
                </c:pt>
                <c:pt idx="344">
                  <c:v>Sep</c:v>
                </c:pt>
                <c:pt idx="345">
                  <c:v>Oct</c:v>
                </c:pt>
                <c:pt idx="346">
                  <c:v>Nov</c:v>
                </c:pt>
                <c:pt idx="347">
                  <c:v>Dec</c:v>
                </c:pt>
                <c:pt idx="348">
                  <c:v>1896</c:v>
                </c:pt>
                <c:pt idx="349">
                  <c:v>Feb</c:v>
                </c:pt>
                <c:pt idx="350">
                  <c:v>Mar</c:v>
                </c:pt>
                <c:pt idx="351">
                  <c:v>April</c:v>
                </c:pt>
                <c:pt idx="352">
                  <c:v>May</c:v>
                </c:pt>
                <c:pt idx="353">
                  <c:v>Jun</c:v>
                </c:pt>
                <c:pt idx="354">
                  <c:v>Jul</c:v>
                </c:pt>
                <c:pt idx="355">
                  <c:v>Aug</c:v>
                </c:pt>
                <c:pt idx="356">
                  <c:v>Sep</c:v>
                </c:pt>
                <c:pt idx="357">
                  <c:v>Oct</c:v>
                </c:pt>
                <c:pt idx="358">
                  <c:v>Nov</c:v>
                </c:pt>
                <c:pt idx="359">
                  <c:v>Dec</c:v>
                </c:pt>
                <c:pt idx="360">
                  <c:v>1897</c:v>
                </c:pt>
                <c:pt idx="361">
                  <c:v>Feb</c:v>
                </c:pt>
                <c:pt idx="362">
                  <c:v>Mar</c:v>
                </c:pt>
                <c:pt idx="363">
                  <c:v>April</c:v>
                </c:pt>
                <c:pt idx="364">
                  <c:v>May</c:v>
                </c:pt>
                <c:pt idx="365">
                  <c:v>Jun</c:v>
                </c:pt>
                <c:pt idx="366">
                  <c:v>Jul</c:v>
                </c:pt>
                <c:pt idx="367">
                  <c:v>Aug</c:v>
                </c:pt>
                <c:pt idx="368">
                  <c:v>Sep</c:v>
                </c:pt>
                <c:pt idx="369">
                  <c:v>Oct</c:v>
                </c:pt>
                <c:pt idx="370">
                  <c:v>Nov</c:v>
                </c:pt>
                <c:pt idx="371">
                  <c:v>Dec</c:v>
                </c:pt>
                <c:pt idx="372">
                  <c:v>1898</c:v>
                </c:pt>
                <c:pt idx="373">
                  <c:v>Feb</c:v>
                </c:pt>
                <c:pt idx="374">
                  <c:v>Mar</c:v>
                </c:pt>
                <c:pt idx="375">
                  <c:v>April</c:v>
                </c:pt>
                <c:pt idx="376">
                  <c:v>May</c:v>
                </c:pt>
                <c:pt idx="377">
                  <c:v>Jun</c:v>
                </c:pt>
                <c:pt idx="378">
                  <c:v>Jul</c:v>
                </c:pt>
                <c:pt idx="379">
                  <c:v>Aug</c:v>
                </c:pt>
                <c:pt idx="380">
                  <c:v>Sep</c:v>
                </c:pt>
                <c:pt idx="381">
                  <c:v>Oct</c:v>
                </c:pt>
                <c:pt idx="382">
                  <c:v>Nov</c:v>
                </c:pt>
                <c:pt idx="383">
                  <c:v>Dec</c:v>
                </c:pt>
                <c:pt idx="384">
                  <c:v>1899</c:v>
                </c:pt>
                <c:pt idx="385">
                  <c:v>Feb</c:v>
                </c:pt>
                <c:pt idx="386">
                  <c:v>Mar</c:v>
                </c:pt>
                <c:pt idx="387">
                  <c:v>April</c:v>
                </c:pt>
                <c:pt idx="388">
                  <c:v>May</c:v>
                </c:pt>
                <c:pt idx="389">
                  <c:v>Jun</c:v>
                </c:pt>
                <c:pt idx="390">
                  <c:v>Jul</c:v>
                </c:pt>
                <c:pt idx="391">
                  <c:v>Aug</c:v>
                </c:pt>
                <c:pt idx="392">
                  <c:v>Sep</c:v>
                </c:pt>
                <c:pt idx="393">
                  <c:v>Oct</c:v>
                </c:pt>
                <c:pt idx="394">
                  <c:v>Nov</c:v>
                </c:pt>
                <c:pt idx="395">
                  <c:v>Dec</c:v>
                </c:pt>
                <c:pt idx="396">
                  <c:v>1900</c:v>
                </c:pt>
                <c:pt idx="397">
                  <c:v>Feb-1900</c:v>
                </c:pt>
                <c:pt idx="398">
                  <c:v>Mar-1900</c:v>
                </c:pt>
                <c:pt idx="399">
                  <c:v>Apr-1900</c:v>
                </c:pt>
                <c:pt idx="400">
                  <c:v>May-1900</c:v>
                </c:pt>
                <c:pt idx="401">
                  <c:v>Jun-1900</c:v>
                </c:pt>
                <c:pt idx="402">
                  <c:v>Jul-1900</c:v>
                </c:pt>
                <c:pt idx="403">
                  <c:v>Aug-1900</c:v>
                </c:pt>
                <c:pt idx="404">
                  <c:v>Sep-1900</c:v>
                </c:pt>
                <c:pt idx="405">
                  <c:v>Oct-1900</c:v>
                </c:pt>
                <c:pt idx="406">
                  <c:v>Nov-1900</c:v>
                </c:pt>
                <c:pt idx="407">
                  <c:v>Dec-1900</c:v>
                </c:pt>
                <c:pt idx="408">
                  <c:v>1901</c:v>
                </c:pt>
                <c:pt idx="409">
                  <c:v>Feb-1901</c:v>
                </c:pt>
                <c:pt idx="410">
                  <c:v>Mar-1901</c:v>
                </c:pt>
                <c:pt idx="411">
                  <c:v>Apr-1901</c:v>
                </c:pt>
                <c:pt idx="412">
                  <c:v>May-1901</c:v>
                </c:pt>
                <c:pt idx="413">
                  <c:v>Jun-1901</c:v>
                </c:pt>
                <c:pt idx="414">
                  <c:v>Jul-1901</c:v>
                </c:pt>
                <c:pt idx="415">
                  <c:v>Aug-1901</c:v>
                </c:pt>
                <c:pt idx="416">
                  <c:v>Sep-1901</c:v>
                </c:pt>
                <c:pt idx="417">
                  <c:v>Oct-1901</c:v>
                </c:pt>
                <c:pt idx="418">
                  <c:v>Nov-1901</c:v>
                </c:pt>
                <c:pt idx="419">
                  <c:v>Dec-1901</c:v>
                </c:pt>
                <c:pt idx="420">
                  <c:v>1902</c:v>
                </c:pt>
                <c:pt idx="421">
                  <c:v>Feb-1902</c:v>
                </c:pt>
                <c:pt idx="422">
                  <c:v>Mar-1902</c:v>
                </c:pt>
                <c:pt idx="423">
                  <c:v>Apr-1902</c:v>
                </c:pt>
                <c:pt idx="424">
                  <c:v>May-1902</c:v>
                </c:pt>
                <c:pt idx="425">
                  <c:v>Jun-1902</c:v>
                </c:pt>
                <c:pt idx="426">
                  <c:v>Jul-1902</c:v>
                </c:pt>
                <c:pt idx="427">
                  <c:v>Aug-1902</c:v>
                </c:pt>
                <c:pt idx="428">
                  <c:v>Sep-1902</c:v>
                </c:pt>
                <c:pt idx="429">
                  <c:v>Oct-1902</c:v>
                </c:pt>
                <c:pt idx="430">
                  <c:v>Nov-1902</c:v>
                </c:pt>
                <c:pt idx="431">
                  <c:v>Dec-1902</c:v>
                </c:pt>
              </c:strCache>
            </c:strRef>
          </c:cat>
          <c:val>
            <c:numRef>
              <c:f>'App2DataFig2.1-2.9'!$U$530:$U$961</c:f>
              <c:numCache>
                <c:formatCode>General</c:formatCode>
                <c:ptCount val="432"/>
                <c:pt idx="0">
                  <c:v>0</c:v>
                </c:pt>
                <c:pt idx="1">
                  <c:v>-3</c:v>
                </c:pt>
                <c:pt idx="2">
                  <c:v>-2.8</c:v>
                </c:pt>
                <c:pt idx="3">
                  <c:v>-2.4</c:v>
                </c:pt>
                <c:pt idx="4">
                  <c:v>-1.2</c:v>
                </c:pt>
                <c:pt idx="5">
                  <c:v>-0.4</c:v>
                </c:pt>
                <c:pt idx="6">
                  <c:v>0.3</c:v>
                </c:pt>
                <c:pt idx="7">
                  <c:v>1.9</c:v>
                </c:pt>
                <c:pt idx="8">
                  <c:v>2.1</c:v>
                </c:pt>
                <c:pt idx="9">
                  <c:v>-0.2</c:v>
                </c:pt>
                <c:pt idx="10">
                  <c:v>-1.5</c:v>
                </c:pt>
                <c:pt idx="11">
                  <c:v>-2</c:v>
                </c:pt>
                <c:pt idx="12">
                  <c:v>-3.2</c:v>
                </c:pt>
                <c:pt idx="13">
                  <c:v>-2.7</c:v>
                </c:pt>
                <c:pt idx="14">
                  <c:v>-2.2000000000000002</c:v>
                </c:pt>
                <c:pt idx="15">
                  <c:v>-0.5</c:v>
                </c:pt>
                <c:pt idx="16">
                  <c:v>0.1</c:v>
                </c:pt>
                <c:pt idx="17">
                  <c:v>-0.2</c:v>
                </c:pt>
                <c:pt idx="18">
                  <c:v>0.4</c:v>
                </c:pt>
                <c:pt idx="19">
                  <c:v>2</c:v>
                </c:pt>
                <c:pt idx="20">
                  <c:v>2.5</c:v>
                </c:pt>
                <c:pt idx="21">
                  <c:v>2</c:v>
                </c:pt>
                <c:pt idx="22">
                  <c:v>1.6</c:v>
                </c:pt>
                <c:pt idx="23">
                  <c:v>2</c:v>
                </c:pt>
                <c:pt idx="24">
                  <c:v>1.1000000000000001</c:v>
                </c:pt>
                <c:pt idx="25">
                  <c:v>1.9</c:v>
                </c:pt>
                <c:pt idx="26">
                  <c:v>2.2999999999999998</c:v>
                </c:pt>
                <c:pt idx="27">
                  <c:v>2.8</c:v>
                </c:pt>
                <c:pt idx="28">
                  <c:v>4.2</c:v>
                </c:pt>
                <c:pt idx="29">
                  <c:v>4.9000000000000004</c:v>
                </c:pt>
                <c:pt idx="30">
                  <c:v>4.0999999999999996</c:v>
                </c:pt>
                <c:pt idx="31">
                  <c:v>2.6</c:v>
                </c:pt>
                <c:pt idx="32">
                  <c:v>1.6</c:v>
                </c:pt>
                <c:pt idx="33">
                  <c:v>0.9</c:v>
                </c:pt>
                <c:pt idx="34">
                  <c:v>0.6</c:v>
                </c:pt>
                <c:pt idx="35">
                  <c:v>0.2</c:v>
                </c:pt>
                <c:pt idx="36">
                  <c:v>-0.3</c:v>
                </c:pt>
                <c:pt idx="37">
                  <c:v>-1</c:v>
                </c:pt>
                <c:pt idx="38">
                  <c:v>-0.5</c:v>
                </c:pt>
                <c:pt idx="39">
                  <c:v>1</c:v>
                </c:pt>
                <c:pt idx="40">
                  <c:v>2.5</c:v>
                </c:pt>
                <c:pt idx="41">
                  <c:v>3.5</c:v>
                </c:pt>
                <c:pt idx="42">
                  <c:v>2.5</c:v>
                </c:pt>
                <c:pt idx="43">
                  <c:v>1</c:v>
                </c:pt>
                <c:pt idx="44">
                  <c:v>-1.6</c:v>
                </c:pt>
                <c:pt idx="45">
                  <c:v>-4.8</c:v>
                </c:pt>
                <c:pt idx="46">
                  <c:v>-4</c:v>
                </c:pt>
                <c:pt idx="47">
                  <c:v>-3</c:v>
                </c:pt>
                <c:pt idx="48">
                  <c:v>-2.6</c:v>
                </c:pt>
                <c:pt idx="49">
                  <c:v>0.4</c:v>
                </c:pt>
                <c:pt idx="50">
                  <c:v>2.4</c:v>
                </c:pt>
                <c:pt idx="51">
                  <c:v>4.2</c:v>
                </c:pt>
                <c:pt idx="52">
                  <c:v>6.2</c:v>
                </c:pt>
                <c:pt idx="53">
                  <c:v>6.1</c:v>
                </c:pt>
                <c:pt idx="54">
                  <c:v>6.4</c:v>
                </c:pt>
                <c:pt idx="55">
                  <c:v>5.6</c:v>
                </c:pt>
                <c:pt idx="56">
                  <c:v>5.8</c:v>
                </c:pt>
                <c:pt idx="57">
                  <c:v>6</c:v>
                </c:pt>
                <c:pt idx="58">
                  <c:v>6.1</c:v>
                </c:pt>
                <c:pt idx="59">
                  <c:v>6.3</c:v>
                </c:pt>
                <c:pt idx="60">
                  <c:v>7.7</c:v>
                </c:pt>
                <c:pt idx="61">
                  <c:v>8.6</c:v>
                </c:pt>
                <c:pt idx="62">
                  <c:v>10.7</c:v>
                </c:pt>
                <c:pt idx="63">
                  <c:v>10.5</c:v>
                </c:pt>
                <c:pt idx="64">
                  <c:v>10.4</c:v>
                </c:pt>
                <c:pt idx="65">
                  <c:v>9.1</c:v>
                </c:pt>
                <c:pt idx="66">
                  <c:v>8.9</c:v>
                </c:pt>
                <c:pt idx="67">
                  <c:v>9.5</c:v>
                </c:pt>
                <c:pt idx="68">
                  <c:v>11.4</c:v>
                </c:pt>
                <c:pt idx="69">
                  <c:v>12</c:v>
                </c:pt>
                <c:pt idx="70">
                  <c:v>13.9</c:v>
                </c:pt>
                <c:pt idx="71">
                  <c:v>13.6</c:v>
                </c:pt>
                <c:pt idx="72">
                  <c:v>14.6</c:v>
                </c:pt>
                <c:pt idx="73">
                  <c:v>14.3</c:v>
                </c:pt>
                <c:pt idx="74">
                  <c:v>13.8</c:v>
                </c:pt>
                <c:pt idx="75">
                  <c:v>12.1</c:v>
                </c:pt>
                <c:pt idx="76">
                  <c:v>10.4</c:v>
                </c:pt>
                <c:pt idx="77">
                  <c:v>7.7</c:v>
                </c:pt>
                <c:pt idx="78">
                  <c:v>5.8</c:v>
                </c:pt>
                <c:pt idx="79">
                  <c:v>5</c:v>
                </c:pt>
                <c:pt idx="80">
                  <c:v>2.8</c:v>
                </c:pt>
                <c:pt idx="81">
                  <c:v>1</c:v>
                </c:pt>
                <c:pt idx="82">
                  <c:v>-2</c:v>
                </c:pt>
                <c:pt idx="83">
                  <c:v>-3.7</c:v>
                </c:pt>
                <c:pt idx="84">
                  <c:v>-2.7</c:v>
                </c:pt>
                <c:pt idx="85">
                  <c:v>-3.8</c:v>
                </c:pt>
                <c:pt idx="86">
                  <c:v>-4.9000000000000004</c:v>
                </c:pt>
                <c:pt idx="87">
                  <c:v>-3.9</c:v>
                </c:pt>
                <c:pt idx="88">
                  <c:v>-4</c:v>
                </c:pt>
                <c:pt idx="89">
                  <c:v>-3.1</c:v>
                </c:pt>
                <c:pt idx="90">
                  <c:v>-3.4</c:v>
                </c:pt>
                <c:pt idx="91">
                  <c:v>-3.9</c:v>
                </c:pt>
                <c:pt idx="92">
                  <c:v>-4.4000000000000004</c:v>
                </c:pt>
                <c:pt idx="93">
                  <c:v>-5.7</c:v>
                </c:pt>
                <c:pt idx="94">
                  <c:v>-6.1</c:v>
                </c:pt>
                <c:pt idx="95">
                  <c:v>-5.5</c:v>
                </c:pt>
                <c:pt idx="96">
                  <c:v>-7.4</c:v>
                </c:pt>
                <c:pt idx="97">
                  <c:v>-6.8</c:v>
                </c:pt>
                <c:pt idx="98">
                  <c:v>-7.2</c:v>
                </c:pt>
                <c:pt idx="99">
                  <c:v>-6.6</c:v>
                </c:pt>
                <c:pt idx="100">
                  <c:v>-7</c:v>
                </c:pt>
                <c:pt idx="101">
                  <c:v>-7.5</c:v>
                </c:pt>
                <c:pt idx="102">
                  <c:v>-8.3000000000000007</c:v>
                </c:pt>
                <c:pt idx="103">
                  <c:v>-9.1999999999999993</c:v>
                </c:pt>
                <c:pt idx="104">
                  <c:v>-11</c:v>
                </c:pt>
                <c:pt idx="105">
                  <c:v>-11.8</c:v>
                </c:pt>
                <c:pt idx="106">
                  <c:v>-12.6</c:v>
                </c:pt>
                <c:pt idx="107">
                  <c:v>-11.5</c:v>
                </c:pt>
                <c:pt idx="108">
                  <c:v>-9.8000000000000007</c:v>
                </c:pt>
                <c:pt idx="109">
                  <c:v>-9.6999999999999993</c:v>
                </c:pt>
                <c:pt idx="110">
                  <c:v>-10.6</c:v>
                </c:pt>
                <c:pt idx="111">
                  <c:v>-10.4</c:v>
                </c:pt>
                <c:pt idx="112">
                  <c:v>-10.1</c:v>
                </c:pt>
                <c:pt idx="113">
                  <c:v>-9.9</c:v>
                </c:pt>
                <c:pt idx="114">
                  <c:v>-9.3000000000000007</c:v>
                </c:pt>
                <c:pt idx="115">
                  <c:v>-9.5</c:v>
                </c:pt>
                <c:pt idx="116">
                  <c:v>-9.8000000000000007</c:v>
                </c:pt>
                <c:pt idx="117">
                  <c:v>-10.9</c:v>
                </c:pt>
                <c:pt idx="118">
                  <c:v>-11.2</c:v>
                </c:pt>
                <c:pt idx="119">
                  <c:v>-11.5</c:v>
                </c:pt>
                <c:pt idx="120">
                  <c:v>-12</c:v>
                </c:pt>
                <c:pt idx="121">
                  <c:v>-12.2</c:v>
                </c:pt>
                <c:pt idx="122">
                  <c:v>-11.4</c:v>
                </c:pt>
                <c:pt idx="123">
                  <c:v>-10.7</c:v>
                </c:pt>
                <c:pt idx="124">
                  <c:v>-10</c:v>
                </c:pt>
                <c:pt idx="125">
                  <c:v>-10.199999999999999</c:v>
                </c:pt>
                <c:pt idx="126">
                  <c:v>-9.1</c:v>
                </c:pt>
                <c:pt idx="127">
                  <c:v>-8.8000000000000007</c:v>
                </c:pt>
                <c:pt idx="128">
                  <c:v>-9.6</c:v>
                </c:pt>
                <c:pt idx="129">
                  <c:v>-10.4</c:v>
                </c:pt>
                <c:pt idx="130">
                  <c:v>-11.1</c:v>
                </c:pt>
                <c:pt idx="131">
                  <c:v>-11.8</c:v>
                </c:pt>
                <c:pt idx="132">
                  <c:v>-11.9</c:v>
                </c:pt>
                <c:pt idx="133">
                  <c:v>-12.7</c:v>
                </c:pt>
                <c:pt idx="134">
                  <c:v>-12.5</c:v>
                </c:pt>
                <c:pt idx="135">
                  <c:v>-9.6999999999999993</c:v>
                </c:pt>
                <c:pt idx="136">
                  <c:v>-7.6</c:v>
                </c:pt>
                <c:pt idx="137">
                  <c:v>-8.1</c:v>
                </c:pt>
                <c:pt idx="138">
                  <c:v>-8.3000000000000007</c:v>
                </c:pt>
                <c:pt idx="139">
                  <c:v>-8.6</c:v>
                </c:pt>
                <c:pt idx="140">
                  <c:v>-8.8000000000000007</c:v>
                </c:pt>
                <c:pt idx="141">
                  <c:v>-8.1999999999999993</c:v>
                </c:pt>
                <c:pt idx="142">
                  <c:v>-7.4</c:v>
                </c:pt>
                <c:pt idx="143">
                  <c:v>-7</c:v>
                </c:pt>
                <c:pt idx="144">
                  <c:v>-9.3000000000000007</c:v>
                </c:pt>
                <c:pt idx="145">
                  <c:v>-10</c:v>
                </c:pt>
                <c:pt idx="146">
                  <c:v>-11</c:v>
                </c:pt>
                <c:pt idx="147">
                  <c:v>-10.4</c:v>
                </c:pt>
                <c:pt idx="148">
                  <c:v>-8.6</c:v>
                </c:pt>
                <c:pt idx="149">
                  <c:v>-7.1</c:v>
                </c:pt>
                <c:pt idx="150">
                  <c:v>-4.3</c:v>
                </c:pt>
                <c:pt idx="151">
                  <c:v>-0.8</c:v>
                </c:pt>
                <c:pt idx="152">
                  <c:v>3.1</c:v>
                </c:pt>
                <c:pt idx="153">
                  <c:v>5.8</c:v>
                </c:pt>
                <c:pt idx="154">
                  <c:v>6.9</c:v>
                </c:pt>
                <c:pt idx="155">
                  <c:v>8.5</c:v>
                </c:pt>
                <c:pt idx="156">
                  <c:v>8.1999999999999993</c:v>
                </c:pt>
                <c:pt idx="157">
                  <c:v>9.4</c:v>
                </c:pt>
                <c:pt idx="158">
                  <c:v>10.8</c:v>
                </c:pt>
                <c:pt idx="159">
                  <c:v>10.199999999999999</c:v>
                </c:pt>
                <c:pt idx="160">
                  <c:v>8</c:v>
                </c:pt>
                <c:pt idx="161">
                  <c:v>5.9</c:v>
                </c:pt>
                <c:pt idx="162">
                  <c:v>4.8</c:v>
                </c:pt>
                <c:pt idx="163">
                  <c:v>4.5</c:v>
                </c:pt>
                <c:pt idx="164">
                  <c:v>4.4000000000000004</c:v>
                </c:pt>
                <c:pt idx="165">
                  <c:v>6.1</c:v>
                </c:pt>
                <c:pt idx="166">
                  <c:v>8.6999999999999993</c:v>
                </c:pt>
                <c:pt idx="167">
                  <c:v>11.3</c:v>
                </c:pt>
                <c:pt idx="168">
                  <c:v>11.7</c:v>
                </c:pt>
                <c:pt idx="169">
                  <c:v>10.6</c:v>
                </c:pt>
                <c:pt idx="170">
                  <c:v>9.6999999999999993</c:v>
                </c:pt>
                <c:pt idx="171">
                  <c:v>9.4</c:v>
                </c:pt>
                <c:pt idx="172">
                  <c:v>9.3000000000000007</c:v>
                </c:pt>
                <c:pt idx="173">
                  <c:v>9.5</c:v>
                </c:pt>
                <c:pt idx="174">
                  <c:v>9.5</c:v>
                </c:pt>
                <c:pt idx="175">
                  <c:v>8.9</c:v>
                </c:pt>
                <c:pt idx="176">
                  <c:v>8.1</c:v>
                </c:pt>
                <c:pt idx="177">
                  <c:v>8.5</c:v>
                </c:pt>
                <c:pt idx="178">
                  <c:v>9.1999999999999993</c:v>
                </c:pt>
                <c:pt idx="179">
                  <c:v>9.1999999999999993</c:v>
                </c:pt>
                <c:pt idx="180">
                  <c:v>9.5</c:v>
                </c:pt>
                <c:pt idx="181">
                  <c:v>9.8000000000000007</c:v>
                </c:pt>
                <c:pt idx="182">
                  <c:v>10.6</c:v>
                </c:pt>
                <c:pt idx="183">
                  <c:v>9.3000000000000007</c:v>
                </c:pt>
                <c:pt idx="184">
                  <c:v>7.3</c:v>
                </c:pt>
                <c:pt idx="185">
                  <c:v>5.2</c:v>
                </c:pt>
                <c:pt idx="186">
                  <c:v>4.0999999999999996</c:v>
                </c:pt>
                <c:pt idx="187">
                  <c:v>5.4</c:v>
                </c:pt>
                <c:pt idx="188">
                  <c:v>7</c:v>
                </c:pt>
                <c:pt idx="189">
                  <c:v>8.3000000000000007</c:v>
                </c:pt>
                <c:pt idx="190">
                  <c:v>9.1</c:v>
                </c:pt>
                <c:pt idx="191">
                  <c:v>9.1999999999999993</c:v>
                </c:pt>
                <c:pt idx="192">
                  <c:v>8.1999999999999993</c:v>
                </c:pt>
                <c:pt idx="193">
                  <c:v>6.7</c:v>
                </c:pt>
                <c:pt idx="194">
                  <c:v>5</c:v>
                </c:pt>
                <c:pt idx="195">
                  <c:v>3.6</c:v>
                </c:pt>
                <c:pt idx="196">
                  <c:v>3.3</c:v>
                </c:pt>
                <c:pt idx="197">
                  <c:v>2.7</c:v>
                </c:pt>
                <c:pt idx="198">
                  <c:v>2.7</c:v>
                </c:pt>
                <c:pt idx="199">
                  <c:v>2.9</c:v>
                </c:pt>
                <c:pt idx="200">
                  <c:v>3.4</c:v>
                </c:pt>
                <c:pt idx="201">
                  <c:v>2.4</c:v>
                </c:pt>
                <c:pt idx="202">
                  <c:v>-0.7</c:v>
                </c:pt>
                <c:pt idx="203">
                  <c:v>-3.6</c:v>
                </c:pt>
                <c:pt idx="204">
                  <c:v>-5</c:v>
                </c:pt>
                <c:pt idx="205">
                  <c:v>-4.5999999999999996</c:v>
                </c:pt>
                <c:pt idx="206">
                  <c:v>-4.0999999999999996</c:v>
                </c:pt>
                <c:pt idx="207">
                  <c:v>-4.3</c:v>
                </c:pt>
                <c:pt idx="208">
                  <c:v>-4.0999999999999996</c:v>
                </c:pt>
                <c:pt idx="209">
                  <c:v>-3.2</c:v>
                </c:pt>
                <c:pt idx="210">
                  <c:v>-4.8</c:v>
                </c:pt>
                <c:pt idx="211">
                  <c:v>-7.4</c:v>
                </c:pt>
                <c:pt idx="212">
                  <c:v>-9.1</c:v>
                </c:pt>
                <c:pt idx="213">
                  <c:v>-9.6</c:v>
                </c:pt>
                <c:pt idx="214">
                  <c:v>-10.1</c:v>
                </c:pt>
                <c:pt idx="215">
                  <c:v>-11.1</c:v>
                </c:pt>
                <c:pt idx="216">
                  <c:v>-12.3</c:v>
                </c:pt>
                <c:pt idx="217">
                  <c:v>-12.6</c:v>
                </c:pt>
                <c:pt idx="218">
                  <c:v>-12.3</c:v>
                </c:pt>
                <c:pt idx="219">
                  <c:v>-11.3</c:v>
                </c:pt>
                <c:pt idx="220">
                  <c:v>-13.1</c:v>
                </c:pt>
                <c:pt idx="221">
                  <c:v>-10.4</c:v>
                </c:pt>
                <c:pt idx="222">
                  <c:v>-9.9</c:v>
                </c:pt>
                <c:pt idx="223">
                  <c:v>-11.8</c:v>
                </c:pt>
                <c:pt idx="224">
                  <c:v>-11.8</c:v>
                </c:pt>
                <c:pt idx="225">
                  <c:v>-9.6</c:v>
                </c:pt>
                <c:pt idx="226">
                  <c:v>-7.2</c:v>
                </c:pt>
                <c:pt idx="227">
                  <c:v>-3.6</c:v>
                </c:pt>
                <c:pt idx="228">
                  <c:v>-5.3</c:v>
                </c:pt>
                <c:pt idx="229">
                  <c:v>-5.3</c:v>
                </c:pt>
                <c:pt idx="230">
                  <c:v>-1.8</c:v>
                </c:pt>
                <c:pt idx="231">
                  <c:v>-2</c:v>
                </c:pt>
                <c:pt idx="232">
                  <c:v>-1.2</c:v>
                </c:pt>
                <c:pt idx="233">
                  <c:v>3.1</c:v>
                </c:pt>
                <c:pt idx="234">
                  <c:v>4</c:v>
                </c:pt>
                <c:pt idx="235">
                  <c:v>2.2999999999999998</c:v>
                </c:pt>
                <c:pt idx="236">
                  <c:v>2.6</c:v>
                </c:pt>
                <c:pt idx="237">
                  <c:v>2.8</c:v>
                </c:pt>
                <c:pt idx="238">
                  <c:v>3.5</c:v>
                </c:pt>
                <c:pt idx="239">
                  <c:v>5.2</c:v>
                </c:pt>
                <c:pt idx="240">
                  <c:v>4.0999999999999996</c:v>
                </c:pt>
                <c:pt idx="241">
                  <c:v>7.4</c:v>
                </c:pt>
                <c:pt idx="242">
                  <c:v>10.5</c:v>
                </c:pt>
                <c:pt idx="243">
                  <c:v>9.6999999999999993</c:v>
                </c:pt>
                <c:pt idx="244">
                  <c:v>4.4000000000000004</c:v>
                </c:pt>
                <c:pt idx="245">
                  <c:v>3.5</c:v>
                </c:pt>
                <c:pt idx="246">
                  <c:v>-0.2</c:v>
                </c:pt>
                <c:pt idx="247">
                  <c:v>5</c:v>
                </c:pt>
                <c:pt idx="248">
                  <c:v>8</c:v>
                </c:pt>
                <c:pt idx="249">
                  <c:v>7</c:v>
                </c:pt>
                <c:pt idx="250">
                  <c:v>7.2</c:v>
                </c:pt>
                <c:pt idx="251">
                  <c:v>3.8</c:v>
                </c:pt>
                <c:pt idx="252">
                  <c:v>0.1</c:v>
                </c:pt>
                <c:pt idx="253">
                  <c:v>-0.4</c:v>
                </c:pt>
                <c:pt idx="254">
                  <c:v>-1.2</c:v>
                </c:pt>
                <c:pt idx="255">
                  <c:v>-2.2000000000000002</c:v>
                </c:pt>
                <c:pt idx="256">
                  <c:v>0.4</c:v>
                </c:pt>
                <c:pt idx="257">
                  <c:v>-1</c:v>
                </c:pt>
                <c:pt idx="258">
                  <c:v>-1.2</c:v>
                </c:pt>
                <c:pt idx="259">
                  <c:v>2.2000000000000002</c:v>
                </c:pt>
                <c:pt idx="260">
                  <c:v>2.6</c:v>
                </c:pt>
                <c:pt idx="261">
                  <c:v>6.3</c:v>
                </c:pt>
                <c:pt idx="262">
                  <c:v>4</c:v>
                </c:pt>
                <c:pt idx="263">
                  <c:v>5.9</c:v>
                </c:pt>
                <c:pt idx="264">
                  <c:v>6</c:v>
                </c:pt>
                <c:pt idx="265">
                  <c:v>4.9000000000000004</c:v>
                </c:pt>
                <c:pt idx="266">
                  <c:v>3.7</c:v>
                </c:pt>
                <c:pt idx="267">
                  <c:v>1.4</c:v>
                </c:pt>
                <c:pt idx="268">
                  <c:v>1.1000000000000001</c:v>
                </c:pt>
                <c:pt idx="269">
                  <c:v>-0.2</c:v>
                </c:pt>
                <c:pt idx="270">
                  <c:v>2.2000000000000002</c:v>
                </c:pt>
                <c:pt idx="271">
                  <c:v>2.6</c:v>
                </c:pt>
                <c:pt idx="272">
                  <c:v>1.6</c:v>
                </c:pt>
                <c:pt idx="273">
                  <c:v>5.9</c:v>
                </c:pt>
                <c:pt idx="274">
                  <c:v>6</c:v>
                </c:pt>
                <c:pt idx="275">
                  <c:v>6.3</c:v>
                </c:pt>
                <c:pt idx="276">
                  <c:v>9.1999999999999993</c:v>
                </c:pt>
                <c:pt idx="277">
                  <c:v>8.5</c:v>
                </c:pt>
                <c:pt idx="278">
                  <c:v>10</c:v>
                </c:pt>
                <c:pt idx="279">
                  <c:v>11.2</c:v>
                </c:pt>
                <c:pt idx="280">
                  <c:v>12.8</c:v>
                </c:pt>
                <c:pt idx="281">
                  <c:v>10.9</c:v>
                </c:pt>
                <c:pt idx="282">
                  <c:v>10.3</c:v>
                </c:pt>
                <c:pt idx="283">
                  <c:v>8.1999999999999993</c:v>
                </c:pt>
                <c:pt idx="284">
                  <c:v>11</c:v>
                </c:pt>
                <c:pt idx="285">
                  <c:v>12.3</c:v>
                </c:pt>
                <c:pt idx="286">
                  <c:v>8.6999999999999993</c:v>
                </c:pt>
                <c:pt idx="287">
                  <c:v>4.0999999999999996</c:v>
                </c:pt>
                <c:pt idx="288">
                  <c:v>2.4</c:v>
                </c:pt>
                <c:pt idx="289">
                  <c:v>-1.2</c:v>
                </c:pt>
                <c:pt idx="290">
                  <c:v>-6.5</c:v>
                </c:pt>
                <c:pt idx="291">
                  <c:v>-6.2</c:v>
                </c:pt>
                <c:pt idx="292">
                  <c:v>-3</c:v>
                </c:pt>
                <c:pt idx="293">
                  <c:v>4.5</c:v>
                </c:pt>
                <c:pt idx="294">
                  <c:v>8.8000000000000007</c:v>
                </c:pt>
                <c:pt idx="295">
                  <c:v>8.8000000000000007</c:v>
                </c:pt>
                <c:pt idx="296">
                  <c:v>12.8</c:v>
                </c:pt>
                <c:pt idx="297">
                  <c:v>12.6</c:v>
                </c:pt>
                <c:pt idx="298">
                  <c:v>9.9</c:v>
                </c:pt>
                <c:pt idx="299">
                  <c:v>11.5</c:v>
                </c:pt>
                <c:pt idx="300">
                  <c:v>12.5</c:v>
                </c:pt>
                <c:pt idx="301">
                  <c:v>13.9</c:v>
                </c:pt>
                <c:pt idx="302">
                  <c:v>10</c:v>
                </c:pt>
                <c:pt idx="303">
                  <c:v>7.9</c:v>
                </c:pt>
                <c:pt idx="304">
                  <c:v>5.9</c:v>
                </c:pt>
                <c:pt idx="305">
                  <c:v>5.9</c:v>
                </c:pt>
                <c:pt idx="306">
                  <c:v>2.4</c:v>
                </c:pt>
                <c:pt idx="307">
                  <c:v>2.2999999999999998</c:v>
                </c:pt>
                <c:pt idx="308">
                  <c:v>3.5</c:v>
                </c:pt>
                <c:pt idx="309">
                  <c:v>4.9000000000000004</c:v>
                </c:pt>
                <c:pt idx="310">
                  <c:v>6.7</c:v>
                </c:pt>
                <c:pt idx="311">
                  <c:v>8.4</c:v>
                </c:pt>
                <c:pt idx="312">
                  <c:v>6</c:v>
                </c:pt>
                <c:pt idx="313">
                  <c:v>6.8</c:v>
                </c:pt>
                <c:pt idx="314">
                  <c:v>6.8</c:v>
                </c:pt>
                <c:pt idx="315">
                  <c:v>10</c:v>
                </c:pt>
                <c:pt idx="316">
                  <c:v>9.8000000000000007</c:v>
                </c:pt>
                <c:pt idx="317">
                  <c:v>3.8</c:v>
                </c:pt>
                <c:pt idx="318">
                  <c:v>-5.9</c:v>
                </c:pt>
                <c:pt idx="319">
                  <c:v>-16.3</c:v>
                </c:pt>
                <c:pt idx="320">
                  <c:v>-19.8</c:v>
                </c:pt>
                <c:pt idx="321">
                  <c:v>-19.100000000000001</c:v>
                </c:pt>
                <c:pt idx="322">
                  <c:v>-16.5</c:v>
                </c:pt>
                <c:pt idx="323">
                  <c:v>-15.6</c:v>
                </c:pt>
                <c:pt idx="324">
                  <c:v>-15.2</c:v>
                </c:pt>
                <c:pt idx="325">
                  <c:v>-15</c:v>
                </c:pt>
                <c:pt idx="326">
                  <c:v>-12.5</c:v>
                </c:pt>
                <c:pt idx="327">
                  <c:v>-14.1</c:v>
                </c:pt>
                <c:pt idx="328">
                  <c:v>-18.600000000000001</c:v>
                </c:pt>
                <c:pt idx="329">
                  <c:v>-19.899999999999999</c:v>
                </c:pt>
                <c:pt idx="330">
                  <c:v>-15.3</c:v>
                </c:pt>
                <c:pt idx="331">
                  <c:v>-7.7</c:v>
                </c:pt>
                <c:pt idx="332">
                  <c:v>-6</c:v>
                </c:pt>
                <c:pt idx="333">
                  <c:v>-5.2</c:v>
                </c:pt>
                <c:pt idx="334">
                  <c:v>-4.4000000000000004</c:v>
                </c:pt>
                <c:pt idx="335">
                  <c:v>-3.7</c:v>
                </c:pt>
                <c:pt idx="336">
                  <c:v>-3.9</c:v>
                </c:pt>
                <c:pt idx="337">
                  <c:v>-7.7</c:v>
                </c:pt>
                <c:pt idx="338">
                  <c:v>-8.5</c:v>
                </c:pt>
                <c:pt idx="339">
                  <c:v>-9.1</c:v>
                </c:pt>
                <c:pt idx="340">
                  <c:v>-7.7</c:v>
                </c:pt>
                <c:pt idx="341">
                  <c:v>-5.3</c:v>
                </c:pt>
                <c:pt idx="342">
                  <c:v>-1.9</c:v>
                </c:pt>
                <c:pt idx="343">
                  <c:v>0.4</c:v>
                </c:pt>
                <c:pt idx="344">
                  <c:v>2.5</c:v>
                </c:pt>
                <c:pt idx="345">
                  <c:v>5.6</c:v>
                </c:pt>
                <c:pt idx="346">
                  <c:v>5.3</c:v>
                </c:pt>
                <c:pt idx="347">
                  <c:v>4.5999999999999996</c:v>
                </c:pt>
                <c:pt idx="348">
                  <c:v>-0.1</c:v>
                </c:pt>
                <c:pt idx="349">
                  <c:v>-1.5</c:v>
                </c:pt>
                <c:pt idx="350">
                  <c:v>-4.9000000000000004</c:v>
                </c:pt>
                <c:pt idx="351">
                  <c:v>-3.9</c:v>
                </c:pt>
                <c:pt idx="352">
                  <c:v>-6</c:v>
                </c:pt>
                <c:pt idx="353">
                  <c:v>-6.8</c:v>
                </c:pt>
                <c:pt idx="354">
                  <c:v>-9.1</c:v>
                </c:pt>
                <c:pt idx="355">
                  <c:v>-14.8</c:v>
                </c:pt>
                <c:pt idx="356">
                  <c:v>-17.899999999999999</c:v>
                </c:pt>
                <c:pt idx="357">
                  <c:v>-17.3</c:v>
                </c:pt>
                <c:pt idx="358">
                  <c:v>-14.6</c:v>
                </c:pt>
                <c:pt idx="359">
                  <c:v>-12</c:v>
                </c:pt>
                <c:pt idx="360">
                  <c:v>-10.9</c:v>
                </c:pt>
                <c:pt idx="361">
                  <c:v>-9.5</c:v>
                </c:pt>
                <c:pt idx="362">
                  <c:v>-9.8000000000000007</c:v>
                </c:pt>
                <c:pt idx="363">
                  <c:v>-10</c:v>
                </c:pt>
                <c:pt idx="364">
                  <c:v>-11.6</c:v>
                </c:pt>
                <c:pt idx="365">
                  <c:v>-10.4</c:v>
                </c:pt>
                <c:pt idx="366">
                  <c:v>-10.6</c:v>
                </c:pt>
                <c:pt idx="367">
                  <c:v>-7.4</c:v>
                </c:pt>
                <c:pt idx="368">
                  <c:v>-2.2999999999999998</c:v>
                </c:pt>
                <c:pt idx="369">
                  <c:v>-1.1000000000000001</c:v>
                </c:pt>
                <c:pt idx="370">
                  <c:v>0.1</c:v>
                </c:pt>
                <c:pt idx="371">
                  <c:v>1.3</c:v>
                </c:pt>
                <c:pt idx="372">
                  <c:v>1.1000000000000001</c:v>
                </c:pt>
                <c:pt idx="373">
                  <c:v>2.5</c:v>
                </c:pt>
                <c:pt idx="374">
                  <c:v>1.1000000000000001</c:v>
                </c:pt>
                <c:pt idx="375">
                  <c:v>0</c:v>
                </c:pt>
                <c:pt idx="376">
                  <c:v>-0.6</c:v>
                </c:pt>
                <c:pt idx="377">
                  <c:v>0.6</c:v>
                </c:pt>
                <c:pt idx="378">
                  <c:v>-1.7</c:v>
                </c:pt>
                <c:pt idx="379">
                  <c:v>-0.3</c:v>
                </c:pt>
                <c:pt idx="380">
                  <c:v>0</c:v>
                </c:pt>
                <c:pt idx="381">
                  <c:v>-1.1000000000000001</c:v>
                </c:pt>
                <c:pt idx="382">
                  <c:v>0.1</c:v>
                </c:pt>
                <c:pt idx="383">
                  <c:v>1</c:v>
                </c:pt>
                <c:pt idx="384">
                  <c:v>1.1000000000000001</c:v>
                </c:pt>
                <c:pt idx="385">
                  <c:v>0.4</c:v>
                </c:pt>
                <c:pt idx="386">
                  <c:v>2.6</c:v>
                </c:pt>
                <c:pt idx="387">
                  <c:v>1.6</c:v>
                </c:pt>
                <c:pt idx="388">
                  <c:v>2.2999999999999998</c:v>
                </c:pt>
                <c:pt idx="389">
                  <c:v>3.6</c:v>
                </c:pt>
                <c:pt idx="390">
                  <c:v>3.7</c:v>
                </c:pt>
                <c:pt idx="391">
                  <c:v>6</c:v>
                </c:pt>
                <c:pt idx="392">
                  <c:v>7.6</c:v>
                </c:pt>
                <c:pt idx="393">
                  <c:v>8.6</c:v>
                </c:pt>
                <c:pt idx="394">
                  <c:v>8.6</c:v>
                </c:pt>
                <c:pt idx="395">
                  <c:v>9.6</c:v>
                </c:pt>
                <c:pt idx="396">
                  <c:v>10.5</c:v>
                </c:pt>
                <c:pt idx="397">
                  <c:v>10.9</c:v>
                </c:pt>
                <c:pt idx="398">
                  <c:v>10.1</c:v>
                </c:pt>
                <c:pt idx="399">
                  <c:v>9.1999999999999993</c:v>
                </c:pt>
                <c:pt idx="400">
                  <c:v>8</c:v>
                </c:pt>
                <c:pt idx="401">
                  <c:v>6.5</c:v>
                </c:pt>
                <c:pt idx="402">
                  <c:v>1.2</c:v>
                </c:pt>
                <c:pt idx="403">
                  <c:v>-1.3</c:v>
                </c:pt>
                <c:pt idx="404">
                  <c:v>-4</c:v>
                </c:pt>
                <c:pt idx="405">
                  <c:v>-4.5999999999999996</c:v>
                </c:pt>
                <c:pt idx="406">
                  <c:v>-4.7</c:v>
                </c:pt>
                <c:pt idx="407">
                  <c:v>-2.7</c:v>
                </c:pt>
                <c:pt idx="408">
                  <c:v>0.3</c:v>
                </c:pt>
                <c:pt idx="409">
                  <c:v>1.6</c:v>
                </c:pt>
                <c:pt idx="410">
                  <c:v>2.9</c:v>
                </c:pt>
                <c:pt idx="411">
                  <c:v>5</c:v>
                </c:pt>
                <c:pt idx="412">
                  <c:v>4.4000000000000004</c:v>
                </c:pt>
                <c:pt idx="413">
                  <c:v>3.5</c:v>
                </c:pt>
                <c:pt idx="414">
                  <c:v>4.4000000000000004</c:v>
                </c:pt>
                <c:pt idx="415">
                  <c:v>4.2</c:v>
                </c:pt>
                <c:pt idx="416">
                  <c:v>1.1000000000000001</c:v>
                </c:pt>
                <c:pt idx="417">
                  <c:v>3.6</c:v>
                </c:pt>
                <c:pt idx="418">
                  <c:v>3.3</c:v>
                </c:pt>
                <c:pt idx="419">
                  <c:v>2.6</c:v>
                </c:pt>
                <c:pt idx="420">
                  <c:v>2.2999999999999998</c:v>
                </c:pt>
                <c:pt idx="421">
                  <c:v>2</c:v>
                </c:pt>
                <c:pt idx="422">
                  <c:v>2.4</c:v>
                </c:pt>
                <c:pt idx="423">
                  <c:v>4.3</c:v>
                </c:pt>
                <c:pt idx="424">
                  <c:v>4.5</c:v>
                </c:pt>
                <c:pt idx="425">
                  <c:v>2.7</c:v>
                </c:pt>
                <c:pt idx="426">
                  <c:v>3.6</c:v>
                </c:pt>
                <c:pt idx="427">
                  <c:v>2.6</c:v>
                </c:pt>
                <c:pt idx="428">
                  <c:v>4.3</c:v>
                </c:pt>
                <c:pt idx="429">
                  <c:v>3.3</c:v>
                </c:pt>
                <c:pt idx="430">
                  <c:v>2.9</c:v>
                </c:pt>
                <c:pt idx="431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01760"/>
        <c:axId val="200903296"/>
      </c:areaChart>
      <c:catAx>
        <c:axId val="20090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03296"/>
        <c:crosses val="autoZero"/>
        <c:auto val="1"/>
        <c:lblAlgn val="ctr"/>
        <c:lblOffset val="100"/>
        <c:tickLblSkip val="36"/>
        <c:tickMarkSkip val="12"/>
        <c:noMultiLvlLbl val="0"/>
      </c:catAx>
      <c:valAx>
        <c:axId val="200903296"/>
        <c:scaling>
          <c:orientation val="minMax"/>
          <c:max val="60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90176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366548042704617E-2"/>
          <c:y val="7.0902902488368738E-2"/>
          <c:w val="0.92437722419928814"/>
          <c:h val="0.86496100573476842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C0C0C0"/>
            </a:solidFill>
            <a:ln w="25400">
              <a:solidFill>
                <a:srgbClr val="000000"/>
              </a:solidFill>
              <a:prstDash val="solid"/>
            </a:ln>
          </c:spPr>
          <c:cat>
            <c:numRef>
              <c:f>'App2DataFig2.1-2.9'!$T$962:$T$1405</c:f>
              <c:numCache>
                <c:formatCode>mmm\-yyyy</c:formatCode>
                <c:ptCount val="444"/>
                <c:pt idx="0" formatCode="0">
                  <c:v>1903</c:v>
                </c:pt>
                <c:pt idx="1">
                  <c:v>1128</c:v>
                </c:pt>
                <c:pt idx="2">
                  <c:v>1156</c:v>
                </c:pt>
                <c:pt idx="3">
                  <c:v>1187</c:v>
                </c:pt>
                <c:pt idx="4">
                  <c:v>1217</c:v>
                </c:pt>
                <c:pt idx="5">
                  <c:v>1248</c:v>
                </c:pt>
                <c:pt idx="6">
                  <c:v>1278</c:v>
                </c:pt>
                <c:pt idx="7">
                  <c:v>1309</c:v>
                </c:pt>
                <c:pt idx="8">
                  <c:v>1340</c:v>
                </c:pt>
                <c:pt idx="9">
                  <c:v>1370</c:v>
                </c:pt>
                <c:pt idx="10">
                  <c:v>1401</c:v>
                </c:pt>
                <c:pt idx="11">
                  <c:v>1431</c:v>
                </c:pt>
                <c:pt idx="12" formatCode="0">
                  <c:v>1904</c:v>
                </c:pt>
                <c:pt idx="13">
                  <c:v>1493</c:v>
                </c:pt>
                <c:pt idx="14">
                  <c:v>1522</c:v>
                </c:pt>
                <c:pt idx="15">
                  <c:v>1553</c:v>
                </c:pt>
                <c:pt idx="16">
                  <c:v>1583</c:v>
                </c:pt>
                <c:pt idx="17">
                  <c:v>1614</c:v>
                </c:pt>
                <c:pt idx="18">
                  <c:v>1644</c:v>
                </c:pt>
                <c:pt idx="19">
                  <c:v>1675</c:v>
                </c:pt>
                <c:pt idx="20">
                  <c:v>1706</c:v>
                </c:pt>
                <c:pt idx="21">
                  <c:v>1736</c:v>
                </c:pt>
                <c:pt idx="22">
                  <c:v>1767</c:v>
                </c:pt>
                <c:pt idx="23">
                  <c:v>1797</c:v>
                </c:pt>
                <c:pt idx="24" formatCode="0">
                  <c:v>1905</c:v>
                </c:pt>
                <c:pt idx="25">
                  <c:v>1859</c:v>
                </c:pt>
                <c:pt idx="26">
                  <c:v>1887</c:v>
                </c:pt>
                <c:pt idx="27">
                  <c:v>1918</c:v>
                </c:pt>
                <c:pt idx="28">
                  <c:v>1948</c:v>
                </c:pt>
                <c:pt idx="29">
                  <c:v>1979</c:v>
                </c:pt>
                <c:pt idx="30">
                  <c:v>2009</c:v>
                </c:pt>
                <c:pt idx="31">
                  <c:v>2040</c:v>
                </c:pt>
                <c:pt idx="32">
                  <c:v>2071</c:v>
                </c:pt>
                <c:pt idx="33">
                  <c:v>2101</c:v>
                </c:pt>
                <c:pt idx="34">
                  <c:v>2132</c:v>
                </c:pt>
                <c:pt idx="35">
                  <c:v>2162</c:v>
                </c:pt>
                <c:pt idx="36" formatCode="0">
                  <c:v>1906</c:v>
                </c:pt>
                <c:pt idx="37">
                  <c:v>2224</c:v>
                </c:pt>
                <c:pt idx="38">
                  <c:v>2252</c:v>
                </c:pt>
                <c:pt idx="39">
                  <c:v>2283</c:v>
                </c:pt>
                <c:pt idx="40">
                  <c:v>2313</c:v>
                </c:pt>
                <c:pt idx="41">
                  <c:v>2344</c:v>
                </c:pt>
                <c:pt idx="42">
                  <c:v>2374</c:v>
                </c:pt>
                <c:pt idx="43">
                  <c:v>2405</c:v>
                </c:pt>
                <c:pt idx="44">
                  <c:v>2436</c:v>
                </c:pt>
                <c:pt idx="45">
                  <c:v>2466</c:v>
                </c:pt>
                <c:pt idx="46">
                  <c:v>2497</c:v>
                </c:pt>
                <c:pt idx="47">
                  <c:v>2527</c:v>
                </c:pt>
                <c:pt idx="48" formatCode="0">
                  <c:v>1907</c:v>
                </c:pt>
                <c:pt idx="49">
                  <c:v>2589</c:v>
                </c:pt>
                <c:pt idx="50">
                  <c:v>2617</c:v>
                </c:pt>
                <c:pt idx="51">
                  <c:v>2648</c:v>
                </c:pt>
                <c:pt idx="52">
                  <c:v>2678</c:v>
                </c:pt>
                <c:pt idx="53">
                  <c:v>2709</c:v>
                </c:pt>
                <c:pt idx="54">
                  <c:v>2739</c:v>
                </c:pt>
                <c:pt idx="55">
                  <c:v>2770</c:v>
                </c:pt>
                <c:pt idx="56">
                  <c:v>2801</c:v>
                </c:pt>
                <c:pt idx="57">
                  <c:v>2831</c:v>
                </c:pt>
                <c:pt idx="58">
                  <c:v>2862</c:v>
                </c:pt>
                <c:pt idx="59">
                  <c:v>2892</c:v>
                </c:pt>
                <c:pt idx="60" formatCode="0">
                  <c:v>1908</c:v>
                </c:pt>
                <c:pt idx="61">
                  <c:v>2954</c:v>
                </c:pt>
                <c:pt idx="62">
                  <c:v>2983</c:v>
                </c:pt>
                <c:pt idx="63">
                  <c:v>3014</c:v>
                </c:pt>
                <c:pt idx="64">
                  <c:v>3044</c:v>
                </c:pt>
                <c:pt idx="65">
                  <c:v>3075</c:v>
                </c:pt>
                <c:pt idx="66">
                  <c:v>3105</c:v>
                </c:pt>
                <c:pt idx="67">
                  <c:v>3136</c:v>
                </c:pt>
                <c:pt idx="68">
                  <c:v>3167</c:v>
                </c:pt>
                <c:pt idx="69">
                  <c:v>3197</c:v>
                </c:pt>
                <c:pt idx="70">
                  <c:v>3228</c:v>
                </c:pt>
                <c:pt idx="71">
                  <c:v>3258</c:v>
                </c:pt>
                <c:pt idx="72" formatCode="0">
                  <c:v>1909</c:v>
                </c:pt>
                <c:pt idx="73">
                  <c:v>3320</c:v>
                </c:pt>
                <c:pt idx="74">
                  <c:v>3348</c:v>
                </c:pt>
                <c:pt idx="75">
                  <c:v>3379</c:v>
                </c:pt>
                <c:pt idx="76">
                  <c:v>3409</c:v>
                </c:pt>
                <c:pt idx="77">
                  <c:v>3440</c:v>
                </c:pt>
                <c:pt idx="78">
                  <c:v>3470</c:v>
                </c:pt>
                <c:pt idx="79">
                  <c:v>3501</c:v>
                </c:pt>
                <c:pt idx="80">
                  <c:v>3532</c:v>
                </c:pt>
                <c:pt idx="81">
                  <c:v>3562</c:v>
                </c:pt>
                <c:pt idx="82">
                  <c:v>3593</c:v>
                </c:pt>
                <c:pt idx="83">
                  <c:v>3623</c:v>
                </c:pt>
                <c:pt idx="84" formatCode="0">
                  <c:v>1910</c:v>
                </c:pt>
                <c:pt idx="85">
                  <c:v>3685</c:v>
                </c:pt>
                <c:pt idx="86">
                  <c:v>3713</c:v>
                </c:pt>
                <c:pt idx="87">
                  <c:v>3744</c:v>
                </c:pt>
                <c:pt idx="88">
                  <c:v>3774</c:v>
                </c:pt>
                <c:pt idx="89">
                  <c:v>3805</c:v>
                </c:pt>
                <c:pt idx="90">
                  <c:v>3835</c:v>
                </c:pt>
                <c:pt idx="91">
                  <c:v>3866</c:v>
                </c:pt>
                <c:pt idx="92">
                  <c:v>3897</c:v>
                </c:pt>
                <c:pt idx="93">
                  <c:v>3927</c:v>
                </c:pt>
                <c:pt idx="94">
                  <c:v>3958</c:v>
                </c:pt>
                <c:pt idx="95">
                  <c:v>3988</c:v>
                </c:pt>
                <c:pt idx="96" formatCode="0">
                  <c:v>1911</c:v>
                </c:pt>
                <c:pt idx="97">
                  <c:v>4050</c:v>
                </c:pt>
                <c:pt idx="98">
                  <c:v>4078</c:v>
                </c:pt>
                <c:pt idx="99">
                  <c:v>4109</c:v>
                </c:pt>
                <c:pt idx="100">
                  <c:v>4139</c:v>
                </c:pt>
                <c:pt idx="101">
                  <c:v>4170</c:v>
                </c:pt>
                <c:pt idx="102">
                  <c:v>4200</c:v>
                </c:pt>
                <c:pt idx="103">
                  <c:v>4231</c:v>
                </c:pt>
                <c:pt idx="104">
                  <c:v>4262</c:v>
                </c:pt>
                <c:pt idx="105">
                  <c:v>4292</c:v>
                </c:pt>
                <c:pt idx="106">
                  <c:v>4323</c:v>
                </c:pt>
                <c:pt idx="107">
                  <c:v>4353</c:v>
                </c:pt>
                <c:pt idx="108" formatCode="0">
                  <c:v>1912</c:v>
                </c:pt>
                <c:pt idx="109">
                  <c:v>4415</c:v>
                </c:pt>
                <c:pt idx="110">
                  <c:v>4444</c:v>
                </c:pt>
                <c:pt idx="111">
                  <c:v>4475</c:v>
                </c:pt>
                <c:pt idx="112">
                  <c:v>4505</c:v>
                </c:pt>
                <c:pt idx="113">
                  <c:v>4536</c:v>
                </c:pt>
                <c:pt idx="114">
                  <c:v>4566</c:v>
                </c:pt>
                <c:pt idx="115">
                  <c:v>4597</c:v>
                </c:pt>
                <c:pt idx="116">
                  <c:v>4628</c:v>
                </c:pt>
                <c:pt idx="117">
                  <c:v>4658</c:v>
                </c:pt>
                <c:pt idx="118">
                  <c:v>4689</c:v>
                </c:pt>
                <c:pt idx="119">
                  <c:v>4719</c:v>
                </c:pt>
                <c:pt idx="120" formatCode="0">
                  <c:v>1913</c:v>
                </c:pt>
                <c:pt idx="121">
                  <c:v>4781</c:v>
                </c:pt>
                <c:pt idx="122">
                  <c:v>4809</c:v>
                </c:pt>
                <c:pt idx="123">
                  <c:v>4840</c:v>
                </c:pt>
                <c:pt idx="124">
                  <c:v>4870</c:v>
                </c:pt>
                <c:pt idx="125">
                  <c:v>4901</c:v>
                </c:pt>
                <c:pt idx="126">
                  <c:v>4931</c:v>
                </c:pt>
                <c:pt idx="127">
                  <c:v>4962</c:v>
                </c:pt>
                <c:pt idx="128">
                  <c:v>4993</c:v>
                </c:pt>
                <c:pt idx="129">
                  <c:v>5023</c:v>
                </c:pt>
                <c:pt idx="130">
                  <c:v>5054</c:v>
                </c:pt>
                <c:pt idx="131">
                  <c:v>5084</c:v>
                </c:pt>
                <c:pt idx="132" formatCode="0">
                  <c:v>1914</c:v>
                </c:pt>
                <c:pt idx="133">
                  <c:v>5146</c:v>
                </c:pt>
                <c:pt idx="134">
                  <c:v>5174</c:v>
                </c:pt>
                <c:pt idx="135">
                  <c:v>5205</c:v>
                </c:pt>
                <c:pt idx="136">
                  <c:v>5235</c:v>
                </c:pt>
                <c:pt idx="137">
                  <c:v>5266</c:v>
                </c:pt>
                <c:pt idx="138">
                  <c:v>5296</c:v>
                </c:pt>
                <c:pt idx="139">
                  <c:v>5327</c:v>
                </c:pt>
                <c:pt idx="140">
                  <c:v>5358</c:v>
                </c:pt>
                <c:pt idx="141">
                  <c:v>5388</c:v>
                </c:pt>
                <c:pt idx="142">
                  <c:v>5419</c:v>
                </c:pt>
                <c:pt idx="143">
                  <c:v>5449</c:v>
                </c:pt>
                <c:pt idx="144" formatCode="0">
                  <c:v>1915</c:v>
                </c:pt>
                <c:pt idx="145">
                  <c:v>5511</c:v>
                </c:pt>
                <c:pt idx="146">
                  <c:v>5539</c:v>
                </c:pt>
                <c:pt idx="147">
                  <c:v>5570</c:v>
                </c:pt>
                <c:pt idx="148">
                  <c:v>5600</c:v>
                </c:pt>
                <c:pt idx="149">
                  <c:v>5631</c:v>
                </c:pt>
                <c:pt idx="150">
                  <c:v>5661</c:v>
                </c:pt>
                <c:pt idx="151">
                  <c:v>5692</c:v>
                </c:pt>
                <c:pt idx="152">
                  <c:v>5723</c:v>
                </c:pt>
                <c:pt idx="153">
                  <c:v>5753</c:v>
                </c:pt>
                <c:pt idx="154">
                  <c:v>5784</c:v>
                </c:pt>
                <c:pt idx="155">
                  <c:v>5814</c:v>
                </c:pt>
                <c:pt idx="156" formatCode="0">
                  <c:v>1916</c:v>
                </c:pt>
                <c:pt idx="157">
                  <c:v>5876</c:v>
                </c:pt>
                <c:pt idx="158">
                  <c:v>5905</c:v>
                </c:pt>
                <c:pt idx="159">
                  <c:v>5936</c:v>
                </c:pt>
                <c:pt idx="160">
                  <c:v>5966</c:v>
                </c:pt>
                <c:pt idx="161">
                  <c:v>5997</c:v>
                </c:pt>
                <c:pt idx="162">
                  <c:v>6027</c:v>
                </c:pt>
                <c:pt idx="163">
                  <c:v>6058</c:v>
                </c:pt>
                <c:pt idx="164">
                  <c:v>6089</c:v>
                </c:pt>
                <c:pt idx="165">
                  <c:v>6119</c:v>
                </c:pt>
                <c:pt idx="166">
                  <c:v>6150</c:v>
                </c:pt>
                <c:pt idx="167">
                  <c:v>6180</c:v>
                </c:pt>
                <c:pt idx="168" formatCode="0">
                  <c:v>1917</c:v>
                </c:pt>
                <c:pt idx="169">
                  <c:v>6242</c:v>
                </c:pt>
                <c:pt idx="170">
                  <c:v>6270</c:v>
                </c:pt>
                <c:pt idx="171">
                  <c:v>6301</c:v>
                </c:pt>
                <c:pt idx="172">
                  <c:v>6331</c:v>
                </c:pt>
                <c:pt idx="173">
                  <c:v>6362</c:v>
                </c:pt>
                <c:pt idx="174">
                  <c:v>6392</c:v>
                </c:pt>
                <c:pt idx="175">
                  <c:v>6423</c:v>
                </c:pt>
                <c:pt idx="176">
                  <c:v>6454</c:v>
                </c:pt>
                <c:pt idx="177">
                  <c:v>6484</c:v>
                </c:pt>
                <c:pt idx="178">
                  <c:v>6515</c:v>
                </c:pt>
                <c:pt idx="179">
                  <c:v>6545</c:v>
                </c:pt>
                <c:pt idx="180" formatCode="0">
                  <c:v>1918</c:v>
                </c:pt>
                <c:pt idx="181">
                  <c:v>6607</c:v>
                </c:pt>
                <c:pt idx="182">
                  <c:v>6635</c:v>
                </c:pt>
                <c:pt idx="183">
                  <c:v>6666</c:v>
                </c:pt>
                <c:pt idx="184">
                  <c:v>6696</c:v>
                </c:pt>
                <c:pt idx="185">
                  <c:v>6727</c:v>
                </c:pt>
                <c:pt idx="186">
                  <c:v>6757</c:v>
                </c:pt>
                <c:pt idx="187">
                  <c:v>6788</c:v>
                </c:pt>
                <c:pt idx="188">
                  <c:v>6819</c:v>
                </c:pt>
                <c:pt idx="189">
                  <c:v>6849</c:v>
                </c:pt>
                <c:pt idx="190">
                  <c:v>6880</c:v>
                </c:pt>
                <c:pt idx="191">
                  <c:v>6910</c:v>
                </c:pt>
                <c:pt idx="192" formatCode="0">
                  <c:v>1919</c:v>
                </c:pt>
                <c:pt idx="193">
                  <c:v>6972</c:v>
                </c:pt>
                <c:pt idx="194">
                  <c:v>7000</c:v>
                </c:pt>
                <c:pt idx="195">
                  <c:v>7031</c:v>
                </c:pt>
                <c:pt idx="196">
                  <c:v>7061</c:v>
                </c:pt>
                <c:pt idx="197">
                  <c:v>7092</c:v>
                </c:pt>
                <c:pt idx="198">
                  <c:v>7122</c:v>
                </c:pt>
                <c:pt idx="199">
                  <c:v>7153</c:v>
                </c:pt>
                <c:pt idx="200">
                  <c:v>7184</c:v>
                </c:pt>
                <c:pt idx="201">
                  <c:v>7214</c:v>
                </c:pt>
                <c:pt idx="202">
                  <c:v>7245</c:v>
                </c:pt>
                <c:pt idx="203">
                  <c:v>7275</c:v>
                </c:pt>
                <c:pt idx="204" formatCode="0">
                  <c:v>1920</c:v>
                </c:pt>
                <c:pt idx="205">
                  <c:v>7337</c:v>
                </c:pt>
                <c:pt idx="206">
                  <c:v>7366</c:v>
                </c:pt>
                <c:pt idx="207">
                  <c:v>7397</c:v>
                </c:pt>
                <c:pt idx="208">
                  <c:v>7427</c:v>
                </c:pt>
                <c:pt idx="209">
                  <c:v>7458</c:v>
                </c:pt>
                <c:pt idx="210">
                  <c:v>7488</c:v>
                </c:pt>
                <c:pt idx="211">
                  <c:v>7519</c:v>
                </c:pt>
                <c:pt idx="212">
                  <c:v>7550</c:v>
                </c:pt>
                <c:pt idx="213">
                  <c:v>7580</c:v>
                </c:pt>
                <c:pt idx="214">
                  <c:v>7611</c:v>
                </c:pt>
                <c:pt idx="215">
                  <c:v>7641</c:v>
                </c:pt>
                <c:pt idx="216" formatCode="0">
                  <c:v>1921</c:v>
                </c:pt>
                <c:pt idx="217">
                  <c:v>7703</c:v>
                </c:pt>
                <c:pt idx="218">
                  <c:v>7731</c:v>
                </c:pt>
                <c:pt idx="219">
                  <c:v>7762</c:v>
                </c:pt>
                <c:pt idx="220">
                  <c:v>7792</c:v>
                </c:pt>
                <c:pt idx="221">
                  <c:v>7823</c:v>
                </c:pt>
                <c:pt idx="222">
                  <c:v>7853</c:v>
                </c:pt>
                <c:pt idx="223">
                  <c:v>7884</c:v>
                </c:pt>
                <c:pt idx="224">
                  <c:v>7915</c:v>
                </c:pt>
                <c:pt idx="225">
                  <c:v>7945</c:v>
                </c:pt>
                <c:pt idx="226">
                  <c:v>7976</c:v>
                </c:pt>
                <c:pt idx="227">
                  <c:v>8006</c:v>
                </c:pt>
                <c:pt idx="228" formatCode="0">
                  <c:v>1922</c:v>
                </c:pt>
                <c:pt idx="229">
                  <c:v>8068</c:v>
                </c:pt>
                <c:pt idx="230">
                  <c:v>8096</c:v>
                </c:pt>
                <c:pt idx="231">
                  <c:v>8127</c:v>
                </c:pt>
                <c:pt idx="232">
                  <c:v>8157</c:v>
                </c:pt>
                <c:pt idx="233">
                  <c:v>8188</c:v>
                </c:pt>
                <c:pt idx="234">
                  <c:v>8218</c:v>
                </c:pt>
                <c:pt idx="235">
                  <c:v>8249</c:v>
                </c:pt>
                <c:pt idx="236">
                  <c:v>8280</c:v>
                </c:pt>
                <c:pt idx="237">
                  <c:v>8310</c:v>
                </c:pt>
                <c:pt idx="238">
                  <c:v>8341</c:v>
                </c:pt>
                <c:pt idx="239">
                  <c:v>8371</c:v>
                </c:pt>
                <c:pt idx="240" formatCode="0">
                  <c:v>1923</c:v>
                </c:pt>
                <c:pt idx="241">
                  <c:v>8433</c:v>
                </c:pt>
                <c:pt idx="242">
                  <c:v>8461</c:v>
                </c:pt>
                <c:pt idx="243">
                  <c:v>8492</c:v>
                </c:pt>
                <c:pt idx="244">
                  <c:v>8522</c:v>
                </c:pt>
                <c:pt idx="245">
                  <c:v>8553</c:v>
                </c:pt>
                <c:pt idx="246">
                  <c:v>8583</c:v>
                </c:pt>
                <c:pt idx="247">
                  <c:v>8614</c:v>
                </c:pt>
                <c:pt idx="248">
                  <c:v>8645</c:v>
                </c:pt>
                <c:pt idx="249">
                  <c:v>8675</c:v>
                </c:pt>
                <c:pt idx="250">
                  <c:v>8706</c:v>
                </c:pt>
                <c:pt idx="251">
                  <c:v>8736</c:v>
                </c:pt>
                <c:pt idx="252" formatCode="0">
                  <c:v>1924</c:v>
                </c:pt>
                <c:pt idx="253">
                  <c:v>8798</c:v>
                </c:pt>
                <c:pt idx="254">
                  <c:v>8827</c:v>
                </c:pt>
                <c:pt idx="255">
                  <c:v>8858</c:v>
                </c:pt>
                <c:pt idx="256">
                  <c:v>8888</c:v>
                </c:pt>
                <c:pt idx="257">
                  <c:v>8919</c:v>
                </c:pt>
                <c:pt idx="258">
                  <c:v>8949</c:v>
                </c:pt>
                <c:pt idx="259">
                  <c:v>8980</c:v>
                </c:pt>
                <c:pt idx="260">
                  <c:v>9011</c:v>
                </c:pt>
                <c:pt idx="261">
                  <c:v>9041</c:v>
                </c:pt>
                <c:pt idx="262">
                  <c:v>9072</c:v>
                </c:pt>
                <c:pt idx="263">
                  <c:v>9102</c:v>
                </c:pt>
                <c:pt idx="264" formatCode="0">
                  <c:v>1925</c:v>
                </c:pt>
                <c:pt idx="265">
                  <c:v>9164</c:v>
                </c:pt>
                <c:pt idx="266">
                  <c:v>9192</c:v>
                </c:pt>
                <c:pt idx="267">
                  <c:v>9223</c:v>
                </c:pt>
                <c:pt idx="268">
                  <c:v>9253</c:v>
                </c:pt>
                <c:pt idx="269">
                  <c:v>9284</c:v>
                </c:pt>
                <c:pt idx="270">
                  <c:v>9314</c:v>
                </c:pt>
                <c:pt idx="271">
                  <c:v>9345</c:v>
                </c:pt>
                <c:pt idx="272">
                  <c:v>9376</c:v>
                </c:pt>
                <c:pt idx="273">
                  <c:v>9406</c:v>
                </c:pt>
                <c:pt idx="274">
                  <c:v>9437</c:v>
                </c:pt>
                <c:pt idx="275">
                  <c:v>9467</c:v>
                </c:pt>
                <c:pt idx="276" formatCode="0">
                  <c:v>1926</c:v>
                </c:pt>
                <c:pt idx="277">
                  <c:v>9529</c:v>
                </c:pt>
                <c:pt idx="278">
                  <c:v>9557</c:v>
                </c:pt>
                <c:pt idx="279">
                  <c:v>9588</c:v>
                </c:pt>
                <c:pt idx="280">
                  <c:v>9618</c:v>
                </c:pt>
                <c:pt idx="281">
                  <c:v>9649</c:v>
                </c:pt>
                <c:pt idx="282">
                  <c:v>9679</c:v>
                </c:pt>
                <c:pt idx="283">
                  <c:v>9710</c:v>
                </c:pt>
                <c:pt idx="284">
                  <c:v>9741</c:v>
                </c:pt>
                <c:pt idx="285">
                  <c:v>9771</c:v>
                </c:pt>
                <c:pt idx="286">
                  <c:v>9802</c:v>
                </c:pt>
                <c:pt idx="287">
                  <c:v>9832</c:v>
                </c:pt>
                <c:pt idx="288" formatCode="0">
                  <c:v>1927</c:v>
                </c:pt>
                <c:pt idx="289">
                  <c:v>9894</c:v>
                </c:pt>
                <c:pt idx="290">
                  <c:v>9922</c:v>
                </c:pt>
                <c:pt idx="291">
                  <c:v>9953</c:v>
                </c:pt>
                <c:pt idx="292">
                  <c:v>9983</c:v>
                </c:pt>
                <c:pt idx="293">
                  <c:v>10014</c:v>
                </c:pt>
                <c:pt idx="294">
                  <c:v>10044</c:v>
                </c:pt>
                <c:pt idx="295">
                  <c:v>10075</c:v>
                </c:pt>
                <c:pt idx="296">
                  <c:v>10106</c:v>
                </c:pt>
                <c:pt idx="297">
                  <c:v>10136</c:v>
                </c:pt>
                <c:pt idx="298">
                  <c:v>10167</c:v>
                </c:pt>
                <c:pt idx="299">
                  <c:v>10197</c:v>
                </c:pt>
                <c:pt idx="300" formatCode="0">
                  <c:v>1928</c:v>
                </c:pt>
                <c:pt idx="301">
                  <c:v>10259</c:v>
                </c:pt>
                <c:pt idx="302">
                  <c:v>10288</c:v>
                </c:pt>
                <c:pt idx="303">
                  <c:v>10319</c:v>
                </c:pt>
                <c:pt idx="304">
                  <c:v>10349</c:v>
                </c:pt>
                <c:pt idx="305">
                  <c:v>10380</c:v>
                </c:pt>
                <c:pt idx="306">
                  <c:v>10410</c:v>
                </c:pt>
                <c:pt idx="307">
                  <c:v>10441</c:v>
                </c:pt>
                <c:pt idx="308">
                  <c:v>10472</c:v>
                </c:pt>
                <c:pt idx="309">
                  <c:v>10502</c:v>
                </c:pt>
                <c:pt idx="310">
                  <c:v>10533</c:v>
                </c:pt>
                <c:pt idx="311">
                  <c:v>10563</c:v>
                </c:pt>
                <c:pt idx="312" formatCode="0">
                  <c:v>1929</c:v>
                </c:pt>
                <c:pt idx="313">
                  <c:v>10625</c:v>
                </c:pt>
                <c:pt idx="314">
                  <c:v>10653</c:v>
                </c:pt>
                <c:pt idx="315">
                  <c:v>10684</c:v>
                </c:pt>
                <c:pt idx="316">
                  <c:v>10714</c:v>
                </c:pt>
                <c:pt idx="317">
                  <c:v>10745</c:v>
                </c:pt>
                <c:pt idx="318">
                  <c:v>10775</c:v>
                </c:pt>
                <c:pt idx="319">
                  <c:v>10806</c:v>
                </c:pt>
                <c:pt idx="320">
                  <c:v>10837</c:v>
                </c:pt>
                <c:pt idx="321">
                  <c:v>10867</c:v>
                </c:pt>
                <c:pt idx="322">
                  <c:v>10898</c:v>
                </c:pt>
                <c:pt idx="323">
                  <c:v>10928</c:v>
                </c:pt>
                <c:pt idx="324" formatCode="0">
                  <c:v>1930</c:v>
                </c:pt>
                <c:pt idx="325">
                  <c:v>10990</c:v>
                </c:pt>
                <c:pt idx="326">
                  <c:v>11018</c:v>
                </c:pt>
                <c:pt idx="327">
                  <c:v>11049</c:v>
                </c:pt>
                <c:pt idx="328">
                  <c:v>11079</c:v>
                </c:pt>
                <c:pt idx="329">
                  <c:v>11110</c:v>
                </c:pt>
                <c:pt idx="330">
                  <c:v>11140</c:v>
                </c:pt>
                <c:pt idx="331">
                  <c:v>11171</c:v>
                </c:pt>
                <c:pt idx="332">
                  <c:v>11202</c:v>
                </c:pt>
                <c:pt idx="333">
                  <c:v>11232</c:v>
                </c:pt>
                <c:pt idx="334">
                  <c:v>11263</c:v>
                </c:pt>
                <c:pt idx="335">
                  <c:v>11293</c:v>
                </c:pt>
                <c:pt idx="336" formatCode="0">
                  <c:v>1931</c:v>
                </c:pt>
                <c:pt idx="337">
                  <c:v>11355</c:v>
                </c:pt>
                <c:pt idx="338">
                  <c:v>11383</c:v>
                </c:pt>
                <c:pt idx="339">
                  <c:v>11414</c:v>
                </c:pt>
                <c:pt idx="340">
                  <c:v>11444</c:v>
                </c:pt>
                <c:pt idx="341">
                  <c:v>11475</c:v>
                </c:pt>
                <c:pt idx="342">
                  <c:v>11505</c:v>
                </c:pt>
                <c:pt idx="343">
                  <c:v>11536</c:v>
                </c:pt>
                <c:pt idx="344">
                  <c:v>11567</c:v>
                </c:pt>
                <c:pt idx="345">
                  <c:v>11597</c:v>
                </c:pt>
                <c:pt idx="346">
                  <c:v>11628</c:v>
                </c:pt>
                <c:pt idx="347">
                  <c:v>11658</c:v>
                </c:pt>
                <c:pt idx="348" formatCode="0">
                  <c:v>1932</c:v>
                </c:pt>
                <c:pt idx="349">
                  <c:v>11720</c:v>
                </c:pt>
                <c:pt idx="350">
                  <c:v>11749</c:v>
                </c:pt>
                <c:pt idx="351">
                  <c:v>11780</c:v>
                </c:pt>
                <c:pt idx="352">
                  <c:v>11810</c:v>
                </c:pt>
                <c:pt idx="353">
                  <c:v>11841</c:v>
                </c:pt>
                <c:pt idx="354">
                  <c:v>11871</c:v>
                </c:pt>
                <c:pt idx="355">
                  <c:v>11902</c:v>
                </c:pt>
                <c:pt idx="356">
                  <c:v>11933</c:v>
                </c:pt>
                <c:pt idx="357">
                  <c:v>11963</c:v>
                </c:pt>
                <c:pt idx="358">
                  <c:v>11994</c:v>
                </c:pt>
                <c:pt idx="359">
                  <c:v>12024</c:v>
                </c:pt>
                <c:pt idx="360" formatCode="0">
                  <c:v>1933</c:v>
                </c:pt>
                <c:pt idx="361">
                  <c:v>12086</c:v>
                </c:pt>
                <c:pt idx="362">
                  <c:v>12114</c:v>
                </c:pt>
                <c:pt idx="363">
                  <c:v>12145</c:v>
                </c:pt>
                <c:pt idx="364">
                  <c:v>12175</c:v>
                </c:pt>
                <c:pt idx="365">
                  <c:v>12206</c:v>
                </c:pt>
                <c:pt idx="366">
                  <c:v>12236</c:v>
                </c:pt>
                <c:pt idx="367">
                  <c:v>12267</c:v>
                </c:pt>
                <c:pt idx="368">
                  <c:v>12298</c:v>
                </c:pt>
                <c:pt idx="369">
                  <c:v>12328</c:v>
                </c:pt>
                <c:pt idx="370">
                  <c:v>12359</c:v>
                </c:pt>
                <c:pt idx="371">
                  <c:v>12389</c:v>
                </c:pt>
                <c:pt idx="372" formatCode="0">
                  <c:v>1934</c:v>
                </c:pt>
                <c:pt idx="373">
                  <c:v>12451</c:v>
                </c:pt>
                <c:pt idx="374">
                  <c:v>12479</c:v>
                </c:pt>
                <c:pt idx="375">
                  <c:v>12510</c:v>
                </c:pt>
                <c:pt idx="376">
                  <c:v>12540</c:v>
                </c:pt>
                <c:pt idx="377">
                  <c:v>12571</c:v>
                </c:pt>
                <c:pt idx="378">
                  <c:v>12601</c:v>
                </c:pt>
                <c:pt idx="379">
                  <c:v>12632</c:v>
                </c:pt>
                <c:pt idx="380">
                  <c:v>12663</c:v>
                </c:pt>
                <c:pt idx="381">
                  <c:v>12693</c:v>
                </c:pt>
                <c:pt idx="382">
                  <c:v>12724</c:v>
                </c:pt>
                <c:pt idx="383">
                  <c:v>12754</c:v>
                </c:pt>
                <c:pt idx="384" formatCode="0">
                  <c:v>1935</c:v>
                </c:pt>
                <c:pt idx="385">
                  <c:v>12816</c:v>
                </c:pt>
                <c:pt idx="386">
                  <c:v>12844</c:v>
                </c:pt>
                <c:pt idx="387">
                  <c:v>12875</c:v>
                </c:pt>
                <c:pt idx="388">
                  <c:v>12905</c:v>
                </c:pt>
                <c:pt idx="389">
                  <c:v>12936</c:v>
                </c:pt>
                <c:pt idx="390">
                  <c:v>12966</c:v>
                </c:pt>
                <c:pt idx="391">
                  <c:v>12997</c:v>
                </c:pt>
                <c:pt idx="392">
                  <c:v>13028</c:v>
                </c:pt>
                <c:pt idx="393">
                  <c:v>13058</c:v>
                </c:pt>
                <c:pt idx="394">
                  <c:v>13089</c:v>
                </c:pt>
                <c:pt idx="395">
                  <c:v>13119</c:v>
                </c:pt>
                <c:pt idx="396" formatCode="0">
                  <c:v>1936</c:v>
                </c:pt>
                <c:pt idx="397">
                  <c:v>13181</c:v>
                </c:pt>
                <c:pt idx="398">
                  <c:v>13210</c:v>
                </c:pt>
                <c:pt idx="399">
                  <c:v>13241</c:v>
                </c:pt>
                <c:pt idx="400">
                  <c:v>13271</c:v>
                </c:pt>
                <c:pt idx="401">
                  <c:v>13302</c:v>
                </c:pt>
                <c:pt idx="402">
                  <c:v>13332</c:v>
                </c:pt>
                <c:pt idx="403">
                  <c:v>13363</c:v>
                </c:pt>
                <c:pt idx="404">
                  <c:v>13394</c:v>
                </c:pt>
                <c:pt idx="405">
                  <c:v>13424</c:v>
                </c:pt>
                <c:pt idx="406">
                  <c:v>13455</c:v>
                </c:pt>
                <c:pt idx="407">
                  <c:v>13485</c:v>
                </c:pt>
                <c:pt idx="408" formatCode="0">
                  <c:v>1937</c:v>
                </c:pt>
                <c:pt idx="409">
                  <c:v>13547</c:v>
                </c:pt>
                <c:pt idx="410">
                  <c:v>13575</c:v>
                </c:pt>
                <c:pt idx="411">
                  <c:v>13606</c:v>
                </c:pt>
                <c:pt idx="412">
                  <c:v>13636</c:v>
                </c:pt>
                <c:pt idx="413">
                  <c:v>13667</c:v>
                </c:pt>
                <c:pt idx="414">
                  <c:v>13697</c:v>
                </c:pt>
                <c:pt idx="415">
                  <c:v>13728</c:v>
                </c:pt>
                <c:pt idx="416">
                  <c:v>13759</c:v>
                </c:pt>
                <c:pt idx="417">
                  <c:v>13789</c:v>
                </c:pt>
                <c:pt idx="418">
                  <c:v>13820</c:v>
                </c:pt>
                <c:pt idx="419">
                  <c:v>13850</c:v>
                </c:pt>
                <c:pt idx="420" formatCode="0">
                  <c:v>1938</c:v>
                </c:pt>
                <c:pt idx="421">
                  <c:v>13912</c:v>
                </c:pt>
                <c:pt idx="422">
                  <c:v>13940</c:v>
                </c:pt>
                <c:pt idx="423">
                  <c:v>13971</c:v>
                </c:pt>
                <c:pt idx="424">
                  <c:v>14001</c:v>
                </c:pt>
                <c:pt idx="425">
                  <c:v>14032</c:v>
                </c:pt>
                <c:pt idx="426">
                  <c:v>14062</c:v>
                </c:pt>
                <c:pt idx="427">
                  <c:v>14093</c:v>
                </c:pt>
                <c:pt idx="428">
                  <c:v>14124</c:v>
                </c:pt>
                <c:pt idx="429">
                  <c:v>14154</c:v>
                </c:pt>
                <c:pt idx="430">
                  <c:v>14185</c:v>
                </c:pt>
                <c:pt idx="431">
                  <c:v>14215</c:v>
                </c:pt>
                <c:pt idx="432" formatCode="0">
                  <c:v>1939</c:v>
                </c:pt>
                <c:pt idx="433">
                  <c:v>14277</c:v>
                </c:pt>
                <c:pt idx="434">
                  <c:v>14305</c:v>
                </c:pt>
                <c:pt idx="435">
                  <c:v>14336</c:v>
                </c:pt>
                <c:pt idx="436">
                  <c:v>14366</c:v>
                </c:pt>
                <c:pt idx="437">
                  <c:v>14397</c:v>
                </c:pt>
                <c:pt idx="438">
                  <c:v>14427</c:v>
                </c:pt>
                <c:pt idx="439">
                  <c:v>14458</c:v>
                </c:pt>
                <c:pt idx="440">
                  <c:v>14489</c:v>
                </c:pt>
                <c:pt idx="441">
                  <c:v>14519</c:v>
                </c:pt>
                <c:pt idx="442">
                  <c:v>14550</c:v>
                </c:pt>
                <c:pt idx="443">
                  <c:v>14580</c:v>
                </c:pt>
              </c:numCache>
            </c:numRef>
          </c:cat>
          <c:val>
            <c:numRef>
              <c:f>'App2DataFig2.1-2.9'!$U$962:$U$1405</c:f>
              <c:numCache>
                <c:formatCode>General</c:formatCode>
                <c:ptCount val="444"/>
                <c:pt idx="0">
                  <c:v>4.3</c:v>
                </c:pt>
                <c:pt idx="1">
                  <c:v>3.8</c:v>
                </c:pt>
                <c:pt idx="2">
                  <c:v>4.8</c:v>
                </c:pt>
                <c:pt idx="3">
                  <c:v>5.9</c:v>
                </c:pt>
                <c:pt idx="4">
                  <c:v>5.5</c:v>
                </c:pt>
                <c:pt idx="5">
                  <c:v>4.5999999999999996</c:v>
                </c:pt>
                <c:pt idx="6">
                  <c:v>4.0999999999999996</c:v>
                </c:pt>
                <c:pt idx="7">
                  <c:v>2.2999999999999998</c:v>
                </c:pt>
                <c:pt idx="8">
                  <c:v>0.9</c:v>
                </c:pt>
                <c:pt idx="9">
                  <c:v>-3.7</c:v>
                </c:pt>
                <c:pt idx="10">
                  <c:v>-7.5</c:v>
                </c:pt>
                <c:pt idx="11">
                  <c:v>-11</c:v>
                </c:pt>
                <c:pt idx="12">
                  <c:v>-7.1</c:v>
                </c:pt>
                <c:pt idx="13">
                  <c:v>-3.6</c:v>
                </c:pt>
                <c:pt idx="14">
                  <c:v>-4.0999999999999996</c:v>
                </c:pt>
                <c:pt idx="15">
                  <c:v>-2.2999999999999998</c:v>
                </c:pt>
                <c:pt idx="16">
                  <c:v>-4.3</c:v>
                </c:pt>
                <c:pt idx="17">
                  <c:v>-6.7</c:v>
                </c:pt>
                <c:pt idx="18">
                  <c:v>-4.7</c:v>
                </c:pt>
                <c:pt idx="19">
                  <c:v>-8</c:v>
                </c:pt>
                <c:pt idx="20">
                  <c:v>-5.0999999999999996</c:v>
                </c:pt>
                <c:pt idx="21">
                  <c:v>-5</c:v>
                </c:pt>
                <c:pt idx="22">
                  <c:v>-0.6</c:v>
                </c:pt>
                <c:pt idx="23">
                  <c:v>0.6</c:v>
                </c:pt>
                <c:pt idx="24">
                  <c:v>3.4</c:v>
                </c:pt>
                <c:pt idx="25">
                  <c:v>4</c:v>
                </c:pt>
                <c:pt idx="26">
                  <c:v>6.9</c:v>
                </c:pt>
                <c:pt idx="27">
                  <c:v>8.1999999999999993</c:v>
                </c:pt>
                <c:pt idx="28">
                  <c:v>8.6999999999999993</c:v>
                </c:pt>
                <c:pt idx="29">
                  <c:v>8.5</c:v>
                </c:pt>
                <c:pt idx="30">
                  <c:v>8</c:v>
                </c:pt>
                <c:pt idx="31">
                  <c:v>8.1999999999999993</c:v>
                </c:pt>
                <c:pt idx="32">
                  <c:v>9.6999999999999993</c:v>
                </c:pt>
                <c:pt idx="33">
                  <c:v>9.4</c:v>
                </c:pt>
                <c:pt idx="34">
                  <c:v>10.9</c:v>
                </c:pt>
                <c:pt idx="35">
                  <c:v>11.8</c:v>
                </c:pt>
                <c:pt idx="36">
                  <c:v>12.6</c:v>
                </c:pt>
                <c:pt idx="37">
                  <c:v>12</c:v>
                </c:pt>
                <c:pt idx="38">
                  <c:v>10.4</c:v>
                </c:pt>
                <c:pt idx="39">
                  <c:v>8.9</c:v>
                </c:pt>
                <c:pt idx="40">
                  <c:v>10.199999999999999</c:v>
                </c:pt>
                <c:pt idx="41">
                  <c:v>9.1</c:v>
                </c:pt>
                <c:pt idx="42">
                  <c:v>8.8000000000000007</c:v>
                </c:pt>
                <c:pt idx="43">
                  <c:v>9.4</c:v>
                </c:pt>
                <c:pt idx="44">
                  <c:v>8.3000000000000007</c:v>
                </c:pt>
                <c:pt idx="45">
                  <c:v>10.5</c:v>
                </c:pt>
                <c:pt idx="46">
                  <c:v>10.7</c:v>
                </c:pt>
                <c:pt idx="47">
                  <c:v>11.8</c:v>
                </c:pt>
                <c:pt idx="48">
                  <c:v>11.5</c:v>
                </c:pt>
                <c:pt idx="49">
                  <c:v>9.4</c:v>
                </c:pt>
                <c:pt idx="50">
                  <c:v>9</c:v>
                </c:pt>
                <c:pt idx="51">
                  <c:v>11</c:v>
                </c:pt>
                <c:pt idx="52">
                  <c:v>11.6</c:v>
                </c:pt>
                <c:pt idx="53">
                  <c:v>11.1</c:v>
                </c:pt>
                <c:pt idx="54">
                  <c:v>11.2</c:v>
                </c:pt>
                <c:pt idx="55">
                  <c:v>10</c:v>
                </c:pt>
                <c:pt idx="56">
                  <c:v>8.3000000000000007</c:v>
                </c:pt>
                <c:pt idx="57">
                  <c:v>7.8</c:v>
                </c:pt>
                <c:pt idx="58">
                  <c:v>-7.5</c:v>
                </c:pt>
                <c:pt idx="59">
                  <c:v>-17.2</c:v>
                </c:pt>
                <c:pt idx="60">
                  <c:v>-18</c:v>
                </c:pt>
                <c:pt idx="61">
                  <c:v>-17.399999999999999</c:v>
                </c:pt>
                <c:pt idx="62">
                  <c:v>-16.899999999999999</c:v>
                </c:pt>
                <c:pt idx="63">
                  <c:v>-16.7</c:v>
                </c:pt>
                <c:pt idx="64">
                  <c:v>-18.100000000000001</c:v>
                </c:pt>
                <c:pt idx="65">
                  <c:v>-17.2</c:v>
                </c:pt>
                <c:pt idx="66">
                  <c:v>-15.6</c:v>
                </c:pt>
                <c:pt idx="67">
                  <c:v>-12.8</c:v>
                </c:pt>
                <c:pt idx="68">
                  <c:v>-11</c:v>
                </c:pt>
                <c:pt idx="69">
                  <c:v>-10</c:v>
                </c:pt>
                <c:pt idx="70">
                  <c:v>-8</c:v>
                </c:pt>
                <c:pt idx="71">
                  <c:v>-6.6</c:v>
                </c:pt>
                <c:pt idx="72">
                  <c:v>-3.2</c:v>
                </c:pt>
                <c:pt idx="73">
                  <c:v>-3.2</c:v>
                </c:pt>
                <c:pt idx="74">
                  <c:v>-3.4</c:v>
                </c:pt>
                <c:pt idx="75">
                  <c:v>-3.5</c:v>
                </c:pt>
                <c:pt idx="76">
                  <c:v>-1.5</c:v>
                </c:pt>
                <c:pt idx="77">
                  <c:v>-0.6</c:v>
                </c:pt>
                <c:pt idx="78">
                  <c:v>1.8</c:v>
                </c:pt>
                <c:pt idx="79">
                  <c:v>4.2</c:v>
                </c:pt>
                <c:pt idx="80">
                  <c:v>6.9</c:v>
                </c:pt>
                <c:pt idx="81">
                  <c:v>9</c:v>
                </c:pt>
                <c:pt idx="82">
                  <c:v>9.1999999999999993</c:v>
                </c:pt>
                <c:pt idx="83">
                  <c:v>9.4</c:v>
                </c:pt>
                <c:pt idx="84">
                  <c:v>8.6</c:v>
                </c:pt>
                <c:pt idx="85">
                  <c:v>7.2</c:v>
                </c:pt>
                <c:pt idx="86">
                  <c:v>7.7</c:v>
                </c:pt>
                <c:pt idx="87">
                  <c:v>5.5</c:v>
                </c:pt>
                <c:pt idx="88">
                  <c:v>2</c:v>
                </c:pt>
                <c:pt idx="89">
                  <c:v>1.7</c:v>
                </c:pt>
                <c:pt idx="90">
                  <c:v>-1.3</c:v>
                </c:pt>
                <c:pt idx="91">
                  <c:v>-1.7</c:v>
                </c:pt>
                <c:pt idx="92">
                  <c:v>-2.2000000000000002</c:v>
                </c:pt>
                <c:pt idx="93">
                  <c:v>-2.5</c:v>
                </c:pt>
                <c:pt idx="94">
                  <c:v>-4.0999999999999996</c:v>
                </c:pt>
                <c:pt idx="95">
                  <c:v>-5.9</c:v>
                </c:pt>
                <c:pt idx="96">
                  <c:v>-5.6</c:v>
                </c:pt>
                <c:pt idx="97">
                  <c:v>-5.2</c:v>
                </c:pt>
                <c:pt idx="98">
                  <c:v>-4.3</c:v>
                </c:pt>
                <c:pt idx="99">
                  <c:v>-6.7</c:v>
                </c:pt>
                <c:pt idx="100">
                  <c:v>-7</c:v>
                </c:pt>
                <c:pt idx="101">
                  <c:v>-6.8</c:v>
                </c:pt>
                <c:pt idx="102">
                  <c:v>-7.8</c:v>
                </c:pt>
                <c:pt idx="103">
                  <c:v>-6.3</c:v>
                </c:pt>
                <c:pt idx="104">
                  <c:v>-5.3</c:v>
                </c:pt>
                <c:pt idx="105">
                  <c:v>-5.0999999999999996</c:v>
                </c:pt>
                <c:pt idx="106">
                  <c:v>-4.8</c:v>
                </c:pt>
                <c:pt idx="107">
                  <c:v>-4.7</c:v>
                </c:pt>
                <c:pt idx="108">
                  <c:v>-2.5</c:v>
                </c:pt>
                <c:pt idx="109">
                  <c:v>0.9</c:v>
                </c:pt>
                <c:pt idx="110">
                  <c:v>1.4</c:v>
                </c:pt>
                <c:pt idx="111">
                  <c:v>3.4</c:v>
                </c:pt>
                <c:pt idx="112">
                  <c:v>3.5</c:v>
                </c:pt>
                <c:pt idx="113">
                  <c:v>2.9</c:v>
                </c:pt>
                <c:pt idx="114">
                  <c:v>4.5</c:v>
                </c:pt>
                <c:pt idx="115">
                  <c:v>5.7</c:v>
                </c:pt>
                <c:pt idx="116">
                  <c:v>5.6</c:v>
                </c:pt>
                <c:pt idx="117">
                  <c:v>8</c:v>
                </c:pt>
                <c:pt idx="118">
                  <c:v>8.1</c:v>
                </c:pt>
                <c:pt idx="119">
                  <c:v>8.3000000000000007</c:v>
                </c:pt>
                <c:pt idx="120">
                  <c:v>9.1999999999999993</c:v>
                </c:pt>
                <c:pt idx="121">
                  <c:v>8.8000000000000007</c:v>
                </c:pt>
                <c:pt idx="122">
                  <c:v>4.9000000000000004</c:v>
                </c:pt>
                <c:pt idx="123">
                  <c:v>7</c:v>
                </c:pt>
                <c:pt idx="124">
                  <c:v>6.4</c:v>
                </c:pt>
                <c:pt idx="125">
                  <c:v>5.7</c:v>
                </c:pt>
                <c:pt idx="126">
                  <c:v>5.0999999999999996</c:v>
                </c:pt>
                <c:pt idx="127">
                  <c:v>3.3</c:v>
                </c:pt>
                <c:pt idx="128">
                  <c:v>3.6</c:v>
                </c:pt>
                <c:pt idx="129">
                  <c:v>3.8</c:v>
                </c:pt>
                <c:pt idx="130">
                  <c:v>-0.5</c:v>
                </c:pt>
                <c:pt idx="131">
                  <c:v>-3</c:v>
                </c:pt>
                <c:pt idx="132">
                  <c:v>-1.3</c:v>
                </c:pt>
                <c:pt idx="133">
                  <c:v>-0.9</c:v>
                </c:pt>
                <c:pt idx="134">
                  <c:v>0.9</c:v>
                </c:pt>
                <c:pt idx="135">
                  <c:v>-0.8</c:v>
                </c:pt>
                <c:pt idx="136">
                  <c:v>-3.6</c:v>
                </c:pt>
                <c:pt idx="137">
                  <c:v>-3.4</c:v>
                </c:pt>
                <c:pt idx="138">
                  <c:v>-2.7</c:v>
                </c:pt>
                <c:pt idx="139">
                  <c:v>-5.9</c:v>
                </c:pt>
                <c:pt idx="140">
                  <c:v>-7.4</c:v>
                </c:pt>
                <c:pt idx="141">
                  <c:v>-10.3</c:v>
                </c:pt>
                <c:pt idx="142">
                  <c:v>-13.5</c:v>
                </c:pt>
                <c:pt idx="143">
                  <c:v>-13.6</c:v>
                </c:pt>
                <c:pt idx="144">
                  <c:v>-11.8</c:v>
                </c:pt>
                <c:pt idx="145">
                  <c:v>-9.3000000000000007</c:v>
                </c:pt>
                <c:pt idx="146">
                  <c:v>-8.1</c:v>
                </c:pt>
                <c:pt idx="147">
                  <c:v>-5.9</c:v>
                </c:pt>
                <c:pt idx="148">
                  <c:v>-4.7</c:v>
                </c:pt>
                <c:pt idx="149">
                  <c:v>-1.4</c:v>
                </c:pt>
                <c:pt idx="150">
                  <c:v>0.1</c:v>
                </c:pt>
                <c:pt idx="151">
                  <c:v>1.4</c:v>
                </c:pt>
                <c:pt idx="152">
                  <c:v>5</c:v>
                </c:pt>
                <c:pt idx="153">
                  <c:v>7.3</c:v>
                </c:pt>
                <c:pt idx="154">
                  <c:v>10.1</c:v>
                </c:pt>
                <c:pt idx="155">
                  <c:v>13.4</c:v>
                </c:pt>
                <c:pt idx="156">
                  <c:v>12.3</c:v>
                </c:pt>
                <c:pt idx="157">
                  <c:v>13.5</c:v>
                </c:pt>
                <c:pt idx="158">
                  <c:v>14.3</c:v>
                </c:pt>
                <c:pt idx="159">
                  <c:v>12.7</c:v>
                </c:pt>
                <c:pt idx="160">
                  <c:v>14.2</c:v>
                </c:pt>
                <c:pt idx="161">
                  <c:v>14</c:v>
                </c:pt>
                <c:pt idx="162">
                  <c:v>11.4</c:v>
                </c:pt>
                <c:pt idx="163">
                  <c:v>13.2</c:v>
                </c:pt>
                <c:pt idx="164">
                  <c:v>14.4</c:v>
                </c:pt>
                <c:pt idx="165">
                  <c:v>15.5</c:v>
                </c:pt>
                <c:pt idx="166">
                  <c:v>15.8</c:v>
                </c:pt>
                <c:pt idx="167">
                  <c:v>13.9</c:v>
                </c:pt>
                <c:pt idx="168">
                  <c:v>14.3</c:v>
                </c:pt>
                <c:pt idx="169">
                  <c:v>12.7</c:v>
                </c:pt>
                <c:pt idx="170">
                  <c:v>14.1</c:v>
                </c:pt>
                <c:pt idx="171">
                  <c:v>13.1</c:v>
                </c:pt>
                <c:pt idx="172">
                  <c:v>14.2</c:v>
                </c:pt>
                <c:pt idx="173">
                  <c:v>13.4</c:v>
                </c:pt>
                <c:pt idx="174">
                  <c:v>12.4</c:v>
                </c:pt>
                <c:pt idx="175">
                  <c:v>12.5</c:v>
                </c:pt>
                <c:pt idx="176">
                  <c:v>9.1</c:v>
                </c:pt>
                <c:pt idx="177">
                  <c:v>10.8</c:v>
                </c:pt>
                <c:pt idx="178">
                  <c:v>10.6</c:v>
                </c:pt>
                <c:pt idx="179">
                  <c:v>5.9</c:v>
                </c:pt>
                <c:pt idx="180">
                  <c:v>1.5</c:v>
                </c:pt>
                <c:pt idx="181">
                  <c:v>2.6</c:v>
                </c:pt>
                <c:pt idx="182">
                  <c:v>7.1</c:v>
                </c:pt>
                <c:pt idx="183">
                  <c:v>7.5</c:v>
                </c:pt>
                <c:pt idx="184">
                  <c:v>9.3000000000000007</c:v>
                </c:pt>
                <c:pt idx="185">
                  <c:v>6.9</c:v>
                </c:pt>
                <c:pt idx="186">
                  <c:v>9.3000000000000007</c:v>
                </c:pt>
                <c:pt idx="187">
                  <c:v>10.6</c:v>
                </c:pt>
                <c:pt idx="188">
                  <c:v>8.5</c:v>
                </c:pt>
                <c:pt idx="189">
                  <c:v>8.5</c:v>
                </c:pt>
                <c:pt idx="190">
                  <c:v>6</c:v>
                </c:pt>
                <c:pt idx="191">
                  <c:v>6.1</c:v>
                </c:pt>
                <c:pt idx="192">
                  <c:v>-0.2</c:v>
                </c:pt>
                <c:pt idx="193">
                  <c:v>-4.0999999999999996</c:v>
                </c:pt>
                <c:pt idx="194">
                  <c:v>-8</c:v>
                </c:pt>
                <c:pt idx="195">
                  <c:v>-4.9000000000000004</c:v>
                </c:pt>
                <c:pt idx="196">
                  <c:v>-6</c:v>
                </c:pt>
                <c:pt idx="197">
                  <c:v>-0.2</c:v>
                </c:pt>
                <c:pt idx="198">
                  <c:v>4.3</c:v>
                </c:pt>
                <c:pt idx="199">
                  <c:v>6.5</c:v>
                </c:pt>
                <c:pt idx="200">
                  <c:v>3.8</c:v>
                </c:pt>
                <c:pt idx="201">
                  <c:v>2.4</c:v>
                </c:pt>
                <c:pt idx="202">
                  <c:v>1</c:v>
                </c:pt>
                <c:pt idx="203">
                  <c:v>1.9</c:v>
                </c:pt>
                <c:pt idx="204">
                  <c:v>12.3</c:v>
                </c:pt>
                <c:pt idx="205">
                  <c:v>12.1</c:v>
                </c:pt>
                <c:pt idx="206">
                  <c:v>9.4</c:v>
                </c:pt>
                <c:pt idx="207">
                  <c:v>3.3</c:v>
                </c:pt>
                <c:pt idx="208">
                  <c:v>5.4</c:v>
                </c:pt>
                <c:pt idx="209">
                  <c:v>6.3</c:v>
                </c:pt>
                <c:pt idx="210">
                  <c:v>3.8</c:v>
                </c:pt>
                <c:pt idx="211">
                  <c:v>3.5</c:v>
                </c:pt>
                <c:pt idx="212">
                  <c:v>-0.2</c:v>
                </c:pt>
                <c:pt idx="213">
                  <c:v>-4</c:v>
                </c:pt>
                <c:pt idx="214">
                  <c:v>-12.3</c:v>
                </c:pt>
                <c:pt idx="215">
                  <c:v>-17.100000000000001</c:v>
                </c:pt>
                <c:pt idx="216">
                  <c:v>-23</c:v>
                </c:pt>
                <c:pt idx="217">
                  <c:v>-24.4</c:v>
                </c:pt>
                <c:pt idx="218">
                  <c:v>-26.8</c:v>
                </c:pt>
                <c:pt idx="219">
                  <c:v>-27</c:v>
                </c:pt>
                <c:pt idx="220">
                  <c:v>-24.9</c:v>
                </c:pt>
                <c:pt idx="221">
                  <c:v>-26.2</c:v>
                </c:pt>
                <c:pt idx="222">
                  <c:v>-26.4</c:v>
                </c:pt>
                <c:pt idx="223">
                  <c:v>-24.4</c:v>
                </c:pt>
                <c:pt idx="224">
                  <c:v>-23.4</c:v>
                </c:pt>
                <c:pt idx="225">
                  <c:v>-20.2</c:v>
                </c:pt>
                <c:pt idx="226">
                  <c:v>-20.399999999999999</c:v>
                </c:pt>
                <c:pt idx="227">
                  <c:v>-21.7</c:v>
                </c:pt>
                <c:pt idx="228">
                  <c:v>-18.600000000000001</c:v>
                </c:pt>
                <c:pt idx="229">
                  <c:v>-15.4</c:v>
                </c:pt>
                <c:pt idx="230">
                  <c:v>-11.2</c:v>
                </c:pt>
                <c:pt idx="231">
                  <c:v>-14.7</c:v>
                </c:pt>
                <c:pt idx="232">
                  <c:v>-10.5</c:v>
                </c:pt>
                <c:pt idx="233">
                  <c:v>-6.3</c:v>
                </c:pt>
                <c:pt idx="234">
                  <c:v>-6.6</c:v>
                </c:pt>
                <c:pt idx="235">
                  <c:v>-7.9</c:v>
                </c:pt>
                <c:pt idx="236">
                  <c:v>-3.7</c:v>
                </c:pt>
                <c:pt idx="237">
                  <c:v>1.5</c:v>
                </c:pt>
                <c:pt idx="238">
                  <c:v>5.6</c:v>
                </c:pt>
                <c:pt idx="239">
                  <c:v>8.6999999999999993</c:v>
                </c:pt>
                <c:pt idx="240">
                  <c:v>7.3</c:v>
                </c:pt>
                <c:pt idx="241">
                  <c:v>8.1999999999999993</c:v>
                </c:pt>
                <c:pt idx="242">
                  <c:v>11.1</c:v>
                </c:pt>
                <c:pt idx="243">
                  <c:v>14.1</c:v>
                </c:pt>
                <c:pt idx="244">
                  <c:v>13.8</c:v>
                </c:pt>
                <c:pt idx="245">
                  <c:v>13.6</c:v>
                </c:pt>
                <c:pt idx="246">
                  <c:v>11.2</c:v>
                </c:pt>
                <c:pt idx="247">
                  <c:v>9.8000000000000007</c:v>
                </c:pt>
                <c:pt idx="248">
                  <c:v>6.4</c:v>
                </c:pt>
                <c:pt idx="249">
                  <c:v>5.0999999999999996</c:v>
                </c:pt>
                <c:pt idx="250">
                  <c:v>3.8</c:v>
                </c:pt>
                <c:pt idx="251">
                  <c:v>2.5</c:v>
                </c:pt>
                <c:pt idx="252">
                  <c:v>5.4</c:v>
                </c:pt>
                <c:pt idx="253">
                  <c:v>7.2</c:v>
                </c:pt>
                <c:pt idx="254">
                  <c:v>4.9000000000000004</c:v>
                </c:pt>
                <c:pt idx="255">
                  <c:v>-0.6</c:v>
                </c:pt>
                <c:pt idx="256">
                  <c:v>-7.1</c:v>
                </c:pt>
                <c:pt idx="257">
                  <c:v>-11.5</c:v>
                </c:pt>
                <c:pt idx="258">
                  <c:v>-12.7</c:v>
                </c:pt>
                <c:pt idx="259">
                  <c:v>-7.7</c:v>
                </c:pt>
                <c:pt idx="260">
                  <c:v>-2.8</c:v>
                </c:pt>
                <c:pt idx="261">
                  <c:v>-2</c:v>
                </c:pt>
                <c:pt idx="262">
                  <c:v>-0.1</c:v>
                </c:pt>
                <c:pt idx="263">
                  <c:v>3.8</c:v>
                </c:pt>
                <c:pt idx="264">
                  <c:v>7.6</c:v>
                </c:pt>
                <c:pt idx="265">
                  <c:v>6.4</c:v>
                </c:pt>
                <c:pt idx="266">
                  <c:v>5.0999999999999996</c:v>
                </c:pt>
                <c:pt idx="267">
                  <c:v>3.9</c:v>
                </c:pt>
                <c:pt idx="268">
                  <c:v>3.6</c:v>
                </c:pt>
                <c:pt idx="269">
                  <c:v>3.4</c:v>
                </c:pt>
                <c:pt idx="270">
                  <c:v>4.2</c:v>
                </c:pt>
                <c:pt idx="271">
                  <c:v>3.9</c:v>
                </c:pt>
                <c:pt idx="272">
                  <c:v>1.7</c:v>
                </c:pt>
                <c:pt idx="273">
                  <c:v>4.4000000000000004</c:v>
                </c:pt>
                <c:pt idx="274">
                  <c:v>7.2</c:v>
                </c:pt>
                <c:pt idx="275">
                  <c:v>9</c:v>
                </c:pt>
                <c:pt idx="276">
                  <c:v>5.7</c:v>
                </c:pt>
                <c:pt idx="277">
                  <c:v>4.5</c:v>
                </c:pt>
                <c:pt idx="278">
                  <c:v>5.2</c:v>
                </c:pt>
                <c:pt idx="279">
                  <c:v>6</c:v>
                </c:pt>
                <c:pt idx="280">
                  <c:v>4.8</c:v>
                </c:pt>
                <c:pt idx="281">
                  <c:v>6.5</c:v>
                </c:pt>
                <c:pt idx="282">
                  <c:v>6.3</c:v>
                </c:pt>
                <c:pt idx="283">
                  <c:v>8</c:v>
                </c:pt>
                <c:pt idx="284">
                  <c:v>8.6999999999999993</c:v>
                </c:pt>
                <c:pt idx="285">
                  <c:v>8.5</c:v>
                </c:pt>
                <c:pt idx="286">
                  <c:v>7.3</c:v>
                </c:pt>
                <c:pt idx="287">
                  <c:v>4.0999999999999996</c:v>
                </c:pt>
                <c:pt idx="288">
                  <c:v>3.9</c:v>
                </c:pt>
                <c:pt idx="289">
                  <c:v>4.5999999999999996</c:v>
                </c:pt>
                <c:pt idx="290">
                  <c:v>6.3</c:v>
                </c:pt>
                <c:pt idx="291">
                  <c:v>4.2</c:v>
                </c:pt>
                <c:pt idx="292">
                  <c:v>4.9000000000000004</c:v>
                </c:pt>
                <c:pt idx="293">
                  <c:v>2.7</c:v>
                </c:pt>
                <c:pt idx="294">
                  <c:v>1.6</c:v>
                </c:pt>
                <c:pt idx="295">
                  <c:v>1.3</c:v>
                </c:pt>
                <c:pt idx="296">
                  <c:v>-0.8</c:v>
                </c:pt>
                <c:pt idx="297">
                  <c:v>-2.9</c:v>
                </c:pt>
                <c:pt idx="298">
                  <c:v>-4.0999999999999996</c:v>
                </c:pt>
                <c:pt idx="299">
                  <c:v>-3.4</c:v>
                </c:pt>
                <c:pt idx="300">
                  <c:v>1.1000000000000001</c:v>
                </c:pt>
                <c:pt idx="301">
                  <c:v>1.9</c:v>
                </c:pt>
                <c:pt idx="302">
                  <c:v>1.6</c:v>
                </c:pt>
                <c:pt idx="303">
                  <c:v>1.4</c:v>
                </c:pt>
                <c:pt idx="304">
                  <c:v>1.2</c:v>
                </c:pt>
                <c:pt idx="305">
                  <c:v>1</c:v>
                </c:pt>
                <c:pt idx="306">
                  <c:v>1.7</c:v>
                </c:pt>
                <c:pt idx="307">
                  <c:v>2.4</c:v>
                </c:pt>
                <c:pt idx="308">
                  <c:v>4.9000000000000004</c:v>
                </c:pt>
                <c:pt idx="309">
                  <c:v>6.6</c:v>
                </c:pt>
                <c:pt idx="310">
                  <c:v>8.1999999999999993</c:v>
                </c:pt>
                <c:pt idx="311">
                  <c:v>8.8000000000000007</c:v>
                </c:pt>
                <c:pt idx="312">
                  <c:v>10.199999999999999</c:v>
                </c:pt>
                <c:pt idx="313">
                  <c:v>9.1</c:v>
                </c:pt>
                <c:pt idx="314">
                  <c:v>8.9</c:v>
                </c:pt>
                <c:pt idx="315">
                  <c:v>11.4</c:v>
                </c:pt>
                <c:pt idx="316">
                  <c:v>12</c:v>
                </c:pt>
                <c:pt idx="317">
                  <c:v>14.5</c:v>
                </c:pt>
                <c:pt idx="318">
                  <c:v>13.4</c:v>
                </c:pt>
                <c:pt idx="319">
                  <c:v>10.4</c:v>
                </c:pt>
                <c:pt idx="320">
                  <c:v>10.199999999999999</c:v>
                </c:pt>
                <c:pt idx="321">
                  <c:v>7.1</c:v>
                </c:pt>
                <c:pt idx="322">
                  <c:v>-0.4</c:v>
                </c:pt>
                <c:pt idx="323">
                  <c:v>-6.9</c:v>
                </c:pt>
                <c:pt idx="324">
                  <c:v>-4.4000000000000004</c:v>
                </c:pt>
                <c:pt idx="325">
                  <c:v>-3.7</c:v>
                </c:pt>
                <c:pt idx="326">
                  <c:v>-7.5</c:v>
                </c:pt>
                <c:pt idx="327">
                  <c:v>-6.9</c:v>
                </c:pt>
                <c:pt idx="328">
                  <c:v>-8.9</c:v>
                </c:pt>
                <c:pt idx="329">
                  <c:v>-12.6</c:v>
                </c:pt>
                <c:pt idx="330">
                  <c:v>-17.2</c:v>
                </c:pt>
                <c:pt idx="331">
                  <c:v>-20.100000000000001</c:v>
                </c:pt>
                <c:pt idx="332">
                  <c:v>-20.2</c:v>
                </c:pt>
                <c:pt idx="333">
                  <c:v>-22.1</c:v>
                </c:pt>
                <c:pt idx="334">
                  <c:v>-24</c:v>
                </c:pt>
                <c:pt idx="335">
                  <c:v>-25.9</c:v>
                </c:pt>
                <c:pt idx="336">
                  <c:v>-27</c:v>
                </c:pt>
                <c:pt idx="337">
                  <c:v>-24.3</c:v>
                </c:pt>
                <c:pt idx="338">
                  <c:v>-23.7</c:v>
                </c:pt>
                <c:pt idx="339">
                  <c:v>-23</c:v>
                </c:pt>
                <c:pt idx="340">
                  <c:v>-23.9</c:v>
                </c:pt>
                <c:pt idx="341">
                  <c:v>-27.9</c:v>
                </c:pt>
                <c:pt idx="342">
                  <c:v>-28.6</c:v>
                </c:pt>
                <c:pt idx="343">
                  <c:v>-32.200000000000003</c:v>
                </c:pt>
                <c:pt idx="344">
                  <c:v>-34</c:v>
                </c:pt>
                <c:pt idx="345">
                  <c:v>-36.700000000000003</c:v>
                </c:pt>
                <c:pt idx="346">
                  <c:v>-36.9</c:v>
                </c:pt>
                <c:pt idx="347">
                  <c:v>-36.1</c:v>
                </c:pt>
                <c:pt idx="348">
                  <c:v>-37.9</c:v>
                </c:pt>
                <c:pt idx="349">
                  <c:v>-40.6</c:v>
                </c:pt>
                <c:pt idx="350">
                  <c:v>-42.4</c:v>
                </c:pt>
                <c:pt idx="351">
                  <c:v>-46</c:v>
                </c:pt>
                <c:pt idx="352">
                  <c:v>-48.7</c:v>
                </c:pt>
                <c:pt idx="353">
                  <c:v>-49.6</c:v>
                </c:pt>
                <c:pt idx="354">
                  <c:v>-50.6</c:v>
                </c:pt>
                <c:pt idx="355">
                  <c:v>-48.9</c:v>
                </c:pt>
                <c:pt idx="356">
                  <c:v>-43.9</c:v>
                </c:pt>
                <c:pt idx="357">
                  <c:v>-43.1</c:v>
                </c:pt>
                <c:pt idx="358">
                  <c:v>-44.9</c:v>
                </c:pt>
                <c:pt idx="359">
                  <c:v>-44.2</c:v>
                </c:pt>
                <c:pt idx="360">
                  <c:v>-45.1</c:v>
                </c:pt>
                <c:pt idx="361">
                  <c:v>-46.8</c:v>
                </c:pt>
                <c:pt idx="362">
                  <c:v>-50.4</c:v>
                </c:pt>
                <c:pt idx="363">
                  <c:v>-44.5</c:v>
                </c:pt>
                <c:pt idx="364">
                  <c:v>-34.5</c:v>
                </c:pt>
                <c:pt idx="365">
                  <c:v>-23.8</c:v>
                </c:pt>
                <c:pt idx="366">
                  <c:v>-16.399999999999999</c:v>
                </c:pt>
                <c:pt idx="367">
                  <c:v>-24</c:v>
                </c:pt>
                <c:pt idx="368">
                  <c:v>-30</c:v>
                </c:pt>
                <c:pt idx="369">
                  <c:v>-36.799999999999997</c:v>
                </c:pt>
                <c:pt idx="370">
                  <c:v>-40.200000000000003</c:v>
                </c:pt>
                <c:pt idx="371">
                  <c:v>-37.799999999999997</c:v>
                </c:pt>
                <c:pt idx="372">
                  <c:v>-35.4</c:v>
                </c:pt>
                <c:pt idx="373">
                  <c:v>-33.1</c:v>
                </c:pt>
                <c:pt idx="374">
                  <c:v>-30.7</c:v>
                </c:pt>
                <c:pt idx="375">
                  <c:v>-29.1</c:v>
                </c:pt>
                <c:pt idx="376">
                  <c:v>-29.3</c:v>
                </c:pt>
                <c:pt idx="377">
                  <c:v>-31.1</c:v>
                </c:pt>
                <c:pt idx="378">
                  <c:v>-37.700000000000003</c:v>
                </c:pt>
                <c:pt idx="379">
                  <c:v>-40.299999999999997</c:v>
                </c:pt>
                <c:pt idx="380">
                  <c:v>-42</c:v>
                </c:pt>
                <c:pt idx="381">
                  <c:v>-39.6</c:v>
                </c:pt>
                <c:pt idx="382">
                  <c:v>-38.9</c:v>
                </c:pt>
                <c:pt idx="383">
                  <c:v>-30.2</c:v>
                </c:pt>
                <c:pt idx="384">
                  <c:v>-27</c:v>
                </c:pt>
                <c:pt idx="385">
                  <c:v>-27.1</c:v>
                </c:pt>
                <c:pt idx="386">
                  <c:v>-28.8</c:v>
                </c:pt>
                <c:pt idx="387">
                  <c:v>-30.6</c:v>
                </c:pt>
                <c:pt idx="388">
                  <c:v>-31.4</c:v>
                </c:pt>
                <c:pt idx="389">
                  <c:v>-30</c:v>
                </c:pt>
                <c:pt idx="390">
                  <c:v>-30.9</c:v>
                </c:pt>
                <c:pt idx="391">
                  <c:v>-29.4</c:v>
                </c:pt>
                <c:pt idx="392">
                  <c:v>-27.1</c:v>
                </c:pt>
                <c:pt idx="393">
                  <c:v>-24.1</c:v>
                </c:pt>
                <c:pt idx="394">
                  <c:v>-23.4</c:v>
                </c:pt>
                <c:pt idx="395">
                  <c:v>-19.5</c:v>
                </c:pt>
                <c:pt idx="396">
                  <c:v>-22.9</c:v>
                </c:pt>
                <c:pt idx="397">
                  <c:v>-25.4</c:v>
                </c:pt>
                <c:pt idx="398">
                  <c:v>-26.3</c:v>
                </c:pt>
                <c:pt idx="399">
                  <c:v>-20.100000000000001</c:v>
                </c:pt>
                <c:pt idx="400">
                  <c:v>-20.2</c:v>
                </c:pt>
                <c:pt idx="401">
                  <c:v>-17.899999999999999</c:v>
                </c:pt>
                <c:pt idx="402">
                  <c:v>-15</c:v>
                </c:pt>
                <c:pt idx="403">
                  <c:v>-15.1</c:v>
                </c:pt>
                <c:pt idx="404">
                  <c:v>-14.4</c:v>
                </c:pt>
                <c:pt idx="405">
                  <c:v>-13.8</c:v>
                </c:pt>
                <c:pt idx="406">
                  <c:v>-10.8</c:v>
                </c:pt>
                <c:pt idx="407">
                  <c:v>-5.5</c:v>
                </c:pt>
                <c:pt idx="408">
                  <c:v>-11.1</c:v>
                </c:pt>
                <c:pt idx="409">
                  <c:v>-9.6999999999999993</c:v>
                </c:pt>
                <c:pt idx="410">
                  <c:v>-8.3000000000000007</c:v>
                </c:pt>
                <c:pt idx="411">
                  <c:v>-8.4</c:v>
                </c:pt>
                <c:pt idx="412">
                  <c:v>-8.5</c:v>
                </c:pt>
                <c:pt idx="413">
                  <c:v>-11.8</c:v>
                </c:pt>
                <c:pt idx="414">
                  <c:v>-11.9</c:v>
                </c:pt>
                <c:pt idx="415">
                  <c:v>-9.6999999999999993</c:v>
                </c:pt>
                <c:pt idx="416">
                  <c:v>-14.6</c:v>
                </c:pt>
                <c:pt idx="417">
                  <c:v>-21.6</c:v>
                </c:pt>
                <c:pt idx="418">
                  <c:v>-32.5</c:v>
                </c:pt>
                <c:pt idx="419">
                  <c:v>-35.6</c:v>
                </c:pt>
                <c:pt idx="420">
                  <c:v>-38.700000000000003</c:v>
                </c:pt>
                <c:pt idx="421">
                  <c:v>-39.700000000000003</c:v>
                </c:pt>
                <c:pt idx="422">
                  <c:v>-39.799999999999997</c:v>
                </c:pt>
                <c:pt idx="423">
                  <c:v>-41.4</c:v>
                </c:pt>
                <c:pt idx="424">
                  <c:v>-42.2</c:v>
                </c:pt>
                <c:pt idx="425">
                  <c:v>-41.5</c:v>
                </c:pt>
                <c:pt idx="426">
                  <c:v>-37.1</c:v>
                </c:pt>
                <c:pt idx="427">
                  <c:v>-33.4</c:v>
                </c:pt>
                <c:pt idx="428">
                  <c:v>-32</c:v>
                </c:pt>
                <c:pt idx="429">
                  <c:v>-27.6</c:v>
                </c:pt>
                <c:pt idx="430">
                  <c:v>-22.4</c:v>
                </c:pt>
                <c:pt idx="431">
                  <c:v>-21.8</c:v>
                </c:pt>
                <c:pt idx="432">
                  <c:v>-24.2</c:v>
                </c:pt>
                <c:pt idx="433">
                  <c:v>-25.8</c:v>
                </c:pt>
                <c:pt idx="434">
                  <c:v>-26.7</c:v>
                </c:pt>
                <c:pt idx="435">
                  <c:v>-31.2</c:v>
                </c:pt>
                <c:pt idx="436">
                  <c:v>-31.4</c:v>
                </c:pt>
                <c:pt idx="437">
                  <c:v>-27</c:v>
                </c:pt>
                <c:pt idx="438">
                  <c:v>-24.9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32224"/>
        <c:axId val="50752512"/>
      </c:areaChart>
      <c:catAx>
        <c:axId val="1993322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752512"/>
        <c:crosses val="autoZero"/>
        <c:auto val="1"/>
        <c:lblAlgn val="ctr"/>
        <c:lblOffset val="100"/>
        <c:tickLblSkip val="36"/>
        <c:tickMarkSkip val="12"/>
        <c:noMultiLvlLbl val="0"/>
      </c:catAx>
      <c:valAx>
        <c:axId val="50752512"/>
        <c:scaling>
          <c:orientation val="minMax"/>
          <c:max val="60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332224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92052194543296E-2"/>
          <c:y val="6.9482607349519429E-2"/>
          <c:w val="0.86032028469750899"/>
          <c:h val="0.81009862081800643"/>
        </c:manualLayout>
      </c:layout>
      <c:lineChart>
        <c:grouping val="standard"/>
        <c:varyColors val="0"/>
        <c:ser>
          <c:idx val="0"/>
          <c:order val="0"/>
          <c:tx>
            <c:strRef>
              <c:f>'App2DataFig2.1-2.9'!$AA$1</c:f>
              <c:strCache>
                <c:ptCount val="1"/>
                <c:pt idx="0">
                  <c:v>Mfgprdvty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'App2DataFig2.1-2.9'!$A$127:$A$248</c:f>
              <c:numCache>
                <c:formatCode>General</c:formatCode>
                <c:ptCount val="122"/>
                <c:pt idx="0">
                  <c:v>1889</c:v>
                </c:pt>
                <c:pt idx="1">
                  <c:v>1890</c:v>
                </c:pt>
                <c:pt idx="2">
                  <c:v>1891</c:v>
                </c:pt>
                <c:pt idx="3">
                  <c:v>1892</c:v>
                </c:pt>
                <c:pt idx="4">
                  <c:v>1893</c:v>
                </c:pt>
                <c:pt idx="5">
                  <c:v>1894</c:v>
                </c:pt>
                <c:pt idx="6">
                  <c:v>1895</c:v>
                </c:pt>
                <c:pt idx="7">
                  <c:v>1896</c:v>
                </c:pt>
                <c:pt idx="8">
                  <c:v>1897</c:v>
                </c:pt>
                <c:pt idx="9">
                  <c:v>1898</c:v>
                </c:pt>
                <c:pt idx="10">
                  <c:v>1899</c:v>
                </c:pt>
                <c:pt idx="11">
                  <c:v>1900</c:v>
                </c:pt>
                <c:pt idx="12">
                  <c:v>1901</c:v>
                </c:pt>
                <c:pt idx="13">
                  <c:v>1902</c:v>
                </c:pt>
                <c:pt idx="14">
                  <c:v>1903</c:v>
                </c:pt>
                <c:pt idx="15">
                  <c:v>1904</c:v>
                </c:pt>
                <c:pt idx="16">
                  <c:v>1905</c:v>
                </c:pt>
                <c:pt idx="17">
                  <c:v>1906</c:v>
                </c:pt>
                <c:pt idx="18">
                  <c:v>1907</c:v>
                </c:pt>
                <c:pt idx="19">
                  <c:v>1908</c:v>
                </c:pt>
                <c:pt idx="20">
                  <c:v>1909</c:v>
                </c:pt>
                <c:pt idx="21">
                  <c:v>1910</c:v>
                </c:pt>
                <c:pt idx="22">
                  <c:v>1911</c:v>
                </c:pt>
                <c:pt idx="23">
                  <c:v>1912</c:v>
                </c:pt>
                <c:pt idx="24">
                  <c:v>1913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1917</c:v>
                </c:pt>
                <c:pt idx="29">
                  <c:v>1918</c:v>
                </c:pt>
                <c:pt idx="30">
                  <c:v>1919</c:v>
                </c:pt>
                <c:pt idx="31">
                  <c:v>1920</c:v>
                </c:pt>
                <c:pt idx="32">
                  <c:v>1921</c:v>
                </c:pt>
                <c:pt idx="33">
                  <c:v>1922</c:v>
                </c:pt>
                <c:pt idx="34">
                  <c:v>1923</c:v>
                </c:pt>
                <c:pt idx="35">
                  <c:v>1924</c:v>
                </c:pt>
                <c:pt idx="36">
                  <c:v>1925</c:v>
                </c:pt>
                <c:pt idx="37">
                  <c:v>1926</c:v>
                </c:pt>
                <c:pt idx="38">
                  <c:v>1927</c:v>
                </c:pt>
                <c:pt idx="39">
                  <c:v>1928</c:v>
                </c:pt>
                <c:pt idx="40">
                  <c:v>1929</c:v>
                </c:pt>
                <c:pt idx="41">
                  <c:v>1930</c:v>
                </c:pt>
                <c:pt idx="42">
                  <c:v>1931</c:v>
                </c:pt>
                <c:pt idx="43">
                  <c:v>1932</c:v>
                </c:pt>
                <c:pt idx="44">
                  <c:v>1933</c:v>
                </c:pt>
                <c:pt idx="45">
                  <c:v>1934</c:v>
                </c:pt>
                <c:pt idx="46">
                  <c:v>1935</c:v>
                </c:pt>
                <c:pt idx="47">
                  <c:v>1936</c:v>
                </c:pt>
                <c:pt idx="48">
                  <c:v>1937</c:v>
                </c:pt>
                <c:pt idx="49">
                  <c:v>1938</c:v>
                </c:pt>
                <c:pt idx="50">
                  <c:v>1939</c:v>
                </c:pt>
                <c:pt idx="51">
                  <c:v>1940</c:v>
                </c:pt>
                <c:pt idx="52">
                  <c:v>1941</c:v>
                </c:pt>
                <c:pt idx="53">
                  <c:v>1942</c:v>
                </c:pt>
                <c:pt idx="54">
                  <c:v>1943</c:v>
                </c:pt>
                <c:pt idx="55">
                  <c:v>1944</c:v>
                </c:pt>
                <c:pt idx="56">
                  <c:v>1945</c:v>
                </c:pt>
                <c:pt idx="57">
                  <c:v>1946</c:v>
                </c:pt>
                <c:pt idx="58">
                  <c:v>1947</c:v>
                </c:pt>
                <c:pt idx="59">
                  <c:v>1948</c:v>
                </c:pt>
                <c:pt idx="60">
                  <c:v>1949</c:v>
                </c:pt>
                <c:pt idx="61">
                  <c:v>1950</c:v>
                </c:pt>
                <c:pt idx="62">
                  <c:v>1951</c:v>
                </c:pt>
                <c:pt idx="63">
                  <c:v>1952</c:v>
                </c:pt>
                <c:pt idx="64">
                  <c:v>1953</c:v>
                </c:pt>
                <c:pt idx="65">
                  <c:v>1954</c:v>
                </c:pt>
                <c:pt idx="66">
                  <c:v>1955</c:v>
                </c:pt>
                <c:pt idx="67">
                  <c:v>1956</c:v>
                </c:pt>
                <c:pt idx="68">
                  <c:v>1957</c:v>
                </c:pt>
                <c:pt idx="69">
                  <c:v>1958</c:v>
                </c:pt>
                <c:pt idx="70">
                  <c:v>1959</c:v>
                </c:pt>
                <c:pt idx="71">
                  <c:v>1960</c:v>
                </c:pt>
                <c:pt idx="72">
                  <c:v>1961</c:v>
                </c:pt>
                <c:pt idx="73">
                  <c:v>1962</c:v>
                </c:pt>
                <c:pt idx="74">
                  <c:v>1963</c:v>
                </c:pt>
                <c:pt idx="75">
                  <c:v>1964</c:v>
                </c:pt>
                <c:pt idx="76">
                  <c:v>1965</c:v>
                </c:pt>
                <c:pt idx="77">
                  <c:v>1966</c:v>
                </c:pt>
                <c:pt idx="78">
                  <c:v>1967</c:v>
                </c:pt>
                <c:pt idx="79">
                  <c:v>1968</c:v>
                </c:pt>
                <c:pt idx="80">
                  <c:v>1969</c:v>
                </c:pt>
                <c:pt idx="81">
                  <c:v>1970</c:v>
                </c:pt>
                <c:pt idx="82">
                  <c:v>1971</c:v>
                </c:pt>
                <c:pt idx="83">
                  <c:v>1972</c:v>
                </c:pt>
                <c:pt idx="84">
                  <c:v>1973</c:v>
                </c:pt>
                <c:pt idx="85">
                  <c:v>1974</c:v>
                </c:pt>
                <c:pt idx="86">
                  <c:v>1975</c:v>
                </c:pt>
                <c:pt idx="87">
                  <c:v>1976</c:v>
                </c:pt>
                <c:pt idx="88">
                  <c:v>1977</c:v>
                </c:pt>
                <c:pt idx="89">
                  <c:v>1978</c:v>
                </c:pt>
                <c:pt idx="90">
                  <c:v>1979</c:v>
                </c:pt>
                <c:pt idx="91">
                  <c:v>1980</c:v>
                </c:pt>
                <c:pt idx="92">
                  <c:v>1981</c:v>
                </c:pt>
                <c:pt idx="93">
                  <c:v>1982</c:v>
                </c:pt>
                <c:pt idx="94">
                  <c:v>1983</c:v>
                </c:pt>
                <c:pt idx="95">
                  <c:v>1984</c:v>
                </c:pt>
                <c:pt idx="96">
                  <c:v>1985</c:v>
                </c:pt>
                <c:pt idx="97">
                  <c:v>1986</c:v>
                </c:pt>
                <c:pt idx="98">
                  <c:v>1987</c:v>
                </c:pt>
                <c:pt idx="99">
                  <c:v>1988</c:v>
                </c:pt>
                <c:pt idx="100">
                  <c:v>1989</c:v>
                </c:pt>
                <c:pt idx="101">
                  <c:v>1990</c:v>
                </c:pt>
                <c:pt idx="102">
                  <c:v>1991</c:v>
                </c:pt>
                <c:pt idx="103">
                  <c:v>1992</c:v>
                </c:pt>
                <c:pt idx="104">
                  <c:v>1993</c:v>
                </c:pt>
                <c:pt idx="105">
                  <c:v>1994</c:v>
                </c:pt>
                <c:pt idx="106">
                  <c:v>1995</c:v>
                </c:pt>
                <c:pt idx="107">
                  <c:v>1996</c:v>
                </c:pt>
                <c:pt idx="108">
                  <c:v>1997</c:v>
                </c:pt>
                <c:pt idx="109">
                  <c:v>1998</c:v>
                </c:pt>
                <c:pt idx="110">
                  <c:v>1999</c:v>
                </c:pt>
                <c:pt idx="111">
                  <c:v>2000</c:v>
                </c:pt>
                <c:pt idx="112">
                  <c:v>2001</c:v>
                </c:pt>
                <c:pt idx="113">
                  <c:v>2002</c:v>
                </c:pt>
                <c:pt idx="114">
                  <c:v>2003</c:v>
                </c:pt>
                <c:pt idx="115">
                  <c:v>2004</c:v>
                </c:pt>
                <c:pt idx="116">
                  <c:v>2005</c:v>
                </c:pt>
                <c:pt idx="117">
                  <c:v>2006</c:v>
                </c:pt>
                <c:pt idx="118">
                  <c:v>2007</c:v>
                </c:pt>
                <c:pt idx="119">
                  <c:v>2008</c:v>
                </c:pt>
                <c:pt idx="120">
                  <c:v>2009</c:v>
                </c:pt>
                <c:pt idx="121">
                  <c:v>2010</c:v>
                </c:pt>
              </c:numCache>
            </c:numRef>
          </c:cat>
          <c:val>
            <c:numRef>
              <c:f>'App2DataFig2.1-2.9'!$AA$127:$AA$248</c:f>
              <c:numCache>
                <c:formatCode>0.00</c:formatCode>
                <c:ptCount val="122"/>
                <c:pt idx="0">
                  <c:v>99.999999999999986</c:v>
                </c:pt>
                <c:pt idx="1">
                  <c:v>107.65765765765765</c:v>
                </c:pt>
                <c:pt idx="2">
                  <c:v>109.45945945945947</c:v>
                </c:pt>
                <c:pt idx="3">
                  <c:v>120.27027027027027</c:v>
                </c:pt>
                <c:pt idx="4">
                  <c:v>114.86486486486488</c:v>
                </c:pt>
                <c:pt idx="5">
                  <c:v>116.21621621621622</c:v>
                </c:pt>
                <c:pt idx="6">
                  <c:v>123.42342342342343</c:v>
                </c:pt>
                <c:pt idx="7">
                  <c:v>116.66666666666669</c:v>
                </c:pt>
                <c:pt idx="8">
                  <c:v>124.77477477477478</c:v>
                </c:pt>
                <c:pt idx="9">
                  <c:v>125.67567567567566</c:v>
                </c:pt>
                <c:pt idx="10">
                  <c:v>128.82882882882885</c:v>
                </c:pt>
                <c:pt idx="11">
                  <c:v>130.63063063063063</c:v>
                </c:pt>
                <c:pt idx="12">
                  <c:v>142.34234234234236</c:v>
                </c:pt>
                <c:pt idx="13">
                  <c:v>135.58558558558559</c:v>
                </c:pt>
                <c:pt idx="14">
                  <c:v>137.83783783783784</c:v>
                </c:pt>
                <c:pt idx="15">
                  <c:v>137.83783783783784</c:v>
                </c:pt>
                <c:pt idx="16">
                  <c:v>140.99099099099101</c:v>
                </c:pt>
                <c:pt idx="17">
                  <c:v>151.80180180180184</c:v>
                </c:pt>
                <c:pt idx="18">
                  <c:v>152.70270270270271</c:v>
                </c:pt>
                <c:pt idx="19">
                  <c:v>144.59459459459461</c:v>
                </c:pt>
                <c:pt idx="20">
                  <c:v>157.65765765765767</c:v>
                </c:pt>
                <c:pt idx="21">
                  <c:v>152.70270270270271</c:v>
                </c:pt>
                <c:pt idx="22">
                  <c:v>159.00900900900902</c:v>
                </c:pt>
                <c:pt idx="23">
                  <c:v>156.75675675675677</c:v>
                </c:pt>
                <c:pt idx="24">
                  <c:v>167.11711711711715</c:v>
                </c:pt>
                <c:pt idx="25">
                  <c:v>152.70270270270271</c:v>
                </c:pt>
                <c:pt idx="26">
                  <c:v>156.75675675675677</c:v>
                </c:pt>
                <c:pt idx="27">
                  <c:v>173.87387387387389</c:v>
                </c:pt>
                <c:pt idx="28">
                  <c:v>160.81081081081084</c:v>
                </c:pt>
                <c:pt idx="29">
                  <c:v>180.63063063063066</c:v>
                </c:pt>
                <c:pt idx="30">
                  <c:v>194.14414414414415</c:v>
                </c:pt>
                <c:pt idx="31">
                  <c:v>193.69369369369369</c:v>
                </c:pt>
                <c:pt idx="32">
                  <c:v>209.90990990990991</c:v>
                </c:pt>
                <c:pt idx="33">
                  <c:v>204.50450450450452</c:v>
                </c:pt>
                <c:pt idx="34">
                  <c:v>213.96396396396401</c:v>
                </c:pt>
                <c:pt idx="35">
                  <c:v>227.47747747747749</c:v>
                </c:pt>
                <c:pt idx="36">
                  <c:v>225.67567567567568</c:v>
                </c:pt>
                <c:pt idx="37">
                  <c:v>231.53153153153156</c:v>
                </c:pt>
                <c:pt idx="38">
                  <c:v>232.43243243243245</c:v>
                </c:pt>
                <c:pt idx="39">
                  <c:v>234.23423423423426</c:v>
                </c:pt>
                <c:pt idx="40">
                  <c:v>243.69369369369375</c:v>
                </c:pt>
                <c:pt idx="41">
                  <c:v>236.48648648648651</c:v>
                </c:pt>
                <c:pt idx="42">
                  <c:v>240.09009009009011</c:v>
                </c:pt>
                <c:pt idx="43">
                  <c:v>232.43243243243245</c:v>
                </c:pt>
                <c:pt idx="44">
                  <c:v>227.02702702702703</c:v>
                </c:pt>
                <c:pt idx="45">
                  <c:v>251.80180180180179</c:v>
                </c:pt>
                <c:pt idx="46">
                  <c:v>259.90990990990991</c:v>
                </c:pt>
                <c:pt idx="47">
                  <c:v>271.17117117117118</c:v>
                </c:pt>
                <c:pt idx="48">
                  <c:v>268.91891891891896</c:v>
                </c:pt>
                <c:pt idx="49">
                  <c:v>276.5765765765766</c:v>
                </c:pt>
                <c:pt idx="50">
                  <c:v>286.48648648648657</c:v>
                </c:pt>
                <c:pt idx="51">
                  <c:v>297.74774774774772</c:v>
                </c:pt>
                <c:pt idx="52">
                  <c:v>302.70270270270271</c:v>
                </c:pt>
                <c:pt idx="53">
                  <c:v>300.45045045045043</c:v>
                </c:pt>
                <c:pt idx="54">
                  <c:v>303.60360360360369</c:v>
                </c:pt>
                <c:pt idx="55">
                  <c:v>327.47747747747746</c:v>
                </c:pt>
                <c:pt idx="56">
                  <c:v>345.94594594594599</c:v>
                </c:pt>
                <c:pt idx="57">
                  <c:v>330.18018018018017</c:v>
                </c:pt>
                <c:pt idx="58">
                  <c:v>327.92792792792795</c:v>
                </c:pt>
                <c:pt idx="59">
                  <c:v>336.93693693693695</c:v>
                </c:pt>
                <c:pt idx="60">
                  <c:v>353.15315315315326</c:v>
                </c:pt>
                <c:pt idx="61">
                  <c:v>377.47747747747752</c:v>
                </c:pt>
                <c:pt idx="62">
                  <c:v>391.02795102795096</c:v>
                </c:pt>
                <c:pt idx="63">
                  <c:v>398.77107877107881</c:v>
                </c:pt>
                <c:pt idx="64">
                  <c:v>404.57842457842452</c:v>
                </c:pt>
                <c:pt idx="65">
                  <c:v>412.32155232155236</c:v>
                </c:pt>
                <c:pt idx="66">
                  <c:v>431.67937167937163</c:v>
                </c:pt>
                <c:pt idx="67">
                  <c:v>422.00046200046194</c:v>
                </c:pt>
                <c:pt idx="68">
                  <c:v>433.61515361515364</c:v>
                </c:pt>
                <c:pt idx="69">
                  <c:v>435.55093555093549</c:v>
                </c:pt>
                <c:pt idx="70">
                  <c:v>454.90875490875482</c:v>
                </c:pt>
                <c:pt idx="71">
                  <c:v>458.78031878031868</c:v>
                </c:pt>
                <c:pt idx="72">
                  <c:v>470.39501039501033</c:v>
                </c:pt>
                <c:pt idx="73">
                  <c:v>493.62439362439352</c:v>
                </c:pt>
                <c:pt idx="74">
                  <c:v>526.53268653268651</c:v>
                </c:pt>
                <c:pt idx="75">
                  <c:v>553.63363363363362</c:v>
                </c:pt>
                <c:pt idx="76">
                  <c:v>572.99145299145289</c:v>
                </c:pt>
                <c:pt idx="77">
                  <c:v>584.60614460614454</c:v>
                </c:pt>
                <c:pt idx="78">
                  <c:v>584.60614460614454</c:v>
                </c:pt>
                <c:pt idx="79">
                  <c:v>607.83552783552773</c:v>
                </c:pt>
                <c:pt idx="80">
                  <c:v>615.57865557865557</c:v>
                </c:pt>
                <c:pt idx="81">
                  <c:v>617.51443751443742</c:v>
                </c:pt>
                <c:pt idx="82">
                  <c:v>658.16585816585814</c:v>
                </c:pt>
                <c:pt idx="83">
                  <c:v>685.26680526680525</c:v>
                </c:pt>
                <c:pt idx="84">
                  <c:v>720.1108801108802</c:v>
                </c:pt>
                <c:pt idx="85">
                  <c:v>702.68884268884256</c:v>
                </c:pt>
                <c:pt idx="86">
                  <c:v>727.85400785400793</c:v>
                </c:pt>
                <c:pt idx="87">
                  <c:v>766.56964656964647</c:v>
                </c:pt>
                <c:pt idx="88">
                  <c:v>795.60637560637542</c:v>
                </c:pt>
                <c:pt idx="89">
                  <c:v>803.34950334950327</c:v>
                </c:pt>
                <c:pt idx="90">
                  <c:v>813.02841302841284</c:v>
                </c:pt>
                <c:pt idx="91">
                  <c:v>807.2210672210673</c:v>
                </c:pt>
                <c:pt idx="92">
                  <c:v>851.7440517440516</c:v>
                </c:pt>
                <c:pt idx="93">
                  <c:v>859.48717948717956</c:v>
                </c:pt>
                <c:pt idx="94">
                  <c:v>919.49641949641955</c:v>
                </c:pt>
                <c:pt idx="95">
                  <c:v>944.66158466158447</c:v>
                </c:pt>
                <c:pt idx="96">
                  <c:v>979.50565950565931</c:v>
                </c:pt>
                <c:pt idx="97">
                  <c:v>994.991914991915</c:v>
                </c:pt>
                <c:pt idx="98">
                  <c:v>1064.6800646800646</c:v>
                </c:pt>
                <c:pt idx="99">
                  <c:v>1105.3314853314853</c:v>
                </c:pt>
                <c:pt idx="100">
                  <c:v>1111.1388311388312</c:v>
                </c:pt>
                <c:pt idx="101">
                  <c:v>1124.6893046893047</c:v>
                </c:pt>
                <c:pt idx="102">
                  <c:v>1155.6618156618156</c:v>
                </c:pt>
                <c:pt idx="103">
                  <c:v>1200.1848001848</c:v>
                </c:pt>
                <c:pt idx="104">
                  <c:v>1231.1573111573111</c:v>
                </c:pt>
                <c:pt idx="105">
                  <c:v>1283.4234234234234</c:v>
                </c:pt>
                <c:pt idx="106">
                  <c:v>1326.0106260106259</c:v>
                </c:pt>
                <c:pt idx="107">
                  <c:v>1372.4693924693925</c:v>
                </c:pt>
                <c:pt idx="108">
                  <c:v>1428.6070686070684</c:v>
                </c:pt>
                <c:pt idx="109">
                  <c:v>1504.1025641025637</c:v>
                </c:pt>
                <c:pt idx="110">
                  <c:v>1595.0843150843152</c:v>
                </c:pt>
                <c:pt idx="111">
                  <c:v>1718.9743589743591</c:v>
                </c:pt>
                <c:pt idx="112">
                  <c:v>1755.7542157542155</c:v>
                </c:pt>
                <c:pt idx="113">
                  <c:v>1935.7819357819355</c:v>
                </c:pt>
                <c:pt idx="114">
                  <c:v>2094.5160545160543</c:v>
                </c:pt>
                <c:pt idx="115">
                  <c:v>2274.5437745437744</c:v>
                </c:pt>
                <c:pt idx="116">
                  <c:v>2377.1402171402169</c:v>
                </c:pt>
                <c:pt idx="117">
                  <c:v>2462.3146223146223</c:v>
                </c:pt>
                <c:pt idx="118">
                  <c:v>2617.1771771771769</c:v>
                </c:pt>
                <c:pt idx="119">
                  <c:v>2626.8560868560867</c:v>
                </c:pt>
                <c:pt idx="120">
                  <c:v>2830.1131901131898</c:v>
                </c:pt>
                <c:pt idx="121">
                  <c:v>2891.2008414668621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'App2DataFig2.1-2.9'!$AG$1</c:f>
              <c:strCache>
                <c:ptCount val="1"/>
                <c:pt idx="0">
                  <c:v>mfgprdwkrecrealindex</c:v>
                </c:pt>
              </c:strCache>
            </c:strRef>
          </c:tx>
          <c:spPr>
            <a:ln w="381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'App2DataFig2.1-2.9'!$A$127:$A$248</c:f>
              <c:numCache>
                <c:formatCode>General</c:formatCode>
                <c:ptCount val="122"/>
                <c:pt idx="0">
                  <c:v>1889</c:v>
                </c:pt>
                <c:pt idx="1">
                  <c:v>1890</c:v>
                </c:pt>
                <c:pt idx="2">
                  <c:v>1891</c:v>
                </c:pt>
                <c:pt idx="3">
                  <c:v>1892</c:v>
                </c:pt>
                <c:pt idx="4">
                  <c:v>1893</c:v>
                </c:pt>
                <c:pt idx="5">
                  <c:v>1894</c:v>
                </c:pt>
                <c:pt idx="6">
                  <c:v>1895</c:v>
                </c:pt>
                <c:pt idx="7">
                  <c:v>1896</c:v>
                </c:pt>
                <c:pt idx="8">
                  <c:v>1897</c:v>
                </c:pt>
                <c:pt idx="9">
                  <c:v>1898</c:v>
                </c:pt>
                <c:pt idx="10">
                  <c:v>1899</c:v>
                </c:pt>
                <c:pt idx="11">
                  <c:v>1900</c:v>
                </c:pt>
                <c:pt idx="12">
                  <c:v>1901</c:v>
                </c:pt>
                <c:pt idx="13">
                  <c:v>1902</c:v>
                </c:pt>
                <c:pt idx="14">
                  <c:v>1903</c:v>
                </c:pt>
                <c:pt idx="15">
                  <c:v>1904</c:v>
                </c:pt>
                <c:pt idx="16">
                  <c:v>1905</c:v>
                </c:pt>
                <c:pt idx="17">
                  <c:v>1906</c:v>
                </c:pt>
                <c:pt idx="18">
                  <c:v>1907</c:v>
                </c:pt>
                <c:pt idx="19">
                  <c:v>1908</c:v>
                </c:pt>
                <c:pt idx="20">
                  <c:v>1909</c:v>
                </c:pt>
                <c:pt idx="21">
                  <c:v>1910</c:v>
                </c:pt>
                <c:pt idx="22">
                  <c:v>1911</c:v>
                </c:pt>
                <c:pt idx="23">
                  <c:v>1912</c:v>
                </c:pt>
                <c:pt idx="24">
                  <c:v>1913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1917</c:v>
                </c:pt>
                <c:pt idx="29">
                  <c:v>1918</c:v>
                </c:pt>
                <c:pt idx="30">
                  <c:v>1919</c:v>
                </c:pt>
                <c:pt idx="31">
                  <c:v>1920</c:v>
                </c:pt>
                <c:pt idx="32">
                  <c:v>1921</c:v>
                </c:pt>
                <c:pt idx="33">
                  <c:v>1922</c:v>
                </c:pt>
                <c:pt idx="34">
                  <c:v>1923</c:v>
                </c:pt>
                <c:pt idx="35">
                  <c:v>1924</c:v>
                </c:pt>
                <c:pt idx="36">
                  <c:v>1925</c:v>
                </c:pt>
                <c:pt idx="37">
                  <c:v>1926</c:v>
                </c:pt>
                <c:pt idx="38">
                  <c:v>1927</c:v>
                </c:pt>
                <c:pt idx="39">
                  <c:v>1928</c:v>
                </c:pt>
                <c:pt idx="40">
                  <c:v>1929</c:v>
                </c:pt>
                <c:pt idx="41">
                  <c:v>1930</c:v>
                </c:pt>
                <c:pt idx="42">
                  <c:v>1931</c:v>
                </c:pt>
                <c:pt idx="43">
                  <c:v>1932</c:v>
                </c:pt>
                <c:pt idx="44">
                  <c:v>1933</c:v>
                </c:pt>
                <c:pt idx="45">
                  <c:v>1934</c:v>
                </c:pt>
                <c:pt idx="46">
                  <c:v>1935</c:v>
                </c:pt>
                <c:pt idx="47">
                  <c:v>1936</c:v>
                </c:pt>
                <c:pt idx="48">
                  <c:v>1937</c:v>
                </c:pt>
                <c:pt idx="49">
                  <c:v>1938</c:v>
                </c:pt>
                <c:pt idx="50">
                  <c:v>1939</c:v>
                </c:pt>
                <c:pt idx="51">
                  <c:v>1940</c:v>
                </c:pt>
                <c:pt idx="52">
                  <c:v>1941</c:v>
                </c:pt>
                <c:pt idx="53">
                  <c:v>1942</c:v>
                </c:pt>
                <c:pt idx="54">
                  <c:v>1943</c:v>
                </c:pt>
                <c:pt idx="55">
                  <c:v>1944</c:v>
                </c:pt>
                <c:pt idx="56">
                  <c:v>1945</c:v>
                </c:pt>
                <c:pt idx="57">
                  <c:v>1946</c:v>
                </c:pt>
                <c:pt idx="58">
                  <c:v>1947</c:v>
                </c:pt>
                <c:pt idx="59">
                  <c:v>1948</c:v>
                </c:pt>
                <c:pt idx="60">
                  <c:v>1949</c:v>
                </c:pt>
                <c:pt idx="61">
                  <c:v>1950</c:v>
                </c:pt>
                <c:pt idx="62">
                  <c:v>1951</c:v>
                </c:pt>
                <c:pt idx="63">
                  <c:v>1952</c:v>
                </c:pt>
                <c:pt idx="64">
                  <c:v>1953</c:v>
                </c:pt>
                <c:pt idx="65">
                  <c:v>1954</c:v>
                </c:pt>
                <c:pt idx="66">
                  <c:v>1955</c:v>
                </c:pt>
                <c:pt idx="67">
                  <c:v>1956</c:v>
                </c:pt>
                <c:pt idx="68">
                  <c:v>1957</c:v>
                </c:pt>
                <c:pt idx="69">
                  <c:v>1958</c:v>
                </c:pt>
                <c:pt idx="70">
                  <c:v>1959</c:v>
                </c:pt>
                <c:pt idx="71">
                  <c:v>1960</c:v>
                </c:pt>
                <c:pt idx="72">
                  <c:v>1961</c:v>
                </c:pt>
                <c:pt idx="73">
                  <c:v>1962</c:v>
                </c:pt>
                <c:pt idx="74">
                  <c:v>1963</c:v>
                </c:pt>
                <c:pt idx="75">
                  <c:v>1964</c:v>
                </c:pt>
                <c:pt idx="76">
                  <c:v>1965</c:v>
                </c:pt>
                <c:pt idx="77">
                  <c:v>1966</c:v>
                </c:pt>
                <c:pt idx="78">
                  <c:v>1967</c:v>
                </c:pt>
                <c:pt idx="79">
                  <c:v>1968</c:v>
                </c:pt>
                <c:pt idx="80">
                  <c:v>1969</c:v>
                </c:pt>
                <c:pt idx="81">
                  <c:v>1970</c:v>
                </c:pt>
                <c:pt idx="82">
                  <c:v>1971</c:v>
                </c:pt>
                <c:pt idx="83">
                  <c:v>1972</c:v>
                </c:pt>
                <c:pt idx="84">
                  <c:v>1973</c:v>
                </c:pt>
                <c:pt idx="85">
                  <c:v>1974</c:v>
                </c:pt>
                <c:pt idx="86">
                  <c:v>1975</c:v>
                </c:pt>
                <c:pt idx="87">
                  <c:v>1976</c:v>
                </c:pt>
                <c:pt idx="88">
                  <c:v>1977</c:v>
                </c:pt>
                <c:pt idx="89">
                  <c:v>1978</c:v>
                </c:pt>
                <c:pt idx="90">
                  <c:v>1979</c:v>
                </c:pt>
                <c:pt idx="91">
                  <c:v>1980</c:v>
                </c:pt>
                <c:pt idx="92">
                  <c:v>1981</c:v>
                </c:pt>
                <c:pt idx="93">
                  <c:v>1982</c:v>
                </c:pt>
                <c:pt idx="94">
                  <c:v>1983</c:v>
                </c:pt>
                <c:pt idx="95">
                  <c:v>1984</c:v>
                </c:pt>
                <c:pt idx="96">
                  <c:v>1985</c:v>
                </c:pt>
                <c:pt idx="97">
                  <c:v>1986</c:v>
                </c:pt>
                <c:pt idx="98">
                  <c:v>1987</c:v>
                </c:pt>
                <c:pt idx="99">
                  <c:v>1988</c:v>
                </c:pt>
                <c:pt idx="100">
                  <c:v>1989</c:v>
                </c:pt>
                <c:pt idx="101">
                  <c:v>1990</c:v>
                </c:pt>
                <c:pt idx="102">
                  <c:v>1991</c:v>
                </c:pt>
                <c:pt idx="103">
                  <c:v>1992</c:v>
                </c:pt>
                <c:pt idx="104">
                  <c:v>1993</c:v>
                </c:pt>
                <c:pt idx="105">
                  <c:v>1994</c:v>
                </c:pt>
                <c:pt idx="106">
                  <c:v>1995</c:v>
                </c:pt>
                <c:pt idx="107">
                  <c:v>1996</c:v>
                </c:pt>
                <c:pt idx="108">
                  <c:v>1997</c:v>
                </c:pt>
                <c:pt idx="109">
                  <c:v>1998</c:v>
                </c:pt>
                <c:pt idx="110">
                  <c:v>1999</c:v>
                </c:pt>
                <c:pt idx="111">
                  <c:v>2000</c:v>
                </c:pt>
                <c:pt idx="112">
                  <c:v>2001</c:v>
                </c:pt>
                <c:pt idx="113">
                  <c:v>2002</c:v>
                </c:pt>
                <c:pt idx="114">
                  <c:v>2003</c:v>
                </c:pt>
                <c:pt idx="115">
                  <c:v>2004</c:v>
                </c:pt>
                <c:pt idx="116">
                  <c:v>2005</c:v>
                </c:pt>
                <c:pt idx="117">
                  <c:v>2006</c:v>
                </c:pt>
                <c:pt idx="118">
                  <c:v>2007</c:v>
                </c:pt>
                <c:pt idx="119">
                  <c:v>2008</c:v>
                </c:pt>
                <c:pt idx="120">
                  <c:v>2009</c:v>
                </c:pt>
                <c:pt idx="121">
                  <c:v>2010</c:v>
                </c:pt>
              </c:numCache>
            </c:numRef>
          </c:cat>
          <c:val>
            <c:numRef>
              <c:f>'App2DataFig2.1-2.9'!$AG$127:$AG$248</c:f>
              <c:numCache>
                <c:formatCode>0.00</c:formatCode>
                <c:ptCount val="122"/>
                <c:pt idx="0">
                  <c:v>99.999999999999986</c:v>
                </c:pt>
                <c:pt idx="1">
                  <c:v>101.13378684807255</c:v>
                </c:pt>
                <c:pt idx="2">
                  <c:v>101.13378684807255</c:v>
                </c:pt>
                <c:pt idx="3">
                  <c:v>101.13378684807255</c:v>
                </c:pt>
                <c:pt idx="4">
                  <c:v>110.1623147494707</c:v>
                </c:pt>
                <c:pt idx="5">
                  <c:v>106.95443645083932</c:v>
                </c:pt>
                <c:pt idx="6">
                  <c:v>109.58230958230956</c:v>
                </c:pt>
                <c:pt idx="7">
                  <c:v>109.58230958230956</c:v>
                </c:pt>
                <c:pt idx="8">
                  <c:v>110.94527363184081</c:v>
                </c:pt>
                <c:pt idx="9">
                  <c:v>110.94527363184081</c:v>
                </c:pt>
                <c:pt idx="10">
                  <c:v>110.94527363184081</c:v>
                </c:pt>
                <c:pt idx="11">
                  <c:v>118.011718011718</c:v>
                </c:pt>
                <c:pt idx="12">
                  <c:v>116.57953696788648</c:v>
                </c:pt>
                <c:pt idx="13">
                  <c:v>123.40896513558384</c:v>
                </c:pt>
                <c:pt idx="14">
                  <c:v>120.66011362611597</c:v>
                </c:pt>
                <c:pt idx="15">
                  <c:v>119.26196630715748</c:v>
                </c:pt>
                <c:pt idx="16">
                  <c:v>128.70412120119036</c:v>
                </c:pt>
                <c:pt idx="17">
                  <c:v>125.89978828510935</c:v>
                </c:pt>
                <c:pt idx="18">
                  <c:v>128.04188128008104</c:v>
                </c:pt>
                <c:pt idx="19">
                  <c:v>123.07692307692307</c:v>
                </c:pt>
                <c:pt idx="20">
                  <c:v>132.25187510901796</c:v>
                </c:pt>
                <c:pt idx="21">
                  <c:v>134.10172889000248</c:v>
                </c:pt>
                <c:pt idx="22">
                  <c:v>134.10172889000248</c:v>
                </c:pt>
                <c:pt idx="23">
                  <c:v>138.69067103109654</c:v>
                </c:pt>
                <c:pt idx="24">
                  <c:v>142.94871794871793</c:v>
                </c:pt>
                <c:pt idx="25">
                  <c:v>141.62102087798681</c:v>
                </c:pt>
                <c:pt idx="26">
                  <c:v>140.89401358395196</c:v>
                </c:pt>
                <c:pt idx="27">
                  <c:v>154.77154424522845</c:v>
                </c:pt>
                <c:pt idx="28">
                  <c:v>155.21420856834268</c:v>
                </c:pt>
                <c:pt idx="29">
                  <c:v>164.02083971805087</c:v>
                </c:pt>
                <c:pt idx="30">
                  <c:v>170.54690973766117</c:v>
                </c:pt>
                <c:pt idx="31">
                  <c:v>184.89175495163519</c:v>
                </c:pt>
                <c:pt idx="32">
                  <c:v>183.9965620971208</c:v>
                </c:pt>
                <c:pt idx="33">
                  <c:v>180.0284390624283</c:v>
                </c:pt>
                <c:pt idx="34">
                  <c:v>192.9430850344734</c:v>
                </c:pt>
                <c:pt idx="35">
                  <c:v>204.6423751686909</c:v>
                </c:pt>
                <c:pt idx="36">
                  <c:v>195.70845583395496</c:v>
                </c:pt>
                <c:pt idx="37">
                  <c:v>197.70534550195563</c:v>
                </c:pt>
                <c:pt idx="38">
                  <c:v>205.41162924582613</c:v>
                </c:pt>
                <c:pt idx="39">
                  <c:v>208.28955049620546</c:v>
                </c:pt>
                <c:pt idx="40">
                  <c:v>208.28955049620546</c:v>
                </c:pt>
                <c:pt idx="41">
                  <c:v>217.76140027637032</c:v>
                </c:pt>
                <c:pt idx="42">
                  <c:v>229.76918026162934</c:v>
                </c:pt>
                <c:pt idx="43">
                  <c:v>226.03896835229193</c:v>
                </c:pt>
                <c:pt idx="44">
                  <c:v>232.9534662867996</c:v>
                </c:pt>
                <c:pt idx="45">
                  <c:v>271.59188832079047</c:v>
                </c:pt>
                <c:pt idx="46">
                  <c:v>269.86385791921111</c:v>
                </c:pt>
                <c:pt idx="47">
                  <c:v>272.28327228327225</c:v>
                </c:pt>
                <c:pt idx="48">
                  <c:v>301.0284979644311</c:v>
                </c:pt>
                <c:pt idx="49">
                  <c:v>311.66675765682157</c:v>
                </c:pt>
                <c:pt idx="50">
                  <c:v>316.15439995569585</c:v>
                </c:pt>
                <c:pt idx="51">
                  <c:v>327.67147321673338</c:v>
                </c:pt>
                <c:pt idx="52">
                  <c:v>344.70729542012629</c:v>
                </c:pt>
                <c:pt idx="53">
                  <c:v>362.01982067012739</c:v>
                </c:pt>
                <c:pt idx="54">
                  <c:v>388.68830591373944</c:v>
                </c:pt>
                <c:pt idx="55">
                  <c:v>409.35314685314671</c:v>
                </c:pt>
                <c:pt idx="56">
                  <c:v>404.06837606837604</c:v>
                </c:pt>
                <c:pt idx="57">
                  <c:v>396.80340130698369</c:v>
                </c:pt>
                <c:pt idx="58">
                  <c:v>399.28379588182634</c:v>
                </c:pt>
                <c:pt idx="59">
                  <c:v>401.77613084589831</c:v>
                </c:pt>
                <c:pt idx="60">
                  <c:v>420.03547814868557</c:v>
                </c:pt>
                <c:pt idx="61">
                  <c:v>441.66879631995909</c:v>
                </c:pt>
                <c:pt idx="62">
                  <c:v>454.26659560608744</c:v>
                </c:pt>
                <c:pt idx="63">
                  <c:v>472.94219904389394</c:v>
                </c:pt>
                <c:pt idx="64">
                  <c:v>497.62185478073326</c:v>
                </c:pt>
                <c:pt idx="65">
                  <c:v>502.87316849816847</c:v>
                </c:pt>
                <c:pt idx="66">
                  <c:v>525.24846326190595</c:v>
                </c:pt>
                <c:pt idx="67">
                  <c:v>545.28782475802325</c:v>
                </c:pt>
                <c:pt idx="68">
                  <c:v>545.99808717037843</c:v>
                </c:pt>
                <c:pt idx="69">
                  <c:v>567.04968613682297</c:v>
                </c:pt>
                <c:pt idx="70">
                  <c:v>576.50100242692838</c:v>
                </c:pt>
                <c:pt idx="71">
                  <c:v>588.39661351477685</c:v>
                </c:pt>
                <c:pt idx="72">
                  <c:v>596.2566844919786</c:v>
                </c:pt>
                <c:pt idx="73">
                  <c:v>614.49997457928714</c:v>
                </c:pt>
                <c:pt idx="74">
                  <c:v>634.16570366276414</c:v>
                </c:pt>
                <c:pt idx="75">
                  <c:v>639.05401720419445</c:v>
                </c:pt>
                <c:pt idx="76">
                  <c:v>652.23749634396017</c:v>
                </c:pt>
                <c:pt idx="77">
                  <c:v>663.74709701881602</c:v>
                </c:pt>
                <c:pt idx="78">
                  <c:v>675.88208198986638</c:v>
                </c:pt>
                <c:pt idx="79">
                  <c:v>694.0406719717065</c:v>
                </c:pt>
                <c:pt idx="80">
                  <c:v>696.07098655366997</c:v>
                </c:pt>
                <c:pt idx="81">
                  <c:v>694.28028202487496</c:v>
                </c:pt>
                <c:pt idx="82">
                  <c:v>721.55403224275108</c:v>
                </c:pt>
                <c:pt idx="83">
                  <c:v>752.55583126550869</c:v>
                </c:pt>
                <c:pt idx="84">
                  <c:v>764.10833261226946</c:v>
                </c:pt>
                <c:pt idx="85">
                  <c:v>756.67482730122094</c:v>
                </c:pt>
                <c:pt idx="86">
                  <c:v>767.20768087781448</c:v>
                </c:pt>
                <c:pt idx="87">
                  <c:v>786.8957877387802</c:v>
                </c:pt>
                <c:pt idx="88">
                  <c:v>809.43738656987296</c:v>
                </c:pt>
                <c:pt idx="89">
                  <c:v>817.45099426792137</c:v>
                </c:pt>
                <c:pt idx="90">
                  <c:v>788.55216713835989</c:v>
                </c:pt>
                <c:pt idx="91">
                  <c:v>759.61678525407569</c:v>
                </c:pt>
                <c:pt idx="92">
                  <c:v>754.59567376426492</c:v>
                </c:pt>
                <c:pt idx="93">
                  <c:v>767.92347548824227</c:v>
                </c:pt>
                <c:pt idx="94">
                  <c:v>772.95644114921208</c:v>
                </c:pt>
                <c:pt idx="95">
                  <c:v>777.94921151995254</c:v>
                </c:pt>
                <c:pt idx="96">
                  <c:v>797.11181012296242</c:v>
                </c:pt>
                <c:pt idx="97">
                  <c:v>807.60808534531157</c:v>
                </c:pt>
                <c:pt idx="98">
                  <c:v>788.23131094257849</c:v>
                </c:pt>
                <c:pt idx="99">
                  <c:v>787.65589440145641</c:v>
                </c:pt>
                <c:pt idx="100">
                  <c:v>774.68982630272956</c:v>
                </c:pt>
                <c:pt idx="101">
                  <c:v>756.50167735860168</c:v>
                </c:pt>
                <c:pt idx="102">
                  <c:v>752.14955382356266</c:v>
                </c:pt>
                <c:pt idx="103">
                  <c:v>764.40375020560327</c:v>
                </c:pt>
                <c:pt idx="104">
                  <c:v>765.45328719723182</c:v>
                </c:pt>
                <c:pt idx="105">
                  <c:v>766.71441918405469</c:v>
                </c:pt>
                <c:pt idx="106">
                  <c:v>750.08681607106803</c:v>
                </c:pt>
                <c:pt idx="107">
                  <c:v>736.4455557189782</c:v>
                </c:pt>
                <c:pt idx="108">
                  <c:v>774.648454349389</c:v>
                </c:pt>
                <c:pt idx="109">
                  <c:v>765.29306276545549</c:v>
                </c:pt>
                <c:pt idx="110">
                  <c:v>772.23196971096127</c:v>
                </c:pt>
                <c:pt idx="111">
                  <c:v>771.42499776646105</c:v>
                </c:pt>
                <c:pt idx="112">
                  <c:v>750.0812231247013</c:v>
                </c:pt>
                <c:pt idx="113">
                  <c:v>801.72061401633368</c:v>
                </c:pt>
                <c:pt idx="114">
                  <c:v>803.24749163879585</c:v>
                </c:pt>
                <c:pt idx="115">
                  <c:v>837.98672476279671</c:v>
                </c:pt>
                <c:pt idx="116">
                  <c:v>840.38914490527372</c:v>
                </c:pt>
                <c:pt idx="117">
                  <c:v>829.44291819291823</c:v>
                </c:pt>
                <c:pt idx="118">
                  <c:v>829.64584369040813</c:v>
                </c:pt>
                <c:pt idx="119">
                  <c:v>824.46818392940077</c:v>
                </c:pt>
                <c:pt idx="120">
                  <c:v>836.34394877053592</c:v>
                </c:pt>
                <c:pt idx="121">
                  <c:v>831.96861837602899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9552"/>
        <c:axId val="51321088"/>
      </c:lineChart>
      <c:catAx>
        <c:axId val="5131955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21088"/>
        <c:crossesAt val="10"/>
        <c:auto val="1"/>
        <c:lblAlgn val="ctr"/>
        <c:lblOffset val="100"/>
        <c:tickLblSkip val="10"/>
        <c:tickMarkSkip val="10"/>
        <c:noMultiLvlLbl val="0"/>
      </c:catAx>
      <c:valAx>
        <c:axId val="51321088"/>
        <c:scaling>
          <c:logBase val="10"/>
          <c:orientation val="minMax"/>
          <c:min val="1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19552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395017793594305E-2"/>
          <c:y val="6.4246844502611977E-2"/>
          <c:w val="0.87930011862396207"/>
          <c:h val="0.81664315284725908"/>
        </c:manualLayout>
      </c:layout>
      <c:lineChart>
        <c:grouping val="standard"/>
        <c:varyColors val="0"/>
        <c:ser>
          <c:idx val="0"/>
          <c:order val="0"/>
          <c:tx>
            <c:strRef>
              <c:f>'App2DataFig2.1-2.9'!$AH$17</c:f>
              <c:strCache>
                <c:ptCount val="1"/>
                <c:pt idx="0">
                  <c:v>Mfgrealunitlaborcost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'App2DataFig2.1-2.9'!$A$127:$A$248</c:f>
              <c:numCache>
                <c:formatCode>General</c:formatCode>
                <c:ptCount val="122"/>
                <c:pt idx="0">
                  <c:v>1889</c:v>
                </c:pt>
                <c:pt idx="1">
                  <c:v>1890</c:v>
                </c:pt>
                <c:pt idx="2">
                  <c:v>1891</c:v>
                </c:pt>
                <c:pt idx="3">
                  <c:v>1892</c:v>
                </c:pt>
                <c:pt idx="4">
                  <c:v>1893</c:v>
                </c:pt>
                <c:pt idx="5">
                  <c:v>1894</c:v>
                </c:pt>
                <c:pt idx="6">
                  <c:v>1895</c:v>
                </c:pt>
                <c:pt idx="7">
                  <c:v>1896</c:v>
                </c:pt>
                <c:pt idx="8">
                  <c:v>1897</c:v>
                </c:pt>
                <c:pt idx="9">
                  <c:v>1898</c:v>
                </c:pt>
                <c:pt idx="10">
                  <c:v>1899</c:v>
                </c:pt>
                <c:pt idx="11">
                  <c:v>1900</c:v>
                </c:pt>
                <c:pt idx="12">
                  <c:v>1901</c:v>
                </c:pt>
                <c:pt idx="13">
                  <c:v>1902</c:v>
                </c:pt>
                <c:pt idx="14">
                  <c:v>1903</c:v>
                </c:pt>
                <c:pt idx="15">
                  <c:v>1904</c:v>
                </c:pt>
                <c:pt idx="16">
                  <c:v>1905</c:v>
                </c:pt>
                <c:pt idx="17">
                  <c:v>1906</c:v>
                </c:pt>
                <c:pt idx="18">
                  <c:v>1907</c:v>
                </c:pt>
                <c:pt idx="19">
                  <c:v>1908</c:v>
                </c:pt>
                <c:pt idx="20">
                  <c:v>1909</c:v>
                </c:pt>
                <c:pt idx="21">
                  <c:v>1910</c:v>
                </c:pt>
                <c:pt idx="22">
                  <c:v>1911</c:v>
                </c:pt>
                <c:pt idx="23">
                  <c:v>1912</c:v>
                </c:pt>
                <c:pt idx="24">
                  <c:v>1913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1917</c:v>
                </c:pt>
                <c:pt idx="29">
                  <c:v>1918</c:v>
                </c:pt>
                <c:pt idx="30">
                  <c:v>1919</c:v>
                </c:pt>
                <c:pt idx="31">
                  <c:v>1920</c:v>
                </c:pt>
                <c:pt idx="32">
                  <c:v>1921</c:v>
                </c:pt>
                <c:pt idx="33">
                  <c:v>1922</c:v>
                </c:pt>
                <c:pt idx="34">
                  <c:v>1923</c:v>
                </c:pt>
                <c:pt idx="35">
                  <c:v>1924</c:v>
                </c:pt>
                <c:pt idx="36">
                  <c:v>1925</c:v>
                </c:pt>
                <c:pt idx="37">
                  <c:v>1926</c:v>
                </c:pt>
                <c:pt idx="38">
                  <c:v>1927</c:v>
                </c:pt>
                <c:pt idx="39">
                  <c:v>1928</c:v>
                </c:pt>
                <c:pt idx="40">
                  <c:v>1929</c:v>
                </c:pt>
                <c:pt idx="41">
                  <c:v>1930</c:v>
                </c:pt>
                <c:pt idx="42">
                  <c:v>1931</c:v>
                </c:pt>
                <c:pt idx="43">
                  <c:v>1932</c:v>
                </c:pt>
                <c:pt idx="44">
                  <c:v>1933</c:v>
                </c:pt>
                <c:pt idx="45">
                  <c:v>1934</c:v>
                </c:pt>
                <c:pt idx="46">
                  <c:v>1935</c:v>
                </c:pt>
                <c:pt idx="47">
                  <c:v>1936</c:v>
                </c:pt>
                <c:pt idx="48">
                  <c:v>1937</c:v>
                </c:pt>
                <c:pt idx="49">
                  <c:v>1938</c:v>
                </c:pt>
                <c:pt idx="50">
                  <c:v>1939</c:v>
                </c:pt>
                <c:pt idx="51">
                  <c:v>1940</c:v>
                </c:pt>
                <c:pt idx="52">
                  <c:v>1941</c:v>
                </c:pt>
                <c:pt idx="53">
                  <c:v>1942</c:v>
                </c:pt>
                <c:pt idx="54">
                  <c:v>1943</c:v>
                </c:pt>
                <c:pt idx="55">
                  <c:v>1944</c:v>
                </c:pt>
                <c:pt idx="56">
                  <c:v>1945</c:v>
                </c:pt>
                <c:pt idx="57">
                  <c:v>1946</c:v>
                </c:pt>
                <c:pt idx="58">
                  <c:v>1947</c:v>
                </c:pt>
                <c:pt idx="59">
                  <c:v>1948</c:v>
                </c:pt>
                <c:pt idx="60">
                  <c:v>1949</c:v>
                </c:pt>
                <c:pt idx="61">
                  <c:v>1950</c:v>
                </c:pt>
                <c:pt idx="62">
                  <c:v>1951</c:v>
                </c:pt>
                <c:pt idx="63">
                  <c:v>1952</c:v>
                </c:pt>
                <c:pt idx="64">
                  <c:v>1953</c:v>
                </c:pt>
                <c:pt idx="65">
                  <c:v>1954</c:v>
                </c:pt>
                <c:pt idx="66">
                  <c:v>1955</c:v>
                </c:pt>
                <c:pt idx="67">
                  <c:v>1956</c:v>
                </c:pt>
                <c:pt idx="68">
                  <c:v>1957</c:v>
                </c:pt>
                <c:pt idx="69">
                  <c:v>1958</c:v>
                </c:pt>
                <c:pt idx="70">
                  <c:v>1959</c:v>
                </c:pt>
                <c:pt idx="71">
                  <c:v>1960</c:v>
                </c:pt>
                <c:pt idx="72">
                  <c:v>1961</c:v>
                </c:pt>
                <c:pt idx="73">
                  <c:v>1962</c:v>
                </c:pt>
                <c:pt idx="74">
                  <c:v>1963</c:v>
                </c:pt>
                <c:pt idx="75">
                  <c:v>1964</c:v>
                </c:pt>
                <c:pt idx="76">
                  <c:v>1965</c:v>
                </c:pt>
                <c:pt idx="77">
                  <c:v>1966</c:v>
                </c:pt>
                <c:pt idx="78">
                  <c:v>1967</c:v>
                </c:pt>
                <c:pt idx="79">
                  <c:v>1968</c:v>
                </c:pt>
                <c:pt idx="80">
                  <c:v>1969</c:v>
                </c:pt>
                <c:pt idx="81">
                  <c:v>1970</c:v>
                </c:pt>
                <c:pt idx="82">
                  <c:v>1971</c:v>
                </c:pt>
                <c:pt idx="83">
                  <c:v>1972</c:v>
                </c:pt>
                <c:pt idx="84">
                  <c:v>1973</c:v>
                </c:pt>
                <c:pt idx="85">
                  <c:v>1974</c:v>
                </c:pt>
                <c:pt idx="86">
                  <c:v>1975</c:v>
                </c:pt>
                <c:pt idx="87">
                  <c:v>1976</c:v>
                </c:pt>
                <c:pt idx="88">
                  <c:v>1977</c:v>
                </c:pt>
                <c:pt idx="89">
                  <c:v>1978</c:v>
                </c:pt>
                <c:pt idx="90">
                  <c:v>1979</c:v>
                </c:pt>
                <c:pt idx="91">
                  <c:v>1980</c:v>
                </c:pt>
                <c:pt idx="92">
                  <c:v>1981</c:v>
                </c:pt>
                <c:pt idx="93">
                  <c:v>1982</c:v>
                </c:pt>
                <c:pt idx="94">
                  <c:v>1983</c:v>
                </c:pt>
                <c:pt idx="95">
                  <c:v>1984</c:v>
                </c:pt>
                <c:pt idx="96">
                  <c:v>1985</c:v>
                </c:pt>
                <c:pt idx="97">
                  <c:v>1986</c:v>
                </c:pt>
                <c:pt idx="98">
                  <c:v>1987</c:v>
                </c:pt>
                <c:pt idx="99">
                  <c:v>1988</c:v>
                </c:pt>
                <c:pt idx="100">
                  <c:v>1989</c:v>
                </c:pt>
                <c:pt idx="101">
                  <c:v>1990</c:v>
                </c:pt>
                <c:pt idx="102">
                  <c:v>1991</c:v>
                </c:pt>
                <c:pt idx="103">
                  <c:v>1992</c:v>
                </c:pt>
                <c:pt idx="104">
                  <c:v>1993</c:v>
                </c:pt>
                <c:pt idx="105">
                  <c:v>1994</c:v>
                </c:pt>
                <c:pt idx="106">
                  <c:v>1995</c:v>
                </c:pt>
                <c:pt idx="107">
                  <c:v>1996</c:v>
                </c:pt>
                <c:pt idx="108">
                  <c:v>1997</c:v>
                </c:pt>
                <c:pt idx="109">
                  <c:v>1998</c:v>
                </c:pt>
                <c:pt idx="110">
                  <c:v>1999</c:v>
                </c:pt>
                <c:pt idx="111">
                  <c:v>2000</c:v>
                </c:pt>
                <c:pt idx="112">
                  <c:v>2001</c:v>
                </c:pt>
                <c:pt idx="113">
                  <c:v>2002</c:v>
                </c:pt>
                <c:pt idx="114">
                  <c:v>2003</c:v>
                </c:pt>
                <c:pt idx="115">
                  <c:v>2004</c:v>
                </c:pt>
                <c:pt idx="116">
                  <c:v>2005</c:v>
                </c:pt>
                <c:pt idx="117">
                  <c:v>2006</c:v>
                </c:pt>
                <c:pt idx="118">
                  <c:v>2007</c:v>
                </c:pt>
                <c:pt idx="119">
                  <c:v>2008</c:v>
                </c:pt>
                <c:pt idx="120">
                  <c:v>2009</c:v>
                </c:pt>
                <c:pt idx="121">
                  <c:v>2010</c:v>
                </c:pt>
              </c:numCache>
            </c:numRef>
          </c:cat>
          <c:val>
            <c:numRef>
              <c:f>'App2DataFig2.1-2.9'!$AH$127:$AH$248</c:f>
              <c:numCache>
                <c:formatCode>0.00</c:formatCode>
                <c:ptCount val="122"/>
                <c:pt idx="0">
                  <c:v>100</c:v>
                </c:pt>
                <c:pt idx="1">
                  <c:v>93.940170210343538</c:v>
                </c:pt>
                <c:pt idx="2">
                  <c:v>92.393829959967505</c:v>
                </c:pt>
                <c:pt idx="3">
                  <c:v>84.088766592779422</c:v>
                </c:pt>
                <c:pt idx="4">
                  <c:v>95.906015193656827</c:v>
                </c:pt>
                <c:pt idx="5">
                  <c:v>92.030561597233827</c:v>
                </c:pt>
                <c:pt idx="6">
                  <c:v>88.78566688785665</c:v>
                </c:pt>
                <c:pt idx="7">
                  <c:v>93.927693927693895</c:v>
                </c:pt>
                <c:pt idx="8">
                  <c:v>88.916428686890455</c:v>
                </c:pt>
                <c:pt idx="9">
                  <c:v>88.279034932862587</c:v>
                </c:pt>
                <c:pt idx="10">
                  <c:v>86.118359252687611</c:v>
                </c:pt>
                <c:pt idx="11">
                  <c:v>90.340004822763433</c:v>
                </c:pt>
                <c:pt idx="12">
                  <c:v>81.900813945793658</c:v>
                </c:pt>
                <c:pt idx="13">
                  <c:v>91.019236744516988</c:v>
                </c:pt>
                <c:pt idx="14">
                  <c:v>87.537729493456681</c:v>
                </c:pt>
                <c:pt idx="15">
                  <c:v>86.523387320878953</c:v>
                </c:pt>
                <c:pt idx="16">
                  <c:v>91.28535113950241</c:v>
                </c:pt>
                <c:pt idx="17">
                  <c:v>82.936952520161029</c:v>
                </c:pt>
                <c:pt idx="18">
                  <c:v>83.850435528548644</c:v>
                </c:pt>
                <c:pt idx="19">
                  <c:v>85.118619698058922</c:v>
                </c:pt>
                <c:pt idx="20">
                  <c:v>83.885475069148526</c:v>
                </c:pt>
                <c:pt idx="21">
                  <c:v>87.818831308497195</c:v>
                </c:pt>
                <c:pt idx="22">
                  <c:v>84.335931483231008</c:v>
                </c:pt>
                <c:pt idx="23">
                  <c:v>88.475083243975376</c:v>
                </c:pt>
                <c:pt idx="24">
                  <c:v>85.53804685880155</c:v>
                </c:pt>
                <c:pt idx="25">
                  <c:v>92.742969424522329</c:v>
                </c:pt>
                <c:pt idx="26">
                  <c:v>89.880663838038316</c:v>
                </c:pt>
                <c:pt idx="27">
                  <c:v>89.013686068499254</c:v>
                </c:pt>
                <c:pt idx="28">
                  <c:v>96.519759950061825</c:v>
                </c:pt>
                <c:pt idx="29">
                  <c:v>90.804554656876022</c:v>
                </c:pt>
                <c:pt idx="30">
                  <c:v>87.845508031927551</c:v>
                </c:pt>
                <c:pt idx="31">
                  <c:v>95.455743254100028</c:v>
                </c:pt>
                <c:pt idx="32">
                  <c:v>87.655014561289306</c:v>
                </c:pt>
                <c:pt idx="33">
                  <c:v>88.031527471055242</c:v>
                </c:pt>
                <c:pt idx="34">
                  <c:v>90.17550500558545</c:v>
                </c:pt>
                <c:pt idx="35">
                  <c:v>89.961598589008673</c:v>
                </c:pt>
                <c:pt idx="36">
                  <c:v>86.72111216594412</c:v>
                </c:pt>
                <c:pt idx="37">
                  <c:v>85.39024650084464</c:v>
                </c:pt>
                <c:pt idx="38">
                  <c:v>88.374770722041475</c:v>
                </c:pt>
                <c:pt idx="39">
                  <c:v>88.923615788764636</c:v>
                </c:pt>
                <c:pt idx="40">
                  <c:v>85.47186730158522</c:v>
                </c:pt>
                <c:pt idx="41">
                  <c:v>92.081963545436579</c:v>
                </c:pt>
                <c:pt idx="42">
                  <c:v>95.701234555500392</c:v>
                </c:pt>
                <c:pt idx="43">
                  <c:v>97.249323593427917</c:v>
                </c:pt>
                <c:pt idx="44">
                  <c:v>102.61045538823315</c:v>
                </c:pt>
                <c:pt idx="45">
                  <c:v>107.85939035280052</c:v>
                </c:pt>
                <c:pt idx="46">
                  <c:v>103.82976855817134</c:v>
                </c:pt>
                <c:pt idx="47">
                  <c:v>100.41011037688776</c:v>
                </c:pt>
                <c:pt idx="48">
                  <c:v>111.94024547421053</c:v>
                </c:pt>
                <c:pt idx="49">
                  <c:v>112.68732931565862</c:v>
                </c:pt>
                <c:pt idx="50">
                  <c:v>110.35578111661077</c:v>
                </c:pt>
                <c:pt idx="51">
                  <c:v>110.05002580047628</c:v>
                </c:pt>
                <c:pt idx="52">
                  <c:v>113.876517237006</c:v>
                </c:pt>
                <c:pt idx="53">
                  <c:v>120.49235410609937</c:v>
                </c:pt>
                <c:pt idx="54">
                  <c:v>128.02493162143938</c:v>
                </c:pt>
                <c:pt idx="55">
                  <c:v>125.00192379834742</c:v>
                </c:pt>
                <c:pt idx="56">
                  <c:v>116.80101495726494</c:v>
                </c:pt>
                <c:pt idx="57">
                  <c:v>120.17783777646709</c:v>
                </c:pt>
                <c:pt idx="58">
                  <c:v>121.75961907385361</c:v>
                </c:pt>
                <c:pt idx="59">
                  <c:v>119.24371797832811</c:v>
                </c:pt>
                <c:pt idx="60">
                  <c:v>118.93861753700021</c:v>
                </c:pt>
                <c:pt idx="61">
                  <c:v>117.00533744991755</c:v>
                </c:pt>
                <c:pt idx="62">
                  <c:v>116.1724102872677</c:v>
                </c:pt>
                <c:pt idx="63">
                  <c:v>118.59992467392408</c:v>
                </c:pt>
                <c:pt idx="64">
                  <c:v>122.99762531807303</c:v>
                </c:pt>
                <c:pt idx="65">
                  <c:v>121.96140746627735</c:v>
                </c:pt>
                <c:pt idx="66">
                  <c:v>121.67559946599265</c:v>
                </c:pt>
                <c:pt idx="67">
                  <c:v>129.21498288725246</c:v>
                </c:pt>
                <c:pt idx="68">
                  <c:v>125.91766745655941</c:v>
                </c:pt>
                <c:pt idx="69">
                  <c:v>130.19135991971928</c:v>
                </c:pt>
                <c:pt idx="70">
                  <c:v>126.72893106719003</c:v>
                </c:pt>
                <c:pt idx="71">
                  <c:v>128.25236598619728</c:v>
                </c:pt>
                <c:pt idx="72">
                  <c:v>126.75659208019169</c:v>
                </c:pt>
                <c:pt idx="73">
                  <c:v>124.48735972454183</c:v>
                </c:pt>
                <c:pt idx="74">
                  <c:v>120.44184907851792</c:v>
                </c:pt>
                <c:pt idx="75">
                  <c:v>115.4290451990653</c:v>
                </c:pt>
                <c:pt idx="76">
                  <c:v>113.83023131301215</c:v>
                </c:pt>
                <c:pt idx="77">
                  <c:v>113.53748213953338</c:v>
                </c:pt>
                <c:pt idx="78">
                  <c:v>115.61323606087231</c:v>
                </c:pt>
                <c:pt idx="79">
                  <c:v>114.18231416040308</c:v>
                </c:pt>
                <c:pt idx="80">
                  <c:v>113.07588075797561</c:v>
                </c:pt>
                <c:pt idx="81">
                  <c:v>112.4314250561377</c:v>
                </c:pt>
                <c:pt idx="82">
                  <c:v>109.63103346830232</c:v>
                </c:pt>
                <c:pt idx="83">
                  <c:v>109.81939085353841</c:v>
                </c:pt>
                <c:pt idx="84">
                  <c:v>106.10981637919632</c:v>
                </c:pt>
                <c:pt idx="85">
                  <c:v>107.68277242111897</c:v>
                </c:pt>
                <c:pt idx="86">
                  <c:v>105.40680859061781</c:v>
                </c:pt>
                <c:pt idx="87">
                  <c:v>102.65157135559593</c:v>
                </c:pt>
                <c:pt idx="88">
                  <c:v>101.73842384721416</c:v>
                </c:pt>
                <c:pt idx="89">
                  <c:v>101.75533698093085</c:v>
                </c:pt>
                <c:pt idx="90">
                  <c:v>96.989496861630883</c:v>
                </c:pt>
                <c:pt idx="91">
                  <c:v>94.102695791764489</c:v>
                </c:pt>
                <c:pt idx="92">
                  <c:v>88.59418181073724</c:v>
                </c:pt>
                <c:pt idx="93">
                  <c:v>89.346705083655863</c:v>
                </c:pt>
                <c:pt idx="94">
                  <c:v>84.06301805639842</c:v>
                </c:pt>
                <c:pt idx="95">
                  <c:v>82.352159138411992</c:v>
                </c:pt>
                <c:pt idx="96">
                  <c:v>81.378989737052862</c:v>
                </c:pt>
                <c:pt idx="97">
                  <c:v>81.167301279214314</c:v>
                </c:pt>
                <c:pt idx="98">
                  <c:v>74.034570298772465</c:v>
                </c:pt>
                <c:pt idx="99">
                  <c:v>71.259699452534903</c:v>
                </c:pt>
                <c:pt idx="100">
                  <c:v>69.720344982339654</c:v>
                </c:pt>
                <c:pt idx="101">
                  <c:v>67.263169855392661</c:v>
                </c:pt>
                <c:pt idx="102">
                  <c:v>65.083880390460706</c:v>
                </c:pt>
                <c:pt idx="103">
                  <c:v>63.690504169683138</c:v>
                </c:pt>
                <c:pt idx="104">
                  <c:v>62.173475335795324</c:v>
                </c:pt>
                <c:pt idx="105">
                  <c:v>59.739786978401014</c:v>
                </c:pt>
                <c:pt idx="106">
                  <c:v>56.567179882090727</c:v>
                </c:pt>
                <c:pt idx="107">
                  <c:v>53.658432002912718</c:v>
                </c:pt>
                <c:pt idx="108">
                  <c:v>54.224039021778935</c:v>
                </c:pt>
                <c:pt idx="109">
                  <c:v>50.880377510829824</c:v>
                </c:pt>
                <c:pt idx="110">
                  <c:v>48.413238247543141</c:v>
                </c:pt>
                <c:pt idx="111">
                  <c:v>44.877050884385412</c:v>
                </c:pt>
                <c:pt idx="112">
                  <c:v>42.721311240166408</c:v>
                </c:pt>
                <c:pt idx="113">
                  <c:v>41.415853676333043</c:v>
                </c:pt>
                <c:pt idx="114">
                  <c:v>38.350027917278922</c:v>
                </c:pt>
                <c:pt idx="115">
                  <c:v>36.841969547536152</c:v>
                </c:pt>
                <c:pt idx="116">
                  <c:v>35.352948002212983</c:v>
                </c:pt>
                <c:pt idx="117">
                  <c:v>33.685496998479678</c:v>
                </c:pt>
                <c:pt idx="118">
                  <c:v>31.70002592584289</c:v>
                </c:pt>
                <c:pt idx="119">
                  <c:v>31.386119249347733</c:v>
                </c:pt>
                <c:pt idx="120">
                  <c:v>29.551607748136977</c:v>
                </c:pt>
                <c:pt idx="121">
                  <c:v>28.775884623564458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'App2DataFig2.1-2.9'!$AI$17</c:f>
              <c:strCache>
                <c:ptCount val="1"/>
                <c:pt idx="0">
                  <c:v>rulcmfgHP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none"/>
          </c:marker>
          <c:val>
            <c:numRef>
              <c:f>'App2DataFig2.1-2.9'!$AI$127:$AI$248</c:f>
              <c:numCache>
                <c:formatCode>0.00</c:formatCode>
                <c:ptCount val="122"/>
                <c:pt idx="0">
                  <c:v>95.4446317272144</c:v>
                </c:pt>
                <c:pt idx="1">
                  <c:v>94.434033227371302</c:v>
                </c:pt>
                <c:pt idx="2">
                  <c:v>93.468988410256202</c:v>
                </c:pt>
                <c:pt idx="3">
                  <c:v>92.590110626323195</c:v>
                </c:pt>
                <c:pt idx="4">
                  <c:v>91.827223341923897</c:v>
                </c:pt>
                <c:pt idx="5">
                  <c:v>91.125148917146703</c:v>
                </c:pt>
                <c:pt idx="6">
                  <c:v>90.469537478660897</c:v>
                </c:pt>
                <c:pt idx="7">
                  <c:v>89.855087663964298</c:v>
                </c:pt>
                <c:pt idx="8">
                  <c:v>89.259702735767902</c:v>
                </c:pt>
                <c:pt idx="9">
                  <c:v>88.702035080143503</c:v>
                </c:pt>
                <c:pt idx="10">
                  <c:v>88.197340055804801</c:v>
                </c:pt>
                <c:pt idx="11">
                  <c:v>87.756652670664195</c:v>
                </c:pt>
                <c:pt idx="12">
                  <c:v>87.370234532076097</c:v>
                </c:pt>
                <c:pt idx="13">
                  <c:v>87.054180720688294</c:v>
                </c:pt>
                <c:pt idx="14">
                  <c:v>86.769883971827795</c:v>
                </c:pt>
                <c:pt idx="15">
                  <c:v>86.518395213614795</c:v>
                </c:pt>
                <c:pt idx="16">
                  <c:v>86.308466534451</c:v>
                </c:pt>
                <c:pt idx="17">
                  <c:v>86.148866070602196</c:v>
                </c:pt>
                <c:pt idx="18">
                  <c:v>86.098177292989405</c:v>
                </c:pt>
                <c:pt idx="19">
                  <c:v>86.182895011827796</c:v>
                </c:pt>
                <c:pt idx="20">
                  <c:v>86.407032264402403</c:v>
                </c:pt>
                <c:pt idx="21">
                  <c:v>86.763973137880399</c:v>
                </c:pt>
                <c:pt idx="22">
                  <c:v>87.221931396784399</c:v>
                </c:pt>
                <c:pt idx="23">
                  <c:v>87.759681074258793</c:v>
                </c:pt>
                <c:pt idx="24">
                  <c:v>88.327176889479702</c:v>
                </c:pt>
                <c:pt idx="25">
                  <c:v>88.881576750880797</c:v>
                </c:pt>
                <c:pt idx="26">
                  <c:v>89.352166798000994</c:v>
                </c:pt>
                <c:pt idx="27">
                  <c:v>89.706817402870399</c:v>
                </c:pt>
                <c:pt idx="28">
                  <c:v>89.918677269539003</c:v>
                </c:pt>
                <c:pt idx="29">
                  <c:v>89.953926928028096</c:v>
                </c:pt>
                <c:pt idx="30">
                  <c:v>89.844760135663606</c:v>
                </c:pt>
                <c:pt idx="31">
                  <c:v>89.631831380491207</c:v>
                </c:pt>
                <c:pt idx="32">
                  <c:v>89.335847549199997</c:v>
                </c:pt>
                <c:pt idx="33">
                  <c:v>89.035797214674204</c:v>
                </c:pt>
                <c:pt idx="34">
                  <c:v>88.793910474305903</c:v>
                </c:pt>
                <c:pt idx="35">
                  <c:v>88.662359453340699</c:v>
                </c:pt>
                <c:pt idx="36">
                  <c:v>88.707177172280893</c:v>
                </c:pt>
                <c:pt idx="37">
                  <c:v>89.007373057095606</c:v>
                </c:pt>
                <c:pt idx="38">
                  <c:v>89.622084762031093</c:v>
                </c:pt>
                <c:pt idx="39">
                  <c:v>90.574276210762605</c:v>
                </c:pt>
                <c:pt idx="40">
                  <c:v>91.874390479345195</c:v>
                </c:pt>
                <c:pt idx="41">
                  <c:v>93.516327881726099</c:v>
                </c:pt>
                <c:pt idx="42">
                  <c:v>95.429944827058904</c:v>
                </c:pt>
                <c:pt idx="43">
                  <c:v>97.530734445680395</c:v>
                </c:pt>
                <c:pt idx="44">
                  <c:v>99.736890419656504</c:v>
                </c:pt>
                <c:pt idx="45">
                  <c:v>101.963799086596</c:v>
                </c:pt>
                <c:pt idx="46">
                  <c:v>104.155577879912</c:v>
                </c:pt>
                <c:pt idx="47">
                  <c:v>106.315306242151</c:v>
                </c:pt>
                <c:pt idx="48">
                  <c:v>108.442807837061</c:v>
                </c:pt>
                <c:pt idx="49">
                  <c:v>110.47885326596599</c:v>
                </c:pt>
                <c:pt idx="50">
                  <c:v>112.39918505182401</c:v>
                </c:pt>
                <c:pt idx="51">
                  <c:v>114.201657184929</c:v>
                </c:pt>
                <c:pt idx="52">
                  <c:v>115.863731805059</c:v>
                </c:pt>
                <c:pt idx="53">
                  <c:v>117.32135448014201</c:v>
                </c:pt>
                <c:pt idx="54">
                  <c:v>118.490633460057</c:v>
                </c:pt>
                <c:pt idx="55">
                  <c:v>119.31936344987901</c:v>
                </c:pt>
                <c:pt idx="56">
                  <c:v>119.850632820084</c:v>
                </c:pt>
                <c:pt idx="57">
                  <c:v>120.184336306649</c:v>
                </c:pt>
                <c:pt idx="58">
                  <c:v>120.389862317351</c:v>
                </c:pt>
                <c:pt idx="59">
                  <c:v>120.53655589689799</c:v>
                </c:pt>
                <c:pt idx="60">
                  <c:v>120.707463466828</c:v>
                </c:pt>
                <c:pt idx="61">
                  <c:v>120.972665889707</c:v>
                </c:pt>
                <c:pt idx="62">
                  <c:v>121.38456939343401</c:v>
                </c:pt>
                <c:pt idx="63">
                  <c:v>121.95595354701101</c:v>
                </c:pt>
                <c:pt idx="64">
                  <c:v>122.647452225506</c:v>
                </c:pt>
                <c:pt idx="65">
                  <c:v>123.38613976851499</c:v>
                </c:pt>
                <c:pt idx="66">
                  <c:v>124.102615993382</c:v>
                </c:pt>
                <c:pt idx="67">
                  <c:v>124.71321931976399</c:v>
                </c:pt>
                <c:pt idx="68">
                  <c:v>125.11006200738299</c:v>
                </c:pt>
                <c:pt idx="69">
                  <c:v>125.23022412276499</c:v>
                </c:pt>
                <c:pt idx="70">
                  <c:v>125.01888511236299</c:v>
                </c:pt>
                <c:pt idx="71">
                  <c:v>124.470822181401</c:v>
                </c:pt>
                <c:pt idx="72">
                  <c:v>123.597923683979</c:v>
                </c:pt>
                <c:pt idx="73">
                  <c:v>122.44986975238299</c:v>
                </c:pt>
                <c:pt idx="74">
                  <c:v>121.10796128206201</c:v>
                </c:pt>
                <c:pt idx="75">
                  <c:v>119.67390047093799</c:v>
                </c:pt>
                <c:pt idx="76">
                  <c:v>118.24270990411399</c:v>
                </c:pt>
                <c:pt idx="77">
                  <c:v>116.866973161982</c:v>
                </c:pt>
                <c:pt idx="78">
                  <c:v>115.55514672589401</c:v>
                </c:pt>
                <c:pt idx="79">
                  <c:v>114.282417345583</c:v>
                </c:pt>
                <c:pt idx="80">
                  <c:v>113.024520303522</c:v>
                </c:pt>
                <c:pt idx="81">
                  <c:v>111.75616670872699</c:v>
                </c:pt>
                <c:pt idx="82">
                  <c:v>110.452622467181</c:v>
                </c:pt>
                <c:pt idx="83">
                  <c:v>109.09589181778</c:v>
                </c:pt>
                <c:pt idx="84">
                  <c:v>107.65975277474401</c:v>
                </c:pt>
                <c:pt idx="85">
                  <c:v>106.12522443412099</c:v>
                </c:pt>
                <c:pt idx="86">
                  <c:v>104.457828364207</c:v>
                </c:pt>
                <c:pt idx="87">
                  <c:v>102.63863388896</c:v>
                </c:pt>
                <c:pt idx="88">
                  <c:v>100.658232048692</c:v>
                </c:pt>
                <c:pt idx="89">
                  <c:v>98.507327544830403</c:v>
                </c:pt>
                <c:pt idx="90">
                  <c:v>96.187442758311093</c:v>
                </c:pt>
                <c:pt idx="91">
                  <c:v>93.732626794624096</c:v>
                </c:pt>
                <c:pt idx="92">
                  <c:v>91.184954331676195</c:v>
                </c:pt>
                <c:pt idx="93">
                  <c:v>88.590173779427403</c:v>
                </c:pt>
                <c:pt idx="94">
                  <c:v>85.968084004521003</c:v>
                </c:pt>
                <c:pt idx="95">
                  <c:v>83.3460821358061</c:v>
                </c:pt>
                <c:pt idx="96">
                  <c:v>80.732484462086603</c:v>
                </c:pt>
                <c:pt idx="97">
                  <c:v>78.125646450808404</c:v>
                </c:pt>
                <c:pt idx="98">
                  <c:v>75.530398724796498</c:v>
                </c:pt>
                <c:pt idx="99">
                  <c:v>72.982015442367597</c:v>
                </c:pt>
                <c:pt idx="100">
                  <c:v>70.5007667745909</c:v>
                </c:pt>
                <c:pt idx="101">
                  <c:v>68.089702738111598</c:v>
                </c:pt>
                <c:pt idx="102">
                  <c:v>65.744065681829099</c:v>
                </c:pt>
                <c:pt idx="103">
                  <c:v>63.450800927261497</c:v>
                </c:pt>
                <c:pt idx="104">
                  <c:v>61.1902131391087</c:v>
                </c:pt>
                <c:pt idx="105">
                  <c:v>58.944998972798203</c:v>
                </c:pt>
                <c:pt idx="106">
                  <c:v>56.707652952366303</c:v>
                </c:pt>
                <c:pt idx="107">
                  <c:v>54.4786196121212</c:v>
                </c:pt>
                <c:pt idx="108">
                  <c:v>52.256966956847698</c:v>
                </c:pt>
                <c:pt idx="109">
                  <c:v>50.033576795209299</c:v>
                </c:pt>
                <c:pt idx="110">
                  <c:v>47.818961266301002</c:v>
                </c:pt>
                <c:pt idx="111">
                  <c:v>45.632096741265698</c:v>
                </c:pt>
                <c:pt idx="112">
                  <c:v>43.497869978583303</c:v>
                </c:pt>
                <c:pt idx="113">
                  <c:v>41.4336467693212</c:v>
                </c:pt>
                <c:pt idx="114">
                  <c:v>39.449014204760502</c:v>
                </c:pt>
                <c:pt idx="115">
                  <c:v>37.553422908489701</c:v>
                </c:pt>
                <c:pt idx="116">
                  <c:v>35.745333362049301</c:v>
                </c:pt>
                <c:pt idx="117">
                  <c:v>34.016071817894897</c:v>
                </c:pt>
                <c:pt idx="118">
                  <c:v>32.353011194861899</c:v>
                </c:pt>
                <c:pt idx="119">
                  <c:v>30.740263693606401</c:v>
                </c:pt>
                <c:pt idx="120">
                  <c:v>29.155411402836101</c:v>
                </c:pt>
                <c:pt idx="121">
                  <c:v>27.582533774322599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2800"/>
        <c:axId val="51374336"/>
      </c:lineChart>
      <c:catAx>
        <c:axId val="513728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74336"/>
        <c:crossesAt val="0"/>
        <c:auto val="1"/>
        <c:lblAlgn val="ctr"/>
        <c:lblOffset val="100"/>
        <c:tickLblSkip val="10"/>
        <c:tickMarkSkip val="10"/>
        <c:noMultiLvlLbl val="0"/>
      </c:catAx>
      <c:valAx>
        <c:axId val="51374336"/>
        <c:scaling>
          <c:orientation val="minMax"/>
          <c:max val="15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372800"/>
        <c:crossesAt val="1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29893238434144E-2"/>
          <c:y val="6.6443792823382211E-2"/>
          <c:w val="0.82829181494661919"/>
          <c:h val="0.75947240992777754"/>
        </c:manualLayout>
      </c:layout>
      <c:lineChart>
        <c:grouping val="standard"/>
        <c:varyColors val="0"/>
        <c:ser>
          <c:idx val="0"/>
          <c:order val="0"/>
          <c:tx>
            <c:strRef>
              <c:f>'[1]DATAUSLR '!$AU$127</c:f>
              <c:strCache>
                <c:ptCount val="1"/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'!$A$128:$A$248</c:f>
              <c:numCache>
                <c:formatCode>General</c:formatCode>
                <c:ptCount val="12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</c:numCache>
            </c:numRef>
          </c:cat>
          <c:val>
            <c:numRef>
              <c:f>'[1]DATAUSLR '!$AU$128:$AU$248</c:f>
              <c:numCache>
                <c:formatCode>General</c:formatCode>
                <c:ptCount val="121"/>
                <c:pt idx="0">
                  <c:v>4</c:v>
                </c:pt>
                <c:pt idx="1">
                  <c:v>5.4</c:v>
                </c:pt>
                <c:pt idx="2">
                  <c:v>3</c:v>
                </c:pt>
                <c:pt idx="3">
                  <c:v>11.7</c:v>
                </c:pt>
                <c:pt idx="4">
                  <c:v>18.399999999999999</c:v>
                </c:pt>
                <c:pt idx="5">
                  <c:v>13.7</c:v>
                </c:pt>
                <c:pt idx="6">
                  <c:v>14.4</c:v>
                </c:pt>
                <c:pt idx="7">
                  <c:v>14.5</c:v>
                </c:pt>
                <c:pt idx="8">
                  <c:v>12.4</c:v>
                </c:pt>
                <c:pt idx="9">
                  <c:v>6.5</c:v>
                </c:pt>
                <c:pt idx="10">
                  <c:v>5</c:v>
                </c:pt>
                <c:pt idx="11">
                  <c:v>4</c:v>
                </c:pt>
                <c:pt idx="12">
                  <c:v>3.7</c:v>
                </c:pt>
                <c:pt idx="13">
                  <c:v>3.9</c:v>
                </c:pt>
                <c:pt idx="14">
                  <c:v>5.4</c:v>
                </c:pt>
                <c:pt idx="15">
                  <c:v>4.3</c:v>
                </c:pt>
                <c:pt idx="16">
                  <c:v>1.7</c:v>
                </c:pt>
                <c:pt idx="17">
                  <c:v>2.8</c:v>
                </c:pt>
                <c:pt idx="18">
                  <c:v>8</c:v>
                </c:pt>
                <c:pt idx="19">
                  <c:v>5.0999999999999996</c:v>
                </c:pt>
                <c:pt idx="20">
                  <c:v>5.9</c:v>
                </c:pt>
                <c:pt idx="21">
                  <c:v>6.7</c:v>
                </c:pt>
                <c:pt idx="22">
                  <c:v>4.5999999999999996</c:v>
                </c:pt>
                <c:pt idx="23">
                  <c:v>4.3</c:v>
                </c:pt>
                <c:pt idx="24">
                  <c:v>7.9</c:v>
                </c:pt>
                <c:pt idx="25">
                  <c:v>8.5</c:v>
                </c:pt>
                <c:pt idx="26">
                  <c:v>5.0999999999999996</c:v>
                </c:pt>
                <c:pt idx="27">
                  <c:v>4.5999999999999996</c:v>
                </c:pt>
                <c:pt idx="28">
                  <c:v>1.4</c:v>
                </c:pt>
                <c:pt idx="29">
                  <c:v>1.4</c:v>
                </c:pt>
                <c:pt idx="30">
                  <c:v>5.2</c:v>
                </c:pt>
                <c:pt idx="31">
                  <c:v>11.7</c:v>
                </c:pt>
                <c:pt idx="32">
                  <c:v>6.7</c:v>
                </c:pt>
                <c:pt idx="33">
                  <c:v>2.4</c:v>
                </c:pt>
                <c:pt idx="34">
                  <c:v>5</c:v>
                </c:pt>
                <c:pt idx="35">
                  <c:v>3.2</c:v>
                </c:pt>
                <c:pt idx="36">
                  <c:v>1.8</c:v>
                </c:pt>
                <c:pt idx="37">
                  <c:v>3.3</c:v>
                </c:pt>
                <c:pt idx="38">
                  <c:v>4.2</c:v>
                </c:pt>
                <c:pt idx="39">
                  <c:v>3.2</c:v>
                </c:pt>
                <c:pt idx="40">
                  <c:v>8.6999999999999993</c:v>
                </c:pt>
                <c:pt idx="41">
                  <c:v>15.9</c:v>
                </c:pt>
                <c:pt idx="42">
                  <c:v>23.6</c:v>
                </c:pt>
                <c:pt idx="43">
                  <c:v>24.9</c:v>
                </c:pt>
                <c:pt idx="44">
                  <c:v>21.7</c:v>
                </c:pt>
                <c:pt idx="45">
                  <c:v>20.100000000000001</c:v>
                </c:pt>
                <c:pt idx="46">
                  <c:v>16.899999999999999</c:v>
                </c:pt>
                <c:pt idx="47">
                  <c:v>14.3</c:v>
                </c:pt>
                <c:pt idx="48">
                  <c:v>19</c:v>
                </c:pt>
                <c:pt idx="49">
                  <c:v>17.2</c:v>
                </c:pt>
                <c:pt idx="50">
                  <c:v>14.6</c:v>
                </c:pt>
                <c:pt idx="51">
                  <c:v>9.9</c:v>
                </c:pt>
                <c:pt idx="52">
                  <c:v>4.7</c:v>
                </c:pt>
                <c:pt idx="53">
                  <c:v>1.9</c:v>
                </c:pt>
                <c:pt idx="54">
                  <c:v>1.2</c:v>
                </c:pt>
                <c:pt idx="55">
                  <c:v>1.9</c:v>
                </c:pt>
                <c:pt idx="56">
                  <c:v>3.9</c:v>
                </c:pt>
                <c:pt idx="57">
                  <c:v>3.9</c:v>
                </c:pt>
                <c:pt idx="58">
                  <c:v>3.8</c:v>
                </c:pt>
                <c:pt idx="59">
                  <c:v>5.9</c:v>
                </c:pt>
                <c:pt idx="60">
                  <c:v>5.3</c:v>
                </c:pt>
                <c:pt idx="61">
                  <c:v>3.3</c:v>
                </c:pt>
                <c:pt idx="62">
                  <c:v>3</c:v>
                </c:pt>
                <c:pt idx="63">
                  <c:v>2.9</c:v>
                </c:pt>
                <c:pt idx="64">
                  <c:v>5.5</c:v>
                </c:pt>
                <c:pt idx="65">
                  <c:v>4.4000000000000004</c:v>
                </c:pt>
                <c:pt idx="66">
                  <c:v>4.0999999999999996</c:v>
                </c:pt>
                <c:pt idx="67">
                  <c:v>4.3</c:v>
                </c:pt>
                <c:pt idx="68">
                  <c:v>6.8</c:v>
                </c:pt>
                <c:pt idx="69">
                  <c:v>5.5</c:v>
                </c:pt>
                <c:pt idx="70">
                  <c:v>5.5</c:v>
                </c:pt>
                <c:pt idx="71">
                  <c:v>6.7</c:v>
                </c:pt>
                <c:pt idx="72">
                  <c:v>5.5</c:v>
                </c:pt>
                <c:pt idx="73">
                  <c:v>5.7</c:v>
                </c:pt>
                <c:pt idx="74">
                  <c:v>5.2</c:v>
                </c:pt>
                <c:pt idx="75">
                  <c:v>4.5</c:v>
                </c:pt>
                <c:pt idx="76">
                  <c:v>3.8</c:v>
                </c:pt>
                <c:pt idx="77">
                  <c:v>3.8</c:v>
                </c:pt>
                <c:pt idx="78">
                  <c:v>3.6</c:v>
                </c:pt>
                <c:pt idx="79">
                  <c:v>3.5</c:v>
                </c:pt>
                <c:pt idx="80">
                  <c:v>4.9000000000000004</c:v>
                </c:pt>
                <c:pt idx="81">
                  <c:v>5.9</c:v>
                </c:pt>
                <c:pt idx="82">
                  <c:v>5.6</c:v>
                </c:pt>
                <c:pt idx="83">
                  <c:v>4.9000000000000004</c:v>
                </c:pt>
                <c:pt idx="84">
                  <c:v>5.6</c:v>
                </c:pt>
                <c:pt idx="85">
                  <c:v>8.5</c:v>
                </c:pt>
                <c:pt idx="86">
                  <c:v>7.7</c:v>
                </c:pt>
                <c:pt idx="87">
                  <c:v>7.1</c:v>
                </c:pt>
                <c:pt idx="88">
                  <c:v>6.1</c:v>
                </c:pt>
                <c:pt idx="89">
                  <c:v>5.8</c:v>
                </c:pt>
                <c:pt idx="90">
                  <c:v>7.1</c:v>
                </c:pt>
                <c:pt idx="91">
                  <c:v>7.6</c:v>
                </c:pt>
                <c:pt idx="92">
                  <c:v>9.6999999999999993</c:v>
                </c:pt>
                <c:pt idx="93">
                  <c:v>9.6</c:v>
                </c:pt>
                <c:pt idx="94">
                  <c:v>7.5</c:v>
                </c:pt>
                <c:pt idx="95">
                  <c:v>7.2</c:v>
                </c:pt>
                <c:pt idx="96">
                  <c:v>7</c:v>
                </c:pt>
                <c:pt idx="97">
                  <c:v>6.2</c:v>
                </c:pt>
                <c:pt idx="98">
                  <c:v>5.5</c:v>
                </c:pt>
                <c:pt idx="99">
                  <c:v>5.3</c:v>
                </c:pt>
                <c:pt idx="100">
                  <c:v>5.6</c:v>
                </c:pt>
                <c:pt idx="101">
                  <c:v>6.8</c:v>
                </c:pt>
                <c:pt idx="102">
                  <c:v>7.5</c:v>
                </c:pt>
                <c:pt idx="103">
                  <c:v>6.9</c:v>
                </c:pt>
                <c:pt idx="104">
                  <c:v>6.1</c:v>
                </c:pt>
                <c:pt idx="105">
                  <c:v>5.6</c:v>
                </c:pt>
                <c:pt idx="106">
                  <c:v>5.4</c:v>
                </c:pt>
                <c:pt idx="107">
                  <c:v>4.9000000000000004</c:v>
                </c:pt>
                <c:pt idx="108">
                  <c:v>4.5</c:v>
                </c:pt>
                <c:pt idx="109">
                  <c:v>4.2</c:v>
                </c:pt>
                <c:pt idx="110">
                  <c:v>4</c:v>
                </c:pt>
                <c:pt idx="111">
                  <c:v>4.7</c:v>
                </c:pt>
                <c:pt idx="112">
                  <c:v>5.8</c:v>
                </c:pt>
                <c:pt idx="113">
                  <c:v>6</c:v>
                </c:pt>
                <c:pt idx="114">
                  <c:v>5.5</c:v>
                </c:pt>
                <c:pt idx="115">
                  <c:v>5.0999999999999996</c:v>
                </c:pt>
                <c:pt idx="116">
                  <c:v>4.5999999999999996</c:v>
                </c:pt>
                <c:pt idx="117">
                  <c:v>4.5999999999999996</c:v>
                </c:pt>
                <c:pt idx="118">
                  <c:v>5.8</c:v>
                </c:pt>
                <c:pt idx="119">
                  <c:v>9.3000000000000007</c:v>
                </c:pt>
                <c:pt idx="120">
                  <c:v>9.6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9440"/>
        <c:axId val="51230976"/>
      </c:lineChart>
      <c:catAx>
        <c:axId val="51229440"/>
        <c:scaling>
          <c:orientation val="minMax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230976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5123097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</a:t>
                </a:r>
              </a:p>
            </c:rich>
          </c:tx>
          <c:layout>
            <c:manualLayout>
              <c:xMode val="edge"/>
              <c:yMode val="edge"/>
              <c:x val="1.4428456674232447E-2"/>
              <c:y val="0.438825364719318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22944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071343419967758E-2"/>
          <c:y val="6.7240609714094179E-2"/>
          <c:w val="0.91814946619217064"/>
          <c:h val="0.80755540659533398"/>
        </c:manualLayout>
      </c:layout>
      <c:lineChart>
        <c:grouping val="standard"/>
        <c:varyColors val="0"/>
        <c:ser>
          <c:idx val="1"/>
          <c:order val="0"/>
          <c:tx>
            <c:strRef>
              <c:f>'App2DataFigs2.14-2.16'!$A$6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'App2DataFigs2.14-2.16'!$B$6:$AP$6</c:f>
              <c:numCache>
                <c:formatCode>#,##0.00</c:formatCode>
                <c:ptCount val="41"/>
                <c:pt idx="0" formatCode="#,##0">
                  <c:v>889.69611537314643</c:v>
                </c:pt>
                <c:pt idx="1">
                  <c:v>900.53254360995402</c:v>
                </c:pt>
                <c:pt idx="2">
                  <c:v>911.36897184676161</c:v>
                </c:pt>
                <c:pt idx="3">
                  <c:v>922.2054000835692</c:v>
                </c:pt>
                <c:pt idx="4">
                  <c:v>933.04182832037679</c:v>
                </c:pt>
                <c:pt idx="5">
                  <c:v>943.87825655718439</c:v>
                </c:pt>
                <c:pt idx="6">
                  <c:v>954.71468479399198</c:v>
                </c:pt>
                <c:pt idx="7">
                  <c:v>965.55111303079957</c:v>
                </c:pt>
                <c:pt idx="8">
                  <c:v>976.38754126760716</c:v>
                </c:pt>
                <c:pt idx="9">
                  <c:v>987.22396950441475</c:v>
                </c:pt>
                <c:pt idx="10" formatCode="#,##0">
                  <c:v>998.06039774122269</c:v>
                </c:pt>
                <c:pt idx="11">
                  <c:v>1015.2000078111939</c:v>
                </c:pt>
                <c:pt idx="12">
                  <c:v>1032.3396178811652</c:v>
                </c:pt>
                <c:pt idx="13">
                  <c:v>1049.4792279511364</c:v>
                </c:pt>
                <c:pt idx="14">
                  <c:v>1066.6188380211076</c:v>
                </c:pt>
                <c:pt idx="15">
                  <c:v>1083.7584480910789</c:v>
                </c:pt>
                <c:pt idx="16">
                  <c:v>1100.8980581610501</c:v>
                </c:pt>
                <c:pt idx="17">
                  <c:v>1118.0376682310214</c:v>
                </c:pt>
                <c:pt idx="18">
                  <c:v>1135.1772783009926</c:v>
                </c:pt>
                <c:pt idx="19">
                  <c:v>1152.3168883709639</c:v>
                </c:pt>
                <c:pt idx="20">
                  <c:v>1169.4564984409351</c:v>
                </c:pt>
                <c:pt idx="21">
                  <c:v>1186.5961085109063</c:v>
                </c:pt>
                <c:pt idx="22" formatCode="#,##0">
                  <c:v>1203.7357185808778</c:v>
                </c:pt>
                <c:pt idx="23">
                  <c:v>1327.1744828887943</c:v>
                </c:pt>
                <c:pt idx="24">
                  <c:v>1450.6132471967107</c:v>
                </c:pt>
                <c:pt idx="25" formatCode="#,##0">
                  <c:v>1574.052011504627</c:v>
                </c:pt>
                <c:pt idx="26" formatCode="#,##0">
                  <c:v>1574.052011504627</c:v>
                </c:pt>
                <c:pt idx="27" formatCode="#,##0">
                  <c:v>1960.4460491509517</c:v>
                </c:pt>
                <c:pt idx="28" formatCode="#,##0">
                  <c:v>1960.4460491509517</c:v>
                </c:pt>
                <c:pt idx="29" formatCode="#,##0">
                  <c:v>2490.4719233248661</c:v>
                </c:pt>
                <c:pt idx="30" formatCode="#,##0">
                  <c:v>2892.9495638341018</c:v>
                </c:pt>
                <c:pt idx="31" formatCode="#,##0">
                  <c:v>2892.9495638341018</c:v>
                </c:pt>
                <c:pt idx="32" formatCode="#,##0">
                  <c:v>2892.9495638341018</c:v>
                </c:pt>
                <c:pt idx="33" formatCode="#,##0">
                  <c:v>4014.4742872376692</c:v>
                </c:pt>
                <c:pt idx="34" formatCode="#,##0">
                  <c:v>4547.5593879072885</c:v>
                </c:pt>
                <c:pt idx="35" formatCode="#,##0">
                  <c:v>4578.5690680587868</c:v>
                </c:pt>
                <c:pt idx="36" formatCode="#,##0">
                  <c:v>6896.2141509507019</c:v>
                </c:pt>
                <c:pt idx="37" formatCode="#,##0">
                  <c:v>10194.61385171923</c:v>
                </c:pt>
                <c:pt idx="38" formatCode="#,##0">
                  <c:v>13197.226018097401</c:v>
                </c:pt>
                <c:pt idx="39" formatCode="#,##0">
                  <c:v>15965.772068289378</c:v>
                </c:pt>
                <c:pt idx="40" formatCode="#,##0">
                  <c:v>19001.518052685897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'App2DataFigs2.14-2.16'!$A$7</c:f>
              <c:strCache>
                <c:ptCount val="1"/>
                <c:pt idx="0">
                  <c:v>Western Offshoots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'App2DataFigs2.14-2.16'!$B$7:$AP$7</c:f>
              <c:numCache>
                <c:formatCode>#,##0.00</c:formatCode>
                <c:ptCount val="41"/>
                <c:pt idx="0" formatCode="#,##0">
                  <c:v>400</c:v>
                </c:pt>
                <c:pt idx="1">
                  <c:v>407.6</c:v>
                </c:pt>
                <c:pt idx="2">
                  <c:v>415.20000000000005</c:v>
                </c:pt>
                <c:pt idx="3">
                  <c:v>422.80000000000007</c:v>
                </c:pt>
                <c:pt idx="4">
                  <c:v>430.40000000000009</c:v>
                </c:pt>
                <c:pt idx="5">
                  <c:v>438.00000000000011</c:v>
                </c:pt>
                <c:pt idx="6">
                  <c:v>445.60000000000014</c:v>
                </c:pt>
                <c:pt idx="7">
                  <c:v>453.20000000000016</c:v>
                </c:pt>
                <c:pt idx="8">
                  <c:v>460.80000000000018</c:v>
                </c:pt>
                <c:pt idx="9">
                  <c:v>468.4000000000002</c:v>
                </c:pt>
                <c:pt idx="10" formatCode="#,##0">
                  <c:v>476</c:v>
                </c:pt>
                <c:pt idx="11">
                  <c:v>536.49508800047488</c:v>
                </c:pt>
                <c:pt idx="12">
                  <c:v>596.99017600094976</c:v>
                </c:pt>
                <c:pt idx="13">
                  <c:v>657.48526400142464</c:v>
                </c:pt>
                <c:pt idx="14">
                  <c:v>717.98035200189952</c:v>
                </c:pt>
                <c:pt idx="15">
                  <c:v>778.4754400023744</c:v>
                </c:pt>
                <c:pt idx="16">
                  <c:v>838.97052800284928</c:v>
                </c:pt>
                <c:pt idx="17">
                  <c:v>899.46561600332416</c:v>
                </c:pt>
                <c:pt idx="18">
                  <c:v>959.96070400379904</c:v>
                </c:pt>
                <c:pt idx="19">
                  <c:v>1020.4557920042739</c:v>
                </c:pt>
                <c:pt idx="20">
                  <c:v>1080.9508800047488</c:v>
                </c:pt>
                <c:pt idx="21">
                  <c:v>1141.4459680052237</c:v>
                </c:pt>
                <c:pt idx="22" formatCode="#,##0">
                  <c:v>1201.9410560056986</c:v>
                </c:pt>
                <c:pt idx="23" formatCode="#,##0">
                  <c:v>1328.1218410944134</c:v>
                </c:pt>
                <c:pt idx="24" formatCode="#,##0">
                  <c:v>1541.99989812032</c:v>
                </c:pt>
                <c:pt idx="25" formatCode="#,##0">
                  <c:v>1763.2660687593423</c:v>
                </c:pt>
                <c:pt idx="26" formatCode="#,##0">
                  <c:v>2137.211585665194</c:v>
                </c:pt>
                <c:pt idx="27" formatCode="#,##0">
                  <c:v>2419.1329630272521</c:v>
                </c:pt>
                <c:pt idx="28" formatCode="#,##0">
                  <c:v>2860.7002380166441</c:v>
                </c:pt>
                <c:pt idx="29" formatCode="#,##0">
                  <c:v>3372.0162934770533</c:v>
                </c:pt>
                <c:pt idx="30" formatCode="#,##0">
                  <c:v>4014.870040279643</c:v>
                </c:pt>
                <c:pt idx="31" formatCode="#,##0">
                  <c:v>4916.1955207591936</c:v>
                </c:pt>
                <c:pt idx="32" formatCode="#,##0">
                  <c:v>5397.0980879634935</c:v>
                </c:pt>
                <c:pt idx="33" formatCode="#,##0">
                  <c:v>6027.6026682052943</c:v>
                </c:pt>
                <c:pt idx="34" formatCode="#,##0">
                  <c:v>6837.8448657869449</c:v>
                </c:pt>
                <c:pt idx="35" formatCode="#,##0">
                  <c:v>9268.4341910145249</c:v>
                </c:pt>
                <c:pt idx="36" formatCode="#,##0">
                  <c:v>10961.082848353792</c:v>
                </c:pt>
                <c:pt idx="37" formatCode="#,##0">
                  <c:v>14560.481844671916</c:v>
                </c:pt>
                <c:pt idx="38" formatCode="#,##0">
                  <c:v>18060.162962875591</c:v>
                </c:pt>
                <c:pt idx="39" formatCode="#,##0">
                  <c:v>22344.91940545087</c:v>
                </c:pt>
                <c:pt idx="40" formatCode="#,##0">
                  <c:v>27065.406884724773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'App2DataFigs2.14-2.16'!$A$8</c:f>
              <c:strCache>
                <c:ptCount val="1"/>
                <c:pt idx="0">
                  <c:v>Latin America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'App2DataFigs2.14-2.16'!$B$8:$AP$8</c:f>
              <c:numCache>
                <c:formatCode>#,##0</c:formatCode>
                <c:ptCount val="41"/>
                <c:pt idx="22">
                  <c:v>692.19073946095364</c:v>
                </c:pt>
                <c:pt idx="23" formatCode="#,##0.00">
                  <c:v>689.98863701543235</c:v>
                </c:pt>
                <c:pt idx="24" formatCode="#,##0.00">
                  <c:v>687.78653456991105</c:v>
                </c:pt>
                <c:pt idx="25" formatCode="#,##0.00">
                  <c:v>685.58443212438976</c:v>
                </c:pt>
                <c:pt idx="26" formatCode="#,##0.00">
                  <c:v>683.38232967886847</c:v>
                </c:pt>
                <c:pt idx="27">
                  <c:v>681.18022723334741</c:v>
                </c:pt>
                <c:pt idx="28" formatCode="#,##0.00">
                  <c:v>823.7201572690152</c:v>
                </c:pt>
                <c:pt idx="29" formatCode="#,##0.00">
                  <c:v>966.260087304683</c:v>
                </c:pt>
                <c:pt idx="30">
                  <c:v>1108.8000173403507</c:v>
                </c:pt>
                <c:pt idx="31" formatCode="#,##0.00">
                  <c:v>1388.3209978475109</c:v>
                </c:pt>
                <c:pt idx="32" formatCode="#,##0.00">
                  <c:v>1667.841978354671</c:v>
                </c:pt>
                <c:pt idx="33" formatCode="#,##0.00">
                  <c:v>1947.3629588618312</c:v>
                </c:pt>
                <c:pt idx="34" formatCode="#,##0.00">
                  <c:v>2226.8839393689914</c:v>
                </c:pt>
                <c:pt idx="35">
                  <c:v>2506.4049198761513</c:v>
                </c:pt>
                <c:pt idx="36">
                  <c:v>3132.692581420823</c:v>
                </c:pt>
                <c:pt idx="37">
                  <c:v>3985.7540465139</c:v>
                </c:pt>
                <c:pt idx="38">
                  <c:v>5412.4261280006922</c:v>
                </c:pt>
                <c:pt idx="39">
                  <c:v>5052.8624501931599</c:v>
                </c:pt>
                <c:pt idx="40">
                  <c:v>5838.4648559190264</c:v>
                </c:pt>
              </c:numCache>
            </c:numRef>
          </c:val>
          <c:smooth val="0"/>
        </c:ser>
        <c:ser>
          <c:idx val="8"/>
          <c:order val="3"/>
          <c:tx>
            <c:strRef>
              <c:f>'App2DataFigs2.14-2.16'!$A$9</c:f>
              <c:strCache>
                <c:ptCount val="1"/>
                <c:pt idx="0">
                  <c:v>Asia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'App2DataFigs2.14-2.16'!$B$9:$AP$9</c:f>
              <c:numCache>
                <c:formatCode>#,##0.00</c:formatCode>
                <c:ptCount val="41"/>
                <c:pt idx="0" formatCode="#,##0">
                  <c:v>572</c:v>
                </c:pt>
                <c:pt idx="1">
                  <c:v>575.6</c:v>
                </c:pt>
                <c:pt idx="2">
                  <c:v>579.20000000000005</c:v>
                </c:pt>
                <c:pt idx="3">
                  <c:v>582.80000000000007</c:v>
                </c:pt>
                <c:pt idx="4">
                  <c:v>586.40000000000009</c:v>
                </c:pt>
                <c:pt idx="5">
                  <c:v>590.00000000000011</c:v>
                </c:pt>
                <c:pt idx="6">
                  <c:v>593.60000000000014</c:v>
                </c:pt>
                <c:pt idx="7">
                  <c:v>597.20000000000016</c:v>
                </c:pt>
                <c:pt idx="8">
                  <c:v>600.80000000000018</c:v>
                </c:pt>
                <c:pt idx="9">
                  <c:v>604.4000000000002</c:v>
                </c:pt>
                <c:pt idx="10" formatCode="#,##0">
                  <c:v>608</c:v>
                </c:pt>
                <c:pt idx="11">
                  <c:v>605.75</c:v>
                </c:pt>
                <c:pt idx="12">
                  <c:v>603.5</c:v>
                </c:pt>
                <c:pt idx="13">
                  <c:v>601.25</c:v>
                </c:pt>
                <c:pt idx="14">
                  <c:v>599</c:v>
                </c:pt>
                <c:pt idx="15">
                  <c:v>596.75</c:v>
                </c:pt>
                <c:pt idx="16">
                  <c:v>594.5</c:v>
                </c:pt>
                <c:pt idx="17">
                  <c:v>592.25</c:v>
                </c:pt>
                <c:pt idx="18">
                  <c:v>590</c:v>
                </c:pt>
                <c:pt idx="19">
                  <c:v>587.75</c:v>
                </c:pt>
                <c:pt idx="20">
                  <c:v>585.5</c:v>
                </c:pt>
                <c:pt idx="21">
                  <c:v>583.25</c:v>
                </c:pt>
                <c:pt idx="22" formatCode="#,##0">
                  <c:v>581</c:v>
                </c:pt>
                <c:pt idx="23">
                  <c:v>576.4</c:v>
                </c:pt>
                <c:pt idx="24">
                  <c:v>571.79999999999995</c:v>
                </c:pt>
                <c:pt idx="25">
                  <c:v>567.19999999999993</c:v>
                </c:pt>
                <c:pt idx="26">
                  <c:v>562.59999999999991</c:v>
                </c:pt>
                <c:pt idx="27" formatCode="#,##0">
                  <c:v>558</c:v>
                </c:pt>
                <c:pt idx="28">
                  <c:v>584.53853094613225</c:v>
                </c:pt>
                <c:pt idx="29">
                  <c:v>611.07706189226451</c:v>
                </c:pt>
                <c:pt idx="30" formatCode="#,##0">
                  <c:v>637.61559283839676</c:v>
                </c:pt>
                <c:pt idx="31">
                  <c:v>652.41069695845874</c:v>
                </c:pt>
                <c:pt idx="32">
                  <c:v>667.20580107852072</c:v>
                </c:pt>
                <c:pt idx="33">
                  <c:v>682.0009051985827</c:v>
                </c:pt>
                <c:pt idx="34">
                  <c:v>696.79600931864468</c:v>
                </c:pt>
                <c:pt idx="35" formatCode="#,##0">
                  <c:v>711.59111343870688</c:v>
                </c:pt>
                <c:pt idx="36" formatCode="#,##0">
                  <c:v>1029.3734393489196</c:v>
                </c:pt>
                <c:pt idx="37" formatCode="#,##0">
                  <c:v>1530.0923957239386</c:v>
                </c:pt>
                <c:pt idx="38" formatCode="#,##0">
                  <c:v>2034.3918234986834</c:v>
                </c:pt>
                <c:pt idx="39" formatCode="#,##0">
                  <c:v>2780.8097496388555</c:v>
                </c:pt>
                <c:pt idx="40" formatCode="#,##0">
                  <c:v>3817.4813045264418</c:v>
                </c:pt>
              </c:numCache>
            </c:numRef>
          </c:val>
          <c:smooth val="0"/>
        </c:ser>
        <c:ser>
          <c:idx val="9"/>
          <c:order val="4"/>
          <c:tx>
            <c:strRef>
              <c:f>'App2DataFigs2.14-2.16'!$A$10</c:f>
              <c:strCache>
                <c:ptCount val="1"/>
                <c:pt idx="0">
                  <c:v>Africa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'App2DataFigs2.14-2.16'!$B$10:$AP$10</c:f>
              <c:numCache>
                <c:formatCode>#,##0.00</c:formatCode>
                <c:ptCount val="41"/>
                <c:pt idx="0" formatCode="#,##0">
                  <c:v>422</c:v>
                </c:pt>
                <c:pt idx="1">
                  <c:v>421.9</c:v>
                </c:pt>
                <c:pt idx="2">
                  <c:v>421.79999999999995</c:v>
                </c:pt>
                <c:pt idx="3">
                  <c:v>421.69999999999993</c:v>
                </c:pt>
                <c:pt idx="4">
                  <c:v>421.59999999999991</c:v>
                </c:pt>
                <c:pt idx="5">
                  <c:v>421.49999999999989</c:v>
                </c:pt>
                <c:pt idx="6">
                  <c:v>421.39999999999986</c:v>
                </c:pt>
                <c:pt idx="7">
                  <c:v>421.29999999999984</c:v>
                </c:pt>
                <c:pt idx="8">
                  <c:v>421.19999999999982</c:v>
                </c:pt>
                <c:pt idx="9">
                  <c:v>421.0999999999998</c:v>
                </c:pt>
                <c:pt idx="10" formatCode="#,##0">
                  <c:v>421</c:v>
                </c:pt>
                <c:pt idx="11">
                  <c:v>420.89632613107744</c:v>
                </c:pt>
                <c:pt idx="12">
                  <c:v>420.79265226215489</c:v>
                </c:pt>
                <c:pt idx="13">
                  <c:v>420.68897839323233</c:v>
                </c:pt>
                <c:pt idx="14">
                  <c:v>420.58530452430978</c:v>
                </c:pt>
                <c:pt idx="15">
                  <c:v>420.48163065538722</c:v>
                </c:pt>
                <c:pt idx="16">
                  <c:v>420.37795678646467</c:v>
                </c:pt>
                <c:pt idx="17">
                  <c:v>420.27428291754211</c:v>
                </c:pt>
                <c:pt idx="18">
                  <c:v>420.17060904861955</c:v>
                </c:pt>
                <c:pt idx="19">
                  <c:v>420.066935179697</c:v>
                </c:pt>
                <c:pt idx="20">
                  <c:v>419.96326131077444</c:v>
                </c:pt>
                <c:pt idx="21">
                  <c:v>419.85958744185189</c:v>
                </c:pt>
                <c:pt idx="22" formatCode="#,##0">
                  <c:v>419.75591357292956</c:v>
                </c:pt>
                <c:pt idx="23">
                  <c:v>435.80473085834365</c:v>
                </c:pt>
                <c:pt idx="24">
                  <c:v>451.85354814375773</c:v>
                </c:pt>
                <c:pt idx="25">
                  <c:v>467.90236542917182</c:v>
                </c:pt>
                <c:pt idx="26">
                  <c:v>483.95118271458591</c:v>
                </c:pt>
                <c:pt idx="27" formatCode="#,##0">
                  <c:v>500</c:v>
                </c:pt>
                <c:pt idx="28">
                  <c:v>533.66666666666663</c:v>
                </c:pt>
                <c:pt idx="29">
                  <c:v>567.33333333333326</c:v>
                </c:pt>
                <c:pt idx="30" formatCode="#,##0">
                  <c:v>601</c:v>
                </c:pt>
                <c:pt idx="31">
                  <c:v>659.50747063606275</c:v>
                </c:pt>
                <c:pt idx="32">
                  <c:v>718.0149412721255</c:v>
                </c:pt>
                <c:pt idx="33">
                  <c:v>776.52241190818825</c:v>
                </c:pt>
                <c:pt idx="34">
                  <c:v>835.029882544251</c:v>
                </c:pt>
                <c:pt idx="35" formatCode="#,##0">
                  <c:v>893.53735318031352</c:v>
                </c:pt>
                <c:pt idx="36" formatCode="#,##0">
                  <c:v>1065.949905114185</c:v>
                </c:pt>
                <c:pt idx="37" formatCode="#,##0">
                  <c:v>1356.9908360419292</c:v>
                </c:pt>
                <c:pt idx="38" formatCode="#,##0">
                  <c:v>1535.5886371738329</c:v>
                </c:pt>
                <c:pt idx="39" formatCode="#,##0">
                  <c:v>1443.6473077947514</c:v>
                </c:pt>
                <c:pt idx="40" formatCode="#,##0">
                  <c:v>1463.8047832105344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65632"/>
        <c:axId val="51767168"/>
      </c:lineChart>
      <c:catAx>
        <c:axId val="5176563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767168"/>
        <c:crossesAt val="100"/>
        <c:auto val="1"/>
        <c:lblAlgn val="ctr"/>
        <c:lblOffset val="100"/>
        <c:tickLblSkip val="5"/>
        <c:tickMarkSkip val="5"/>
        <c:noMultiLvlLbl val="0"/>
      </c:catAx>
      <c:valAx>
        <c:axId val="51767168"/>
        <c:scaling>
          <c:logBase val="10"/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765632"/>
        <c:crosses val="autoZero"/>
        <c:crossBetween val="between"/>
      </c:valAx>
      <c:spPr>
        <a:noFill/>
        <a:ln w="15875">
          <a:solidFill>
            <a:srgbClr val="000000"/>
          </a:solidFill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064056939501769E-2"/>
          <c:y val="5.8522661260165712E-2"/>
          <c:w val="0.91814946619217064"/>
          <c:h val="0.87472342394336489"/>
        </c:manualLayout>
      </c:layout>
      <c:lineChart>
        <c:grouping val="standard"/>
        <c:varyColors val="0"/>
        <c:ser>
          <c:idx val="0"/>
          <c:order val="0"/>
          <c:tx>
            <c:strRef>
              <c:f>'App2DataFigs2.14-2.16'!$A$16</c:f>
              <c:strCache>
                <c:ptCount val="1"/>
                <c:pt idx="0">
                  <c:v>RICHEST 4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solidFill>
                <a:schemeClr val="tx2"/>
              </a:solidFill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'App2DataFigs2.14-2.16'!$B$16:$AP$16</c:f>
              <c:numCache>
                <c:formatCode>0</c:formatCode>
                <c:ptCount val="41"/>
                <c:pt idx="0">
                  <c:v>1107.635045245813</c:v>
                </c:pt>
                <c:pt idx="10">
                  <c:v>1406.0802685347344</c:v>
                </c:pt>
                <c:pt idx="22">
                  <c:v>1534.0896018684518</c:v>
                </c:pt>
                <c:pt idx="23">
                  <c:v>1634.217228529217</c:v>
                </c:pt>
                <c:pt idx="24">
                  <c:v>1865.2968044528911</c:v>
                </c:pt>
                <c:pt idx="25">
                  <c:v>2130.7940039505306</c:v>
                </c:pt>
                <c:pt idx="26">
                  <c:v>2598.5776571191177</c:v>
                </c:pt>
                <c:pt idx="27">
                  <c:v>3080.029127586999</c:v>
                </c:pt>
                <c:pt idx="28">
                  <c:v>3643.5157807701084</c:v>
                </c:pt>
                <c:pt idx="29">
                  <c:v>3912.4474098236892</c:v>
                </c:pt>
                <c:pt idx="30">
                  <c:v>4223.5270451275037</c:v>
                </c:pt>
                <c:pt idx="31">
                  <c:v>5025.1628714330081</c:v>
                </c:pt>
                <c:pt idx="32">
                  <c:v>5126.7687410815861</c:v>
                </c:pt>
                <c:pt idx="33">
                  <c:v>5850.4372949306198</c:v>
                </c:pt>
                <c:pt idx="34">
                  <c:v>6640.6762597697407</c:v>
                </c:pt>
                <c:pt idx="35">
                  <c:v>8593.0438008321671</c:v>
                </c:pt>
                <c:pt idx="36">
                  <c:v>10510.323779447426</c:v>
                </c:pt>
                <c:pt idx="37">
                  <c:v>14333.839351629078</c:v>
                </c:pt>
                <c:pt idx="38">
                  <c:v>17189.88037201159</c:v>
                </c:pt>
                <c:pt idx="39">
                  <c:v>20505.168008366221</c:v>
                </c:pt>
                <c:pt idx="40">
                  <c:v>24425.513015024248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'App2DataFigs2.14-2.16'!$A$17</c:f>
              <c:strCache>
                <c:ptCount val="1"/>
                <c:pt idx="0">
                  <c:v>POOREST 4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2"/>
              </a:solidFill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'App2DataFigs2.14-2.16'!$B$17:$AP$17</c:f>
              <c:numCache>
                <c:formatCode>0</c:formatCode>
                <c:ptCount val="41"/>
                <c:pt idx="0">
                  <c:v>400</c:v>
                </c:pt>
                <c:pt idx="10">
                  <c:v>415.07142857142856</c:v>
                </c:pt>
                <c:pt idx="22">
                  <c:v>407.91430899475677</c:v>
                </c:pt>
                <c:pt idx="23">
                  <c:v>504.50251371010813</c:v>
                </c:pt>
                <c:pt idx="24">
                  <c:v>499.86785436450344</c:v>
                </c:pt>
                <c:pt idx="25">
                  <c:v>530.35435448047565</c:v>
                </c:pt>
                <c:pt idx="26">
                  <c:v>561.44411809301118</c:v>
                </c:pt>
                <c:pt idx="27">
                  <c:v>441.95528306071964</c:v>
                </c:pt>
                <c:pt idx="28">
                  <c:v>590.81585349132899</c:v>
                </c:pt>
                <c:pt idx="29">
                  <c:v>572.3860301262547</c:v>
                </c:pt>
                <c:pt idx="30">
                  <c:v>591.97798309269001</c:v>
                </c:pt>
                <c:pt idx="31">
                  <c:v>694.30765835912416</c:v>
                </c:pt>
                <c:pt idx="32">
                  <c:v>738.17075339318365</c:v>
                </c:pt>
                <c:pt idx="33">
                  <c:v>687.88895847579101</c:v>
                </c:pt>
                <c:pt idx="34">
                  <c:v>832.28843460154667</c:v>
                </c:pt>
                <c:pt idx="35">
                  <c:v>316.25900402701211</c:v>
                </c:pt>
                <c:pt idx="36">
                  <c:v>406.80451678483786</c:v>
                </c:pt>
                <c:pt idx="37">
                  <c:v>491.5402775827697</c:v>
                </c:pt>
                <c:pt idx="38">
                  <c:v>503.8273012527448</c:v>
                </c:pt>
                <c:pt idx="39">
                  <c:v>502.88846454329223</c:v>
                </c:pt>
                <c:pt idx="40">
                  <c:v>380.75607575871049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85696"/>
        <c:axId val="51496832"/>
      </c:lineChart>
      <c:catAx>
        <c:axId val="5148569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496832"/>
        <c:crossesAt val="100"/>
        <c:auto val="1"/>
        <c:lblAlgn val="ctr"/>
        <c:lblOffset val="100"/>
        <c:tickLblSkip val="5"/>
        <c:tickMarkSkip val="5"/>
        <c:noMultiLvlLbl val="0"/>
      </c:catAx>
      <c:valAx>
        <c:axId val="51496832"/>
        <c:scaling>
          <c:logBase val="10"/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/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48569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span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77580071174371E-2"/>
          <c:y val="5.1539721839095845E-2"/>
          <c:w val="0.91814946619217064"/>
          <c:h val="0.85814610766769306"/>
        </c:manualLayout>
      </c:layout>
      <c:lineChart>
        <c:grouping val="standard"/>
        <c:varyColors val="0"/>
        <c:ser>
          <c:idx val="0"/>
          <c:order val="0"/>
          <c:tx>
            <c:strRef>
              <c:f>'App2DataFigs2.14-2.16'!$A$15</c:f>
              <c:strCache>
                <c:ptCount val="1"/>
                <c:pt idx="0">
                  <c:v>RATIO OF RICHEST 4 TO POOREST 4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2"/>
              </a:solidFill>
            </c:spPr>
          </c:marker>
          <c:cat>
            <c:numRef>
              <c:f>'App2DataFigs2.14-2.16'!$B$3:$AP$3</c:f>
              <c:numCache>
                <c:formatCode>General</c:formatCode>
                <c:ptCount val="41"/>
                <c:pt idx="0">
                  <c:v>1600</c:v>
                </c:pt>
                <c:pt idx="1">
                  <c:v>1610</c:v>
                </c:pt>
                <c:pt idx="2">
                  <c:v>1620</c:v>
                </c:pt>
                <c:pt idx="3">
                  <c:v>1630</c:v>
                </c:pt>
                <c:pt idx="4">
                  <c:v>1640</c:v>
                </c:pt>
                <c:pt idx="5">
                  <c:v>1650</c:v>
                </c:pt>
                <c:pt idx="6">
                  <c:v>1660</c:v>
                </c:pt>
                <c:pt idx="7">
                  <c:v>1670</c:v>
                </c:pt>
                <c:pt idx="8">
                  <c:v>1680</c:v>
                </c:pt>
                <c:pt idx="9">
                  <c:v>1690</c:v>
                </c:pt>
                <c:pt idx="10">
                  <c:v>1700</c:v>
                </c:pt>
                <c:pt idx="11">
                  <c:v>1710</c:v>
                </c:pt>
                <c:pt idx="12">
                  <c:v>1720</c:v>
                </c:pt>
                <c:pt idx="13">
                  <c:v>1730</c:v>
                </c:pt>
                <c:pt idx="14">
                  <c:v>1740</c:v>
                </c:pt>
                <c:pt idx="15">
                  <c:v>1750</c:v>
                </c:pt>
                <c:pt idx="16">
                  <c:v>1760</c:v>
                </c:pt>
                <c:pt idx="17">
                  <c:v>1770</c:v>
                </c:pt>
                <c:pt idx="18">
                  <c:v>1780</c:v>
                </c:pt>
                <c:pt idx="19">
                  <c:v>1790</c:v>
                </c:pt>
                <c:pt idx="20">
                  <c:v>1800</c:v>
                </c:pt>
                <c:pt idx="21">
                  <c:v>1810</c:v>
                </c:pt>
                <c:pt idx="22">
                  <c:v>1820</c:v>
                </c:pt>
                <c:pt idx="23">
                  <c:v>1830</c:v>
                </c:pt>
                <c:pt idx="24">
                  <c:v>1840</c:v>
                </c:pt>
                <c:pt idx="25">
                  <c:v>1850</c:v>
                </c:pt>
                <c:pt idx="26">
                  <c:v>1860</c:v>
                </c:pt>
                <c:pt idx="27">
                  <c:v>1870</c:v>
                </c:pt>
                <c:pt idx="28">
                  <c:v>1880</c:v>
                </c:pt>
                <c:pt idx="29">
                  <c:v>1890</c:v>
                </c:pt>
                <c:pt idx="30">
                  <c:v>1900</c:v>
                </c:pt>
                <c:pt idx="31">
                  <c:v>1910</c:v>
                </c:pt>
                <c:pt idx="32">
                  <c:v>1920</c:v>
                </c:pt>
                <c:pt idx="33">
                  <c:v>1930</c:v>
                </c:pt>
                <c:pt idx="34">
                  <c:v>1940</c:v>
                </c:pt>
                <c:pt idx="35">
                  <c:v>1950</c:v>
                </c:pt>
                <c:pt idx="36">
                  <c:v>1960</c:v>
                </c:pt>
                <c:pt idx="37">
                  <c:v>1970</c:v>
                </c:pt>
                <c:pt idx="38">
                  <c:v>1980</c:v>
                </c:pt>
                <c:pt idx="39">
                  <c:v>1990</c:v>
                </c:pt>
                <c:pt idx="40">
                  <c:v>2000</c:v>
                </c:pt>
              </c:numCache>
            </c:numRef>
          </c:cat>
          <c:val>
            <c:numRef>
              <c:f>'App2DataFigs2.14-2.16'!$B$15:$AP$15</c:f>
              <c:numCache>
                <c:formatCode>0.00</c:formatCode>
                <c:ptCount val="41"/>
                <c:pt idx="0">
                  <c:v>2.7690876131145323</c:v>
                </c:pt>
                <c:pt idx="10">
                  <c:v>3.3875621682130928</c:v>
                </c:pt>
                <c:pt idx="22">
                  <c:v>3.7608134062494254</c:v>
                </c:pt>
                <c:pt idx="23">
                  <c:v>3.2392647888138244</c:v>
                </c:pt>
                <c:pt idx="24">
                  <c:v>3.7315798328826273</c:v>
                </c:pt>
                <c:pt idx="25">
                  <c:v>4.0176798511210734</c:v>
                </c:pt>
                <c:pt idx="26">
                  <c:v>4.6283816561216984</c:v>
                </c:pt>
                <c:pt idx="27">
                  <c:v>6.9690967517268891</c:v>
                </c:pt>
                <c:pt idx="28">
                  <c:v>6.166922839391245</c:v>
                </c:pt>
                <c:pt idx="29">
                  <c:v>6.8353300113923057</c:v>
                </c:pt>
                <c:pt idx="30">
                  <c:v>7.1346015658595823</c:v>
                </c:pt>
                <c:pt idx="31">
                  <c:v>7.2376601509899947</c:v>
                </c:pt>
                <c:pt idx="32">
                  <c:v>6.9452341717890222</c:v>
                </c:pt>
                <c:pt idx="33">
                  <c:v>8.5049152524469758</c:v>
                </c:pt>
                <c:pt idx="34">
                  <c:v>7.9788159773587708</c:v>
                </c:pt>
                <c:pt idx="35">
                  <c:v>27.170906413460479</c:v>
                </c:pt>
                <c:pt idx="36">
                  <c:v>25.836300595960246</c:v>
                </c:pt>
                <c:pt idx="37">
                  <c:v>29.161067780890907</c:v>
                </c:pt>
                <c:pt idx="38">
                  <c:v>34.118596450152054</c:v>
                </c:pt>
                <c:pt idx="39">
                  <c:v>40.77478298689627</c:v>
                </c:pt>
                <c:pt idx="40">
                  <c:v>64.150028246700856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11104"/>
        <c:axId val="52036352"/>
      </c:lineChart>
      <c:catAx>
        <c:axId val="5091110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3635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2036352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911104"/>
        <c:crosses val="autoZero"/>
        <c:crossBetween val="between"/>
        <c:majorUnit val="1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span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50" workbookViewId="0"/>
  </sheetViews>
  <pageMargins left="0.75" right="0.75" top="1" bottom="1" header="0.5" footer="0.5"/>
  <pageSetup orientation="landscape" horizontalDpi="360" r:id="rId1"/>
  <headerFooter alignWithMargins="0">
    <oddHeader>&amp;A</oddHeader>
    <oddFooter>Page &amp;P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tabSelected="1"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4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4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4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8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8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85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0.04675</cdr:x>
      <cdr:y>0.954</cdr:y>
    </cdr:from>
    <cdr:to>
      <cdr:x>0.51075</cdr:x>
      <cdr:y>0.99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2628" y="5570239"/>
          <a:ext cx="3982059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U.S. Bureau of Economic Analysis (1958=100) </a:t>
          </a:r>
        </a:p>
      </cdr:txBody>
    </cdr:sp>
  </cdr:relSizeAnchor>
  <cdr:relSizeAnchor xmlns:cdr="http://schemas.openxmlformats.org/drawingml/2006/chartDrawing">
    <cdr:from>
      <cdr:x>0.04675</cdr:x>
      <cdr:y>0.954</cdr:y>
    </cdr:from>
    <cdr:to>
      <cdr:x>0.51075</cdr:x>
      <cdr:y>0.99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2628" y="5570239"/>
          <a:ext cx="3982059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U.S. Bureau of Economic Analysis (1958=100)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7540" cy="582587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0.05825</cdr:x>
      <cdr:y>0.95237</cdr:y>
    </cdr:from>
    <cdr:to>
      <cdr:x>0.52325</cdr:x>
      <cdr:y>0.98912</cdr:y>
    </cdr:to>
    <cdr:sp macro="" textlink="">
      <cdr:nvSpPr>
        <cdr:cNvPr id="471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1668" y="5555161"/>
          <a:ext cx="3998338" cy="2113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U.S. Bureau of Economic Analysis (1958=100)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7540" cy="582587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0.07125</cdr:x>
      <cdr:y>0.94125</cdr:y>
    </cdr:from>
    <cdr:to>
      <cdr:x>0.53425</cdr:x>
      <cdr:y>0.978</cdr:y>
    </cdr:to>
    <cdr:sp macro="" textlink="">
      <cdr:nvSpPr>
        <cdr:cNvPr id="297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2160" y="5501633"/>
          <a:ext cx="3982059" cy="210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Source:  Measuring Worth.com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(2005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dollars)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40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0.27657</cdr:x>
      <cdr:y>0.68455</cdr:y>
    </cdr:from>
    <cdr:to>
      <cdr:x>0.46057</cdr:x>
      <cdr:y>0.7443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4204" y="3999518"/>
          <a:ext cx="1579531" cy="3500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Great Depression</a:t>
          </a:r>
        </a:p>
      </cdr:txBody>
    </cdr:sp>
  </cdr:relSizeAnchor>
  <cdr:relSizeAnchor xmlns:cdr="http://schemas.openxmlformats.org/drawingml/2006/chartDrawing">
    <cdr:from>
      <cdr:x>0.41234</cdr:x>
      <cdr:y>0.38597</cdr:y>
    </cdr:from>
    <cdr:to>
      <cdr:x>0.56359</cdr:x>
      <cdr:y>0.42847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9685" y="2251799"/>
          <a:ext cx="1298392" cy="2479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Mexican War</a:t>
          </a:r>
        </a:p>
      </cdr:txBody>
    </cdr:sp>
  </cdr:relSizeAnchor>
  <cdr:relSizeAnchor xmlns:cdr="http://schemas.openxmlformats.org/drawingml/2006/chartDrawing">
    <cdr:from>
      <cdr:x>0.0527</cdr:x>
      <cdr:y>0.90286</cdr:y>
    </cdr:from>
    <cdr:to>
      <cdr:x>0.2663</cdr:x>
      <cdr:y>0.94311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2436" y="5267326"/>
          <a:ext cx="1833563" cy="2333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 Ayrres (1939)</a:t>
          </a:r>
        </a:p>
      </cdr:txBody>
    </cdr:sp>
  </cdr:relSizeAnchor>
  <cdr:relSizeAnchor xmlns:cdr="http://schemas.openxmlformats.org/drawingml/2006/chartDrawing">
    <cdr:from>
      <cdr:x>0.8435</cdr:x>
      <cdr:y>0.41721</cdr:y>
    </cdr:from>
    <cdr:to>
      <cdr:x>0.951</cdr:x>
      <cdr:y>0.4975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24476" y="2428875"/>
          <a:ext cx="920725" cy="467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U.S. Civil War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40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0.22682</cdr:x>
      <cdr:y>0.62561</cdr:y>
    </cdr:from>
    <cdr:to>
      <cdr:x>0.41157</cdr:x>
      <cdr:y>0.67037</cdr:y>
    </cdr:to>
    <cdr:sp macro="" textlink="">
      <cdr:nvSpPr>
        <cdr:cNvPr id="1536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47089" y="3649877"/>
          <a:ext cx="1585969" cy="261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Great Depression</a:t>
          </a:r>
        </a:p>
      </cdr:txBody>
    </cdr:sp>
  </cdr:relSizeAnchor>
  <cdr:relSizeAnchor xmlns:cdr="http://schemas.openxmlformats.org/drawingml/2006/chartDrawing">
    <cdr:from>
      <cdr:x>0.05446</cdr:x>
      <cdr:y>0.90871</cdr:y>
    </cdr:from>
    <cdr:to>
      <cdr:x>0.27462</cdr:x>
      <cdr:y>0.95306</cdr:y>
    </cdr:to>
    <cdr:sp macro="" textlink="">
      <cdr:nvSpPr>
        <cdr:cNvPr id="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7518" y="5301455"/>
          <a:ext cx="1889919" cy="2587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 Ayrres (1939)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40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0.75129</cdr:x>
      <cdr:y>0.88086</cdr:y>
    </cdr:from>
    <cdr:to>
      <cdr:x>0.95179</cdr:x>
      <cdr:y>0.92886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4721" y="5128111"/>
          <a:ext cx="1717258" cy="2794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Great Depression</a:t>
          </a:r>
        </a:p>
      </cdr:txBody>
    </cdr:sp>
  </cdr:relSizeAnchor>
  <cdr:relSizeAnchor xmlns:cdr="http://schemas.openxmlformats.org/drawingml/2006/chartDrawing">
    <cdr:from>
      <cdr:x>0.32706</cdr:x>
      <cdr:y>0.31673</cdr:y>
    </cdr:from>
    <cdr:to>
      <cdr:x>0.47756</cdr:x>
      <cdr:y>0.35823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07634" y="1847816"/>
          <a:ext cx="1291953" cy="2421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World War I</a:t>
          </a:r>
        </a:p>
      </cdr:txBody>
    </cdr:sp>
  </cdr:relSizeAnchor>
  <cdr:relSizeAnchor xmlns:cdr="http://schemas.openxmlformats.org/drawingml/2006/chartDrawing">
    <cdr:from>
      <cdr:x>0.05585</cdr:x>
      <cdr:y>0.88293</cdr:y>
    </cdr:from>
    <cdr:to>
      <cdr:x>0.26907</cdr:x>
      <cdr:y>0.92828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425" y="5146674"/>
          <a:ext cx="1830388" cy="2587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 Ayrres (1939)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7540" cy="582587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0.74104</cdr:x>
      <cdr:y>0.25141</cdr:y>
    </cdr:from>
    <cdr:to>
      <cdr:x>0.92504</cdr:x>
      <cdr:y>0.29191</cdr:y>
    </cdr:to>
    <cdr:sp macro="" textlink="">
      <cdr:nvSpPr>
        <cdr:cNvPr id="553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4816" y="1465697"/>
          <a:ext cx="1588616" cy="2390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Productivity</a:t>
          </a:r>
        </a:p>
      </cdr:txBody>
    </cdr:sp>
  </cdr:relSizeAnchor>
  <cdr:relSizeAnchor xmlns:cdr="http://schemas.openxmlformats.org/drawingml/2006/chartDrawing">
    <cdr:from>
      <cdr:x>0.73803</cdr:x>
      <cdr:y>0.38877</cdr:y>
    </cdr:from>
    <cdr:to>
      <cdr:x>0.94824</cdr:x>
      <cdr:y>0.51972</cdr:y>
    </cdr:to>
    <cdr:sp macro="" textlink="">
      <cdr:nvSpPr>
        <cdr:cNvPr id="5530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28997" y="2267962"/>
          <a:ext cx="1809093" cy="7605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Real Compensation </a:t>
          </a:r>
        </a:p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Per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Production Worker</a:t>
          </a:r>
        </a:p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(CPI-based)</a:t>
          </a:r>
        </a:p>
      </cdr:txBody>
    </cdr:sp>
  </cdr:relSizeAnchor>
  <cdr:relSizeAnchor xmlns:cdr="http://schemas.openxmlformats.org/drawingml/2006/chartDrawing">
    <cdr:from>
      <cdr:x>0.04544</cdr:x>
      <cdr:y>0.94374</cdr:y>
    </cdr:from>
    <cdr:to>
      <cdr:x>0.62405</cdr:x>
      <cdr:y>0.98445</cdr:y>
    </cdr:to>
    <cdr:sp macro="" textlink="">
      <cdr:nvSpPr>
        <cdr:cNvPr id="9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7048" y="5491238"/>
          <a:ext cx="4957845" cy="2384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Source: U.S. Bureau of Economic Analysis  and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Measuring 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Worth.com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(1889 = 100) </a:t>
          </a:r>
        </a:p>
      </cdr:txBody>
    </cdr:sp>
  </cdr:relSizeAnchor>
  <cdr:relSizeAnchor xmlns:cdr="http://schemas.openxmlformats.org/drawingml/2006/chartDrawing">
    <cdr:from>
      <cdr:x>0.3651</cdr:x>
      <cdr:y>0.09304</cdr:y>
    </cdr:from>
    <cdr:to>
      <cdr:x>0.50779</cdr:x>
      <cdr:y>0.21204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124489" y="533657"/>
          <a:ext cx="1225785" cy="702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 i="1"/>
            <a:t>Great</a:t>
          </a:r>
          <a:r>
            <a:rPr lang="en-US" sz="1200" b="1" i="1" baseline="0"/>
            <a:t> Depression</a:t>
          </a:r>
        </a:p>
        <a:p xmlns:a="http://schemas.openxmlformats.org/drawingml/2006/main">
          <a:r>
            <a:rPr lang="en-US" sz="1200" b="1" i="1" baseline="0"/>
            <a:t>1929-1939</a:t>
          </a:r>
          <a:endParaRPr lang="en-US" sz="1200" b="1" i="1"/>
        </a:p>
      </cdr:txBody>
    </cdr:sp>
  </cdr:relSizeAnchor>
  <cdr:relSizeAnchor xmlns:cdr="http://schemas.openxmlformats.org/drawingml/2006/chartDrawing">
    <cdr:from>
      <cdr:x>0.37024</cdr:x>
      <cdr:y>0.07104</cdr:y>
    </cdr:from>
    <cdr:to>
      <cdr:x>0.44374</cdr:x>
      <cdr:y>0.87992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3172858" y="411239"/>
          <a:ext cx="632445" cy="471714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75000"/>
            <a:alpha val="30000"/>
          </a:sysClr>
        </a:solidFill>
        <a:ln xmlns:a="http://schemas.openxmlformats.org/drawingml/2006/main"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7540" cy="582587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0.95</cdr:x>
      <cdr:y>0.14225</cdr:y>
    </cdr:from>
    <cdr:to>
      <cdr:x>0.95</cdr:x>
      <cdr:y>0.87925</cdr:y>
    </cdr:to>
    <cdr:sp macro="" textlink="">
      <cdr:nvSpPr>
        <cdr:cNvPr id="64515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8137905" y="788241"/>
          <a:ext cx="0" cy="434700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0.02683</cdr:x>
      <cdr:y>0.93857</cdr:y>
    </cdr:from>
    <cdr:to>
      <cdr:x>0.60669</cdr:x>
      <cdr:y>0.98548</cdr:y>
    </cdr:to>
    <cdr:sp macro="" textlink="">
      <cdr:nvSpPr>
        <cdr:cNvPr id="7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0077" y="5474682"/>
          <a:ext cx="4964028" cy="270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Source: U.S. Bureau of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Economic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Analysis  and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Measuring Worth.com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(1889 = 100) </a:t>
          </a:r>
        </a:p>
      </cdr:txBody>
    </cdr:sp>
  </cdr:relSizeAnchor>
  <cdr:relSizeAnchor xmlns:cdr="http://schemas.openxmlformats.org/drawingml/2006/chartDrawing">
    <cdr:from>
      <cdr:x>0.06995</cdr:x>
      <cdr:y>0.38733</cdr:y>
    </cdr:from>
    <cdr:to>
      <cdr:x>0.94293</cdr:x>
      <cdr:y>0.3894</cdr:y>
    </cdr:to>
    <cdr:sp macro="" textlink="">
      <cdr:nvSpPr>
        <cdr:cNvPr id="10" name="Straight Connector 9"/>
        <cdr:cNvSpPr/>
      </cdr:nvSpPr>
      <cdr:spPr bwMode="auto">
        <a:xfrm xmlns:a="http://schemas.openxmlformats.org/drawingml/2006/main" flipV="1">
          <a:off x="593430" y="2265393"/>
          <a:ext cx="7484117" cy="12068"/>
        </a:xfrm>
        <a:prstGeom xmlns:a="http://schemas.openxmlformats.org/drawingml/2006/main" prst="line">
          <a:avLst/>
        </a:prstGeom>
        <a:solidFill xmlns:a="http://schemas.openxmlformats.org/drawingml/2006/main">
          <a:srgbClr val="FFFFFF"/>
        </a:solidFill>
        <a:ln xmlns:a="http://schemas.openxmlformats.org/drawingml/2006/main"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0.73675</cdr:x>
      <cdr:y>0.06157</cdr:y>
    </cdr:from>
    <cdr:to>
      <cdr:x>0.9519</cdr:x>
      <cdr:y>0.87526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6309442" y="374953"/>
          <a:ext cx="1840736" cy="473647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30000"/>
          </a:schemeClr>
        </a:solidFill>
        <a:ln xmlns:a="http://schemas.openxmlformats.org/drawingml/2006/main"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0.3597</cdr:x>
      <cdr:y>0.06157</cdr:y>
    </cdr:from>
    <cdr:to>
      <cdr:x>0.43344</cdr:x>
      <cdr:y>0.87759</cdr:y>
    </cdr:to>
    <cdr:sp macro="" textlink="">
      <cdr:nvSpPr>
        <cdr:cNvPr id="9" name="Rectangle 8"/>
        <cdr:cNvSpPr/>
      </cdr:nvSpPr>
      <cdr:spPr bwMode="auto">
        <a:xfrm xmlns:a="http://schemas.openxmlformats.org/drawingml/2006/main">
          <a:off x="3076040" y="374953"/>
          <a:ext cx="632360" cy="47486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30000"/>
          </a:schemeClr>
        </a:solidFill>
        <a:ln xmlns:a="http://schemas.openxmlformats.org/drawingml/2006/main"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0.74382</cdr:x>
      <cdr:y>0.07612</cdr:y>
    </cdr:from>
    <cdr:to>
      <cdr:x>0.92816</cdr:x>
      <cdr:y>0.16155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6370056" y="461251"/>
          <a:ext cx="1574380" cy="4965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 i="1" baseline="0"/>
            <a:t>Neoliberalism Era</a:t>
          </a:r>
          <a:endParaRPr lang="en-US" sz="1200" b="1" i="1"/>
        </a:p>
      </cdr:txBody>
    </cdr:sp>
  </cdr:relSizeAnchor>
  <cdr:relSizeAnchor xmlns:cdr="http://schemas.openxmlformats.org/drawingml/2006/chartDrawing">
    <cdr:from>
      <cdr:x>0.3611</cdr:x>
      <cdr:y>0.06985</cdr:y>
    </cdr:from>
    <cdr:to>
      <cdr:x>0.50379</cdr:x>
      <cdr:y>0.1906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3088061" y="424703"/>
          <a:ext cx="1225786" cy="702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900"/>
            </a:lnSpc>
          </a:pPr>
          <a:r>
            <a:rPr lang="en-US" sz="1200" b="1" i="1"/>
            <a:t>Great</a:t>
          </a:r>
          <a:r>
            <a:rPr lang="en-US" sz="1200" b="1" i="1" baseline="0"/>
            <a:t> Depression</a:t>
          </a:r>
        </a:p>
        <a:p xmlns:a="http://schemas.openxmlformats.org/drawingml/2006/main">
          <a:pPr>
            <a:lnSpc>
              <a:spcPts val="1300"/>
            </a:lnSpc>
          </a:pPr>
          <a:r>
            <a:rPr lang="en-US" sz="1200" b="1" i="1" baseline="0"/>
            <a:t>1929-1939</a:t>
          </a:r>
          <a:endParaRPr lang="en-US" sz="1200" b="1" i="1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7540" cy="582587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0.27645</cdr:x>
      <cdr:y>0.07179</cdr:y>
    </cdr:from>
    <cdr:to>
      <cdr:x>0.29594</cdr:x>
      <cdr:y>0.82955</cdr:y>
    </cdr:to>
    <cdr:sp macro="" textlink="">
      <cdr:nvSpPr>
        <cdr:cNvPr id="10" name="Rectangle 9"/>
        <cdr:cNvSpPr/>
      </cdr:nvSpPr>
      <cdr:spPr bwMode="auto">
        <a:xfrm xmlns:a="http://schemas.openxmlformats.org/drawingml/2006/main">
          <a:off x="2387855" y="411239"/>
          <a:ext cx="152145" cy="441476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0.62859</cdr:x>
      <cdr:y>0.06971</cdr:y>
    </cdr:from>
    <cdr:to>
      <cdr:x>0.71655</cdr:x>
      <cdr:y>0.82607</cdr:y>
    </cdr:to>
    <cdr:sp macro="" textlink="">
      <cdr:nvSpPr>
        <cdr:cNvPr id="17" name="Rectangle 16"/>
        <cdr:cNvSpPr/>
      </cdr:nvSpPr>
      <cdr:spPr bwMode="auto">
        <a:xfrm xmlns:a="http://schemas.openxmlformats.org/drawingml/2006/main">
          <a:off x="5401208" y="399144"/>
          <a:ext cx="762879" cy="440802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0.46295</cdr:x>
      <cdr:y>0.06971</cdr:y>
    </cdr:from>
    <cdr:to>
      <cdr:x>0.49058</cdr:x>
      <cdr:y>0.82814</cdr:y>
    </cdr:to>
    <cdr:sp macro="" textlink="">
      <cdr:nvSpPr>
        <cdr:cNvPr id="16" name="Rectangle 15"/>
        <cdr:cNvSpPr/>
      </cdr:nvSpPr>
      <cdr:spPr bwMode="auto">
        <a:xfrm xmlns:a="http://schemas.openxmlformats.org/drawingml/2006/main">
          <a:off x="3972183" y="399143"/>
          <a:ext cx="236960" cy="442009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0.08282</cdr:x>
      <cdr:y>0.06936</cdr:y>
    </cdr:from>
    <cdr:to>
      <cdr:x>0.10553</cdr:x>
      <cdr:y>0.8249</cdr:y>
    </cdr:to>
    <cdr:sp macro="" textlink="">
      <cdr:nvSpPr>
        <cdr:cNvPr id="9" name="Rectangle 8"/>
        <cdr:cNvSpPr/>
      </cdr:nvSpPr>
      <cdr:spPr bwMode="auto">
        <a:xfrm xmlns:a="http://schemas.openxmlformats.org/drawingml/2006/main">
          <a:off x="716654" y="397066"/>
          <a:ext cx="190490" cy="44047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65000"/>
            <a:alpha val="20000"/>
          </a:scheme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0.02775</cdr:x>
      <cdr:y>0.32325</cdr:y>
    </cdr:from>
    <cdr:to>
      <cdr:x>0.2235</cdr:x>
      <cdr:y>0.405</cdr:y>
    </cdr:to>
    <cdr:sp macro="" textlink="">
      <cdr:nvSpPr>
        <cdr:cNvPr id="17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860" y="1788140"/>
          <a:ext cx="1667059" cy="4948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0.12321</cdr:x>
      <cdr:y>0.07432</cdr:y>
    </cdr:from>
    <cdr:to>
      <cdr:x>0.25222</cdr:x>
      <cdr:y>0.20457</cdr:y>
    </cdr:to>
    <cdr:sp macro="" textlink="">
      <cdr:nvSpPr>
        <cdr:cNvPr id="174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709" y="425975"/>
          <a:ext cx="1106339" cy="7593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Last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Part </a:t>
          </a:r>
        </a:p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of Great Depression </a:t>
          </a:r>
        </a:p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of 1873-1893</a:t>
          </a:r>
        </a:p>
      </cdr:txBody>
    </cdr:sp>
  </cdr:relSizeAnchor>
  <cdr:relSizeAnchor xmlns:cdr="http://schemas.openxmlformats.org/drawingml/2006/chartDrawing">
    <cdr:from>
      <cdr:x>0.3245</cdr:x>
      <cdr:y>0.08185</cdr:y>
    </cdr:from>
    <cdr:to>
      <cdr:x>0.44968</cdr:x>
      <cdr:y>0.18128</cdr:y>
    </cdr:to>
    <cdr:sp macro="" textlink="">
      <cdr:nvSpPr>
        <cdr:cNvPr id="174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93473" y="471359"/>
          <a:ext cx="1064908" cy="5782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Great Depression </a:t>
          </a:r>
        </a:p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of 1929-1939</a:t>
          </a:r>
        </a:p>
      </cdr:txBody>
    </cdr:sp>
  </cdr:relSizeAnchor>
  <cdr:relSizeAnchor xmlns:cdr="http://schemas.openxmlformats.org/drawingml/2006/chartDrawing">
    <cdr:from>
      <cdr:x>0.0245</cdr:x>
      <cdr:y>0.9255</cdr:y>
    </cdr:from>
    <cdr:to>
      <cdr:x>0.63859</cdr:x>
      <cdr:y>0.9795</cdr:y>
    </cdr:to>
    <cdr:sp macro="" textlink="">
      <cdr:nvSpPr>
        <cdr:cNvPr id="1741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0100" y="5391206"/>
          <a:ext cx="5281138" cy="3177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Source: Bureau of Economic Analysis,Total Civilian Unemployment Rate.</a:t>
          </a:r>
        </a:p>
      </cdr:txBody>
    </cdr:sp>
  </cdr:relSizeAnchor>
  <cdr:relSizeAnchor xmlns:cdr="http://schemas.openxmlformats.org/drawingml/2006/chartDrawing">
    <cdr:from>
      <cdr:x>0.62822</cdr:x>
      <cdr:y>0.49073</cdr:y>
    </cdr:from>
    <cdr:to>
      <cdr:x>0.75898</cdr:x>
      <cdr:y>0.58482</cdr:y>
    </cdr:to>
    <cdr:sp macro="" textlink="">
      <cdr:nvSpPr>
        <cdr:cNvPr id="174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06572" y="2849257"/>
          <a:ext cx="1112762" cy="5543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Great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Stagflation </a:t>
          </a:r>
        </a:p>
      </cdr:txBody>
    </cdr:sp>
  </cdr:relSizeAnchor>
  <cdr:relSizeAnchor xmlns:cdr="http://schemas.openxmlformats.org/drawingml/2006/chartDrawing">
    <cdr:from>
      <cdr:x>0.26548</cdr:x>
      <cdr:y>0.45934</cdr:y>
    </cdr:from>
    <cdr:to>
      <cdr:x>0.33709</cdr:x>
      <cdr:y>0.52809</cdr:y>
    </cdr:to>
    <cdr:sp macro="" textlink="">
      <cdr:nvSpPr>
        <cdr:cNvPr id="1741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76645" y="2667701"/>
          <a:ext cx="614117" cy="4066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End of </a:t>
          </a:r>
        </a:p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WW I </a:t>
          </a:r>
        </a:p>
      </cdr:txBody>
    </cdr:sp>
  </cdr:relSizeAnchor>
  <cdr:relSizeAnchor xmlns:cdr="http://schemas.openxmlformats.org/drawingml/2006/chartDrawing">
    <cdr:from>
      <cdr:x>0.09015</cdr:x>
      <cdr:y>0.21777</cdr:y>
    </cdr:from>
    <cdr:to>
      <cdr:x>0.15631</cdr:x>
      <cdr:y>0.34831</cdr:y>
    </cdr:to>
    <cdr:sp macro="" textlink="">
      <cdr:nvSpPr>
        <cdr:cNvPr id="12" name="Straight Arrow Connector 11"/>
        <cdr:cNvSpPr/>
      </cdr:nvSpPr>
      <cdr:spPr bwMode="auto">
        <a:xfrm xmlns:a="http://schemas.openxmlformats.org/drawingml/2006/main" rot="10800000" flipV="1">
          <a:off x="775267" y="1257905"/>
          <a:ext cx="567303" cy="76686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5875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0.34989</cdr:x>
      <cdr:y>0.06764</cdr:y>
    </cdr:from>
    <cdr:to>
      <cdr:x>0.41701</cdr:x>
      <cdr:y>0.82723</cdr:y>
    </cdr:to>
    <cdr:sp macro="" textlink="">
      <cdr:nvSpPr>
        <cdr:cNvPr id="14" name="Rectangle 13"/>
        <cdr:cNvSpPr/>
      </cdr:nvSpPr>
      <cdr:spPr bwMode="auto">
        <a:xfrm xmlns:a="http://schemas.openxmlformats.org/drawingml/2006/main">
          <a:off x="3015497" y="387048"/>
          <a:ext cx="571302" cy="442685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65000"/>
            <a:alpha val="20000"/>
          </a:scheme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0.8905</cdr:x>
      <cdr:y>0.06764</cdr:y>
    </cdr:from>
    <cdr:to>
      <cdr:x>0.90914</cdr:x>
      <cdr:y>0.82955</cdr:y>
    </cdr:to>
    <cdr:sp macro="" textlink="">
      <cdr:nvSpPr>
        <cdr:cNvPr id="18" name="Rectangle 17"/>
        <cdr:cNvSpPr/>
      </cdr:nvSpPr>
      <cdr:spPr bwMode="auto">
        <a:xfrm xmlns:a="http://schemas.openxmlformats.org/drawingml/2006/main">
          <a:off x="7653655" y="387048"/>
          <a:ext cx="159869" cy="443895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0.82975</cdr:x>
      <cdr:y>0.47868</cdr:y>
    </cdr:from>
    <cdr:to>
      <cdr:x>0.90334</cdr:x>
      <cdr:y>0.56274</cdr:y>
    </cdr:to>
    <cdr:sp macro="" textlink="">
      <cdr:nvSpPr>
        <cdr:cNvPr id="19" name="Straight Arrow Connector 18"/>
        <cdr:cNvSpPr/>
      </cdr:nvSpPr>
      <cdr:spPr bwMode="auto">
        <a:xfrm xmlns:a="http://schemas.openxmlformats.org/drawingml/2006/main" rot="10800000" flipH="1" flipV="1">
          <a:off x="7124094" y="2781905"/>
          <a:ext cx="628953" cy="495905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58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0.78484</cdr:x>
      <cdr:y>0.40437</cdr:y>
    </cdr:from>
    <cdr:to>
      <cdr:x>0.86533</cdr:x>
      <cdr:y>0.49031</cdr:y>
    </cdr:to>
    <cdr:sp macro="" textlink="">
      <cdr:nvSpPr>
        <cdr:cNvPr id="20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5425" y="2350164"/>
          <a:ext cx="690244" cy="496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Global 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Crisis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0.44714</cdr:x>
      <cdr:y>0.59918</cdr:y>
    </cdr:from>
    <cdr:to>
      <cdr:x>0.51775</cdr:x>
      <cdr:y>0.66868</cdr:y>
    </cdr:to>
    <cdr:sp macro="" textlink="">
      <cdr:nvSpPr>
        <cdr:cNvPr id="2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36610" y="3485847"/>
          <a:ext cx="614117" cy="4066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End of </a:t>
          </a:r>
        </a:p>
        <a:p xmlns:a="http://schemas.openxmlformats.org/drawingml/2006/main"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WW II 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68765" cy="582705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568765" cy="582705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0.85565</cdr:x>
      <cdr:y>0.21683</cdr:y>
    </cdr:from>
    <cdr:to>
      <cdr:x>0.96444</cdr:x>
      <cdr:y>0.25583</cdr:y>
    </cdr:to>
    <cdr:sp macro="" textlink="">
      <cdr:nvSpPr>
        <cdr:cNvPr id="266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33130" y="1263463"/>
          <a:ext cx="932330" cy="2272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Richest 4</a:t>
          </a:r>
          <a:endParaRPr lang="en-US" sz="1400"/>
        </a:p>
      </cdr:txBody>
    </cdr:sp>
  </cdr:relSizeAnchor>
  <cdr:relSizeAnchor xmlns:cdr="http://schemas.openxmlformats.org/drawingml/2006/chartDrawing">
    <cdr:from>
      <cdr:x>0.855</cdr:x>
      <cdr:y>0.67283</cdr:y>
    </cdr:from>
    <cdr:to>
      <cdr:x>0.96354</cdr:x>
      <cdr:y>0.71108</cdr:y>
    </cdr:to>
    <cdr:sp macro="" textlink="">
      <cdr:nvSpPr>
        <cdr:cNvPr id="6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21178" y="3923553"/>
          <a:ext cx="932330" cy="2272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Poorest 4</a:t>
          </a:r>
          <a:endParaRPr lang="en-US" sz="14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568765" cy="582705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ik_000/Dropbox/_ANWAR/ALLDATA/_NEW%20ALLDATA/Long%20Run%20Patterns/_Long%20Term%20Main/_USPATTERNS1bo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17.1 usukwaveprojected "/>
      <sheetName val="Fig16.1usukglddetrnded"/>
      <sheetName val="usukppigoldwave"/>
      <sheetName val="Fig10.6"/>
      <sheetName val="Fig10.7"/>
      <sheetName val="Fig10.8"/>
      <sheetName val="Fig10.9"/>
      <sheetName val="DOCUSLR "/>
      <sheetName val="DATAUSLR "/>
      <sheetName val="Figusukwpi"/>
      <sheetName val="Figuswpi1940"/>
      <sheetName val="Fig2.10usukppigld"/>
      <sheetName val="Fig2.1IndProdUS (2)"/>
      <sheetName val="Fig2.2InvestUS (2)"/>
      <sheetName val="Fig2.3GdPpercap (2)"/>
      <sheetName val="BusCycle1 (2)"/>
      <sheetName val="BusCycle2 (2)"/>
      <sheetName val="BusCycle3 (2)"/>
      <sheetName val="Fig2.5Mfgprodvty&amp;ec (2)"/>
      <sheetName val="Fig2.6MfgRULC (2)"/>
      <sheetName val="Fig 2.7 unempl"/>
      <sheetName val="Fig2.1IndProdUS"/>
      <sheetName val="Fig2.2InvestUS"/>
      <sheetName val="Fig2.3GdPpercap"/>
      <sheetName val="BusCycle1"/>
      <sheetName val="BusCycle2"/>
      <sheetName val="BusCycle3"/>
      <sheetName val="Fig2.5Mfgprodvty&amp;ec"/>
      <sheetName val="Fig2.6MfgRULC"/>
      <sheetName val="UKWPIPGDATA"/>
      <sheetName val="FRBIndPrdIndex"/>
      <sheetName val="GDPpercapSources"/>
      <sheetName val="Fig14.xx"/>
      <sheetName val="Figibppi"/>
      <sheetName val="Figibpiratio"/>
      <sheetName val="Figibreal"/>
      <sheetName val="Figibgppi"/>
      <sheetName val="Figysib"/>
      <sheetName val="rbrs"/>
      <sheetName val="rs-rb"/>
      <sheetName val="Chartibrsrbdiff"/>
      <sheetName val="Chartysib"/>
      <sheetName val="Chartysiboverp"/>
      <sheetName val="Fig 5.1"/>
      <sheetName val="Fig 5.2"/>
      <sheetName val="Fig5.3"/>
      <sheetName val="Fig5.4"/>
      <sheetName val="Fig 5.5"/>
      <sheetName val="Fig 5.6"/>
      <sheetName val="Fig 5.7xxbook"/>
      <sheetName val="Fig 5.7a book"/>
      <sheetName val="Fig 5.7b book"/>
      <sheetName val="Fig 5.3a book"/>
      <sheetName val="chartpbwpi"/>
      <sheetName val="Chartpbr"/>
      <sheetName val="Chartiboverp"/>
      <sheetName val="Chartgpbr"/>
      <sheetName val="rbrs (2)"/>
      <sheetName val="Sheet3"/>
      <sheetName val="Langclass"/>
      <sheetName val="ChartGibsonParadox"/>
      <sheetName val="BusCycleXX4"/>
      <sheetName val="BusCycleXX4A"/>
      <sheetName val="usbuscyl47plus"/>
      <sheetName val="Mfgprodvty&amp;ec2"/>
      <sheetName val="Chart2"/>
      <sheetName val="unempl"/>
      <sheetName val="unempl Great Depression"/>
      <sheetName val="ukwpi40"/>
      <sheetName val="uswpi40"/>
      <sheetName val="Ukwpigold 1940"/>
      <sheetName val="USwpigold40"/>
      <sheetName val="Ukwpigold"/>
      <sheetName val="USwpigold"/>
      <sheetName val="ukwpi40plus"/>
      <sheetName val="uswpi40plus"/>
      <sheetName val="ukppigold"/>
      <sheetName val="usukppigold"/>
      <sheetName val="avggoldwaveHP"/>
      <sheetName val="usukppigoldhp"/>
      <sheetName val="usukwaveprojected"/>
      <sheetName val="pspbayres"/>
      <sheetName val="pspbrealayres"/>
      <sheetName val="rbrshp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28">
          <cell r="A128">
            <v>1890</v>
          </cell>
          <cell r="AU128">
            <v>4</v>
          </cell>
        </row>
        <row r="129">
          <cell r="A129">
            <v>1891</v>
          </cell>
          <cell r="AU129">
            <v>5.4</v>
          </cell>
        </row>
        <row r="130">
          <cell r="A130">
            <v>1892</v>
          </cell>
          <cell r="AU130">
            <v>3</v>
          </cell>
        </row>
        <row r="131">
          <cell r="A131">
            <v>1893</v>
          </cell>
          <cell r="AU131">
            <v>11.7</v>
          </cell>
        </row>
        <row r="132">
          <cell r="A132">
            <v>1894</v>
          </cell>
          <cell r="AU132">
            <v>18.399999999999999</v>
          </cell>
        </row>
        <row r="133">
          <cell r="A133">
            <v>1895</v>
          </cell>
          <cell r="AU133">
            <v>13.7</v>
          </cell>
        </row>
        <row r="134">
          <cell r="A134">
            <v>1896</v>
          </cell>
          <cell r="AU134">
            <v>14.4</v>
          </cell>
        </row>
        <row r="135">
          <cell r="A135">
            <v>1897</v>
          </cell>
          <cell r="AU135">
            <v>14.5</v>
          </cell>
        </row>
        <row r="136">
          <cell r="A136">
            <v>1898</v>
          </cell>
          <cell r="AU136">
            <v>12.4</v>
          </cell>
        </row>
        <row r="137">
          <cell r="A137">
            <v>1899</v>
          </cell>
          <cell r="AU137">
            <v>6.5</v>
          </cell>
        </row>
        <row r="138">
          <cell r="A138">
            <v>1900</v>
          </cell>
          <cell r="AU138">
            <v>5</v>
          </cell>
        </row>
        <row r="139">
          <cell r="A139">
            <v>1901</v>
          </cell>
          <cell r="AU139">
            <v>4</v>
          </cell>
        </row>
        <row r="140">
          <cell r="A140">
            <v>1902</v>
          </cell>
          <cell r="AU140">
            <v>3.7</v>
          </cell>
        </row>
        <row r="141">
          <cell r="A141">
            <v>1903</v>
          </cell>
          <cell r="AU141">
            <v>3.9</v>
          </cell>
        </row>
        <row r="142">
          <cell r="A142">
            <v>1904</v>
          </cell>
          <cell r="AU142">
            <v>5.4</v>
          </cell>
        </row>
        <row r="143">
          <cell r="A143">
            <v>1905</v>
          </cell>
          <cell r="AU143">
            <v>4.3</v>
          </cell>
        </row>
        <row r="144">
          <cell r="A144">
            <v>1906</v>
          </cell>
          <cell r="AU144">
            <v>1.7</v>
          </cell>
        </row>
        <row r="145">
          <cell r="A145">
            <v>1907</v>
          </cell>
          <cell r="AU145">
            <v>2.8</v>
          </cell>
        </row>
        <row r="146">
          <cell r="A146">
            <v>1908</v>
          </cell>
          <cell r="AU146">
            <v>8</v>
          </cell>
        </row>
        <row r="147">
          <cell r="A147">
            <v>1909</v>
          </cell>
          <cell r="AU147">
            <v>5.0999999999999996</v>
          </cell>
        </row>
        <row r="148">
          <cell r="A148">
            <v>1910</v>
          </cell>
          <cell r="AU148">
            <v>5.9</v>
          </cell>
        </row>
        <row r="149">
          <cell r="A149">
            <v>1911</v>
          </cell>
          <cell r="AU149">
            <v>6.7</v>
          </cell>
        </row>
        <row r="150">
          <cell r="A150">
            <v>1912</v>
          </cell>
          <cell r="AU150">
            <v>4.5999999999999996</v>
          </cell>
        </row>
        <row r="151">
          <cell r="A151">
            <v>1913</v>
          </cell>
          <cell r="AU151">
            <v>4.3</v>
          </cell>
        </row>
        <row r="152">
          <cell r="A152">
            <v>1914</v>
          </cell>
          <cell r="AU152">
            <v>7.9</v>
          </cell>
        </row>
        <row r="153">
          <cell r="A153">
            <v>1915</v>
          </cell>
          <cell r="AU153">
            <v>8.5</v>
          </cell>
        </row>
        <row r="154">
          <cell r="A154">
            <v>1916</v>
          </cell>
          <cell r="AU154">
            <v>5.0999999999999996</v>
          </cell>
        </row>
        <row r="155">
          <cell r="A155">
            <v>1917</v>
          </cell>
          <cell r="AU155">
            <v>4.5999999999999996</v>
          </cell>
        </row>
        <row r="156">
          <cell r="A156">
            <v>1918</v>
          </cell>
          <cell r="AU156">
            <v>1.4</v>
          </cell>
        </row>
        <row r="157">
          <cell r="A157">
            <v>1919</v>
          </cell>
          <cell r="AU157">
            <v>1.4</v>
          </cell>
        </row>
        <row r="158">
          <cell r="A158">
            <v>1920</v>
          </cell>
          <cell r="AU158">
            <v>5.2</v>
          </cell>
        </row>
        <row r="159">
          <cell r="A159">
            <v>1921</v>
          </cell>
          <cell r="AU159">
            <v>11.7</v>
          </cell>
        </row>
        <row r="160">
          <cell r="A160">
            <v>1922</v>
          </cell>
          <cell r="AU160">
            <v>6.7</v>
          </cell>
        </row>
        <row r="161">
          <cell r="A161">
            <v>1923</v>
          </cell>
          <cell r="AU161">
            <v>2.4</v>
          </cell>
        </row>
        <row r="162">
          <cell r="A162">
            <v>1924</v>
          </cell>
          <cell r="AU162">
            <v>5</v>
          </cell>
        </row>
        <row r="163">
          <cell r="A163">
            <v>1925</v>
          </cell>
          <cell r="AU163">
            <v>3.2</v>
          </cell>
        </row>
        <row r="164">
          <cell r="A164">
            <v>1926</v>
          </cell>
          <cell r="AU164">
            <v>1.8</v>
          </cell>
        </row>
        <row r="165">
          <cell r="A165">
            <v>1927</v>
          </cell>
          <cell r="AU165">
            <v>3.3</v>
          </cell>
        </row>
        <row r="166">
          <cell r="A166">
            <v>1928</v>
          </cell>
          <cell r="AU166">
            <v>4.2</v>
          </cell>
        </row>
        <row r="167">
          <cell r="A167">
            <v>1929</v>
          </cell>
          <cell r="AU167">
            <v>3.2</v>
          </cell>
        </row>
        <row r="168">
          <cell r="A168">
            <v>1930</v>
          </cell>
          <cell r="AU168">
            <v>8.6999999999999993</v>
          </cell>
        </row>
        <row r="169">
          <cell r="A169">
            <v>1931</v>
          </cell>
          <cell r="AU169">
            <v>15.9</v>
          </cell>
        </row>
        <row r="170">
          <cell r="A170">
            <v>1932</v>
          </cell>
          <cell r="AU170">
            <v>23.6</v>
          </cell>
        </row>
        <row r="171">
          <cell r="A171">
            <v>1933</v>
          </cell>
          <cell r="AU171">
            <v>24.9</v>
          </cell>
        </row>
        <row r="172">
          <cell r="A172">
            <v>1934</v>
          </cell>
          <cell r="AU172">
            <v>21.7</v>
          </cell>
        </row>
        <row r="173">
          <cell r="A173">
            <v>1935</v>
          </cell>
          <cell r="AU173">
            <v>20.100000000000001</v>
          </cell>
        </row>
        <row r="174">
          <cell r="A174">
            <v>1936</v>
          </cell>
          <cell r="AU174">
            <v>16.899999999999999</v>
          </cell>
        </row>
        <row r="175">
          <cell r="A175">
            <v>1937</v>
          </cell>
          <cell r="AU175">
            <v>14.3</v>
          </cell>
        </row>
        <row r="176">
          <cell r="A176">
            <v>1938</v>
          </cell>
          <cell r="AU176">
            <v>19</v>
          </cell>
        </row>
        <row r="177">
          <cell r="A177">
            <v>1939</v>
          </cell>
          <cell r="AU177">
            <v>17.2</v>
          </cell>
        </row>
        <row r="178">
          <cell r="A178">
            <v>1940</v>
          </cell>
          <cell r="AU178">
            <v>14.6</v>
          </cell>
        </row>
        <row r="179">
          <cell r="A179">
            <v>1941</v>
          </cell>
          <cell r="AU179">
            <v>9.9</v>
          </cell>
        </row>
        <row r="180">
          <cell r="A180">
            <v>1942</v>
          </cell>
          <cell r="AU180">
            <v>4.7</v>
          </cell>
        </row>
        <row r="181">
          <cell r="A181">
            <v>1943</v>
          </cell>
          <cell r="AU181">
            <v>1.9</v>
          </cell>
        </row>
        <row r="182">
          <cell r="A182">
            <v>1944</v>
          </cell>
          <cell r="AU182">
            <v>1.2</v>
          </cell>
        </row>
        <row r="183">
          <cell r="A183">
            <v>1945</v>
          </cell>
          <cell r="AU183">
            <v>1.9</v>
          </cell>
        </row>
        <row r="184">
          <cell r="A184">
            <v>1946</v>
          </cell>
          <cell r="AU184">
            <v>3.9</v>
          </cell>
        </row>
        <row r="185">
          <cell r="A185">
            <v>1947</v>
          </cell>
          <cell r="AU185">
            <v>3.9</v>
          </cell>
        </row>
        <row r="186">
          <cell r="A186">
            <v>1948</v>
          </cell>
          <cell r="AU186">
            <v>3.8</v>
          </cell>
        </row>
        <row r="187">
          <cell r="A187">
            <v>1949</v>
          </cell>
          <cell r="AU187">
            <v>5.9</v>
          </cell>
        </row>
        <row r="188">
          <cell r="A188">
            <v>1950</v>
          </cell>
          <cell r="AU188">
            <v>5.3</v>
          </cell>
        </row>
        <row r="189">
          <cell r="A189">
            <v>1951</v>
          </cell>
          <cell r="AU189">
            <v>3.3</v>
          </cell>
        </row>
        <row r="190">
          <cell r="A190">
            <v>1952</v>
          </cell>
          <cell r="AU190">
            <v>3</v>
          </cell>
        </row>
        <row r="191">
          <cell r="A191">
            <v>1953</v>
          </cell>
          <cell r="AU191">
            <v>2.9</v>
          </cell>
        </row>
        <row r="192">
          <cell r="A192">
            <v>1954</v>
          </cell>
          <cell r="AU192">
            <v>5.5</v>
          </cell>
        </row>
        <row r="193">
          <cell r="A193">
            <v>1955</v>
          </cell>
          <cell r="AU193">
            <v>4.4000000000000004</v>
          </cell>
        </row>
        <row r="194">
          <cell r="A194">
            <v>1956</v>
          </cell>
          <cell r="AU194">
            <v>4.0999999999999996</v>
          </cell>
        </row>
        <row r="195">
          <cell r="A195">
            <v>1957</v>
          </cell>
          <cell r="AU195">
            <v>4.3</v>
          </cell>
        </row>
        <row r="196">
          <cell r="A196">
            <v>1958</v>
          </cell>
          <cell r="AU196">
            <v>6.8</v>
          </cell>
        </row>
        <row r="197">
          <cell r="A197">
            <v>1959</v>
          </cell>
          <cell r="AU197">
            <v>5.5</v>
          </cell>
        </row>
        <row r="198">
          <cell r="A198">
            <v>1960</v>
          </cell>
          <cell r="AU198">
            <v>5.5</v>
          </cell>
        </row>
        <row r="199">
          <cell r="A199">
            <v>1961</v>
          </cell>
          <cell r="AU199">
            <v>6.7</v>
          </cell>
        </row>
        <row r="200">
          <cell r="A200">
            <v>1962</v>
          </cell>
          <cell r="AU200">
            <v>5.5</v>
          </cell>
        </row>
        <row r="201">
          <cell r="A201">
            <v>1963</v>
          </cell>
          <cell r="AU201">
            <v>5.7</v>
          </cell>
        </row>
        <row r="202">
          <cell r="A202">
            <v>1964</v>
          </cell>
          <cell r="AU202">
            <v>5.2</v>
          </cell>
        </row>
        <row r="203">
          <cell r="A203">
            <v>1965</v>
          </cell>
          <cell r="AU203">
            <v>4.5</v>
          </cell>
        </row>
        <row r="204">
          <cell r="A204">
            <v>1966</v>
          </cell>
          <cell r="AU204">
            <v>3.8</v>
          </cell>
        </row>
        <row r="205">
          <cell r="A205">
            <v>1967</v>
          </cell>
          <cell r="AU205">
            <v>3.8</v>
          </cell>
        </row>
        <row r="206">
          <cell r="A206">
            <v>1968</v>
          </cell>
          <cell r="AU206">
            <v>3.6</v>
          </cell>
        </row>
        <row r="207">
          <cell r="A207">
            <v>1969</v>
          </cell>
          <cell r="AU207">
            <v>3.5</v>
          </cell>
        </row>
        <row r="208">
          <cell r="A208">
            <v>1970</v>
          </cell>
          <cell r="AU208">
            <v>4.9000000000000004</v>
          </cell>
        </row>
        <row r="209">
          <cell r="A209">
            <v>1971</v>
          </cell>
          <cell r="AU209">
            <v>5.9</v>
          </cell>
        </row>
        <row r="210">
          <cell r="A210">
            <v>1972</v>
          </cell>
          <cell r="AU210">
            <v>5.6</v>
          </cell>
        </row>
        <row r="211">
          <cell r="A211">
            <v>1973</v>
          </cell>
          <cell r="AU211">
            <v>4.9000000000000004</v>
          </cell>
        </row>
        <row r="212">
          <cell r="A212">
            <v>1974</v>
          </cell>
          <cell r="AU212">
            <v>5.6</v>
          </cell>
        </row>
        <row r="213">
          <cell r="A213">
            <v>1975</v>
          </cell>
          <cell r="AU213">
            <v>8.5</v>
          </cell>
        </row>
        <row r="214">
          <cell r="A214">
            <v>1976</v>
          </cell>
          <cell r="AU214">
            <v>7.7</v>
          </cell>
        </row>
        <row r="215">
          <cell r="A215">
            <v>1977</v>
          </cell>
          <cell r="AU215">
            <v>7.1</v>
          </cell>
        </row>
        <row r="216">
          <cell r="A216">
            <v>1978</v>
          </cell>
          <cell r="AU216">
            <v>6.1</v>
          </cell>
        </row>
        <row r="217">
          <cell r="A217">
            <v>1979</v>
          </cell>
          <cell r="AU217">
            <v>5.8</v>
          </cell>
        </row>
        <row r="218">
          <cell r="A218">
            <v>1980</v>
          </cell>
          <cell r="AU218">
            <v>7.1</v>
          </cell>
        </row>
        <row r="219">
          <cell r="A219">
            <v>1981</v>
          </cell>
          <cell r="AU219">
            <v>7.6</v>
          </cell>
        </row>
        <row r="220">
          <cell r="A220">
            <v>1982</v>
          </cell>
          <cell r="AU220">
            <v>9.6999999999999993</v>
          </cell>
        </row>
        <row r="221">
          <cell r="A221">
            <v>1983</v>
          </cell>
          <cell r="AU221">
            <v>9.6</v>
          </cell>
        </row>
        <row r="222">
          <cell r="A222">
            <v>1984</v>
          </cell>
          <cell r="AU222">
            <v>7.5</v>
          </cell>
        </row>
        <row r="223">
          <cell r="A223">
            <v>1985</v>
          </cell>
          <cell r="AU223">
            <v>7.2</v>
          </cell>
        </row>
        <row r="224">
          <cell r="A224">
            <v>1986</v>
          </cell>
          <cell r="AU224">
            <v>7</v>
          </cell>
        </row>
        <row r="225">
          <cell r="A225">
            <v>1987</v>
          </cell>
          <cell r="AU225">
            <v>6.2</v>
          </cell>
        </row>
        <row r="226">
          <cell r="A226">
            <v>1988</v>
          </cell>
          <cell r="AU226">
            <v>5.5</v>
          </cell>
        </row>
        <row r="227">
          <cell r="A227">
            <v>1989</v>
          </cell>
          <cell r="AU227">
            <v>5.3</v>
          </cell>
        </row>
        <row r="228">
          <cell r="A228">
            <v>1990</v>
          </cell>
          <cell r="AU228">
            <v>5.6</v>
          </cell>
        </row>
        <row r="229">
          <cell r="A229">
            <v>1991</v>
          </cell>
          <cell r="AU229">
            <v>6.8</v>
          </cell>
        </row>
        <row r="230">
          <cell r="A230">
            <v>1992</v>
          </cell>
          <cell r="AU230">
            <v>7.5</v>
          </cell>
        </row>
        <row r="231">
          <cell r="A231">
            <v>1993</v>
          </cell>
          <cell r="AU231">
            <v>6.9</v>
          </cell>
        </row>
        <row r="232">
          <cell r="A232">
            <v>1994</v>
          </cell>
          <cell r="AU232">
            <v>6.1</v>
          </cell>
        </row>
        <row r="233">
          <cell r="A233">
            <v>1995</v>
          </cell>
          <cell r="AU233">
            <v>5.6</v>
          </cell>
        </row>
        <row r="234">
          <cell r="A234">
            <v>1996</v>
          </cell>
          <cell r="AU234">
            <v>5.4</v>
          </cell>
        </row>
        <row r="235">
          <cell r="A235">
            <v>1997</v>
          </cell>
          <cell r="AU235">
            <v>4.9000000000000004</v>
          </cell>
        </row>
        <row r="236">
          <cell r="A236">
            <v>1998</v>
          </cell>
          <cell r="AU236">
            <v>4.5</v>
          </cell>
        </row>
        <row r="237">
          <cell r="A237">
            <v>1999</v>
          </cell>
          <cell r="AU237">
            <v>4.2</v>
          </cell>
        </row>
        <row r="238">
          <cell r="A238">
            <v>2000</v>
          </cell>
          <cell r="AU238">
            <v>4</v>
          </cell>
        </row>
        <row r="239">
          <cell r="A239">
            <v>2001</v>
          </cell>
          <cell r="AU239">
            <v>4.7</v>
          </cell>
        </row>
        <row r="240">
          <cell r="A240">
            <v>2002</v>
          </cell>
          <cell r="AU240">
            <v>5.8</v>
          </cell>
        </row>
        <row r="241">
          <cell r="A241">
            <v>2003</v>
          </cell>
          <cell r="AU241">
            <v>6</v>
          </cell>
        </row>
        <row r="242">
          <cell r="A242">
            <v>2004</v>
          </cell>
          <cell r="AU242">
            <v>5.5</v>
          </cell>
        </row>
        <row r="243">
          <cell r="A243">
            <v>2005</v>
          </cell>
          <cell r="AU243">
            <v>5.0999999999999996</v>
          </cell>
        </row>
        <row r="244">
          <cell r="A244">
            <v>2006</v>
          </cell>
          <cell r="AU244">
            <v>4.5999999999999996</v>
          </cell>
        </row>
        <row r="245">
          <cell r="A245">
            <v>2007</v>
          </cell>
          <cell r="AU245">
            <v>4.5999999999999996</v>
          </cell>
        </row>
        <row r="246">
          <cell r="A246">
            <v>2008</v>
          </cell>
          <cell r="AU246">
            <v>5.8</v>
          </cell>
        </row>
        <row r="247">
          <cell r="A247">
            <v>2009</v>
          </cell>
          <cell r="AU247">
            <v>9.3000000000000007</v>
          </cell>
        </row>
        <row r="248">
          <cell r="A248">
            <v>2010</v>
          </cell>
          <cell r="AU248">
            <v>9.6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ls.gov/fl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AP2154"/>
  <sheetViews>
    <sheetView zoomScale="60" zoomScaleNormal="6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24" sqref="D24"/>
    </sheetView>
  </sheetViews>
  <sheetFormatPr defaultRowHeight="12.5"/>
  <cols>
    <col min="1" max="1" width="8.90625" style="3"/>
    <col min="2" max="2" width="10.36328125" style="3" customWidth="1"/>
    <col min="3" max="3" width="13.90625" style="3" customWidth="1"/>
    <col min="4" max="4" width="11.36328125" style="3" customWidth="1"/>
    <col min="5" max="5" width="13.6328125" style="3" customWidth="1"/>
    <col min="6" max="6" width="17.54296875" style="3" customWidth="1"/>
    <col min="7" max="7" width="3" style="3" customWidth="1"/>
    <col min="8" max="9" width="10.453125" style="3" customWidth="1"/>
    <col min="10" max="12" width="11.453125" style="3" customWidth="1"/>
    <col min="13" max="13" width="18.36328125" style="3" customWidth="1"/>
    <col min="14" max="14" width="3.453125" style="3" customWidth="1"/>
    <col min="15" max="15" width="8.90625" style="3" customWidth="1"/>
    <col min="16" max="16" width="10.08984375" style="3" customWidth="1"/>
    <col min="17" max="17" width="18.08984375" style="4" customWidth="1"/>
    <col min="18" max="18" width="3.36328125" style="3" customWidth="1"/>
    <col min="19" max="19" width="16.6328125" style="3" customWidth="1"/>
    <col min="20" max="20" width="15" style="3" customWidth="1"/>
    <col min="21" max="21" width="14" style="3" customWidth="1"/>
    <col min="22" max="22" width="3.453125" style="3" customWidth="1"/>
    <col min="23" max="23" width="11.6328125" style="3" customWidth="1"/>
    <col min="24" max="24" width="12.54296875" style="3" customWidth="1"/>
    <col min="25" max="25" width="10.81640625" style="3" customWidth="1"/>
    <col min="26" max="26" width="13.81640625" style="3" customWidth="1"/>
    <col min="27" max="27" width="18.6328125" style="3" customWidth="1"/>
    <col min="28" max="28" width="6.6328125" style="46" customWidth="1"/>
    <col min="29" max="29" width="12" style="2" customWidth="1"/>
    <col min="30" max="30" width="14.36328125" style="2" customWidth="1"/>
    <col min="31" max="35" width="12" style="2" customWidth="1"/>
    <col min="36" max="36" width="1.90625" style="47" customWidth="1"/>
    <col min="37" max="37" width="2.90625" style="3" customWidth="1"/>
    <col min="38" max="38" width="12.54296875" style="3" customWidth="1"/>
    <col min="39" max="39" width="12" style="3" customWidth="1"/>
    <col min="40" max="40" width="11.54296875" style="3" customWidth="1"/>
    <col min="41" max="41" width="8.90625" style="3"/>
    <col min="42" max="42" width="4.6328125" style="3" customWidth="1"/>
  </cols>
  <sheetData>
    <row r="1" spans="1:42" s="1" customFormat="1" ht="10.5">
      <c r="A1" s="44"/>
      <c r="B1" s="44" t="str">
        <f>B17</f>
        <v>IndProdHS</v>
      </c>
      <c r="C1" s="44" t="str">
        <f>C17</f>
        <v>IndProdHS1</v>
      </c>
      <c r="D1" s="44" t="str">
        <f>D17</f>
        <v>IndProdFRB</v>
      </c>
      <c r="E1" s="44" t="str">
        <f>E17</f>
        <v>IndProdFRB1</v>
      </c>
      <c r="F1" s="44" t="str">
        <f>F17</f>
        <v>IndProd</v>
      </c>
      <c r="G1" s="44"/>
      <c r="H1" s="44" t="str">
        <f t="shared" ref="H1:M1" si="0">H17</f>
        <v>RealInvest0</v>
      </c>
      <c r="I1" s="44" t="str">
        <f t="shared" si="0"/>
        <v>RealInvest1</v>
      </c>
      <c r="J1" s="44" t="str">
        <f t="shared" si="0"/>
        <v>RealInvestindex2</v>
      </c>
      <c r="K1" s="44" t="str">
        <f t="shared" si="0"/>
        <v>Realinvestre-index2</v>
      </c>
      <c r="L1" s="44" t="str">
        <f t="shared" si="0"/>
        <v>Invindxspliced</v>
      </c>
      <c r="M1" s="44" t="str">
        <f t="shared" si="0"/>
        <v>InvestIndex</v>
      </c>
      <c r="N1" s="44"/>
      <c r="O1" s="44" t="str">
        <f>O17</f>
        <v>Year</v>
      </c>
      <c r="P1" s="44" t="str">
        <f>P17</f>
        <v>Nominal GDP per capita</v>
      </c>
      <c r="Q1" s="44" t="str">
        <f>Q17</f>
        <v>Real GDP per capita</v>
      </c>
      <c r="R1" s="44"/>
      <c r="S1" s="44"/>
      <c r="T1" s="44"/>
      <c r="U1" s="44"/>
      <c r="V1" s="44">
        <f t="shared" ref="V1:AA1" si="1">V17</f>
        <v>0</v>
      </c>
      <c r="W1" s="44" t="str">
        <f t="shared" si="1"/>
        <v>MfgPrdtvty1</v>
      </c>
      <c r="X1" s="44" t="str">
        <f t="shared" si="1"/>
        <v>Mfgprdvty2</v>
      </c>
      <c r="Y1" s="44" t="str">
        <f t="shared" si="1"/>
        <v>Mfgprdvty2A</v>
      </c>
      <c r="Z1" s="44" t="str">
        <f t="shared" si="1"/>
        <v>Mfgprdvtyall</v>
      </c>
      <c r="AA1" s="44" t="str">
        <f t="shared" si="1"/>
        <v>Mfgprdvty</v>
      </c>
      <c r="AB1" s="44"/>
      <c r="AC1" s="44" t="str">
        <f t="shared" ref="AC1:AH1" si="2">AC17</f>
        <v>MfgProdwkrEC</v>
      </c>
      <c r="AD1" s="44" t="str">
        <f t="shared" si="2"/>
        <v>US CPI</v>
      </c>
      <c r="AE1" s="44" t="str">
        <f t="shared" si="2"/>
        <v>CPI1</v>
      </c>
      <c r="AF1" s="44" t="str">
        <f t="shared" si="2"/>
        <v>mfgprdwkrecreal</v>
      </c>
      <c r="AG1" s="44" t="str">
        <f t="shared" si="2"/>
        <v>mfgprdwkrecrealindex</v>
      </c>
      <c r="AH1" s="44" t="str">
        <f t="shared" si="2"/>
        <v>Mfgrealunitlaborcost</v>
      </c>
      <c r="AI1" s="44" t="s">
        <v>0</v>
      </c>
      <c r="AJ1" s="44"/>
      <c r="AK1" s="44"/>
      <c r="AL1" s="44" t="str">
        <f>AL17</f>
        <v>TotUnempl1</v>
      </c>
      <c r="AM1" s="44" t="str">
        <f>AM17</f>
        <v>TotUnempl2</v>
      </c>
      <c r="AN1" s="44" t="str">
        <f>AN17</f>
        <v>TotUnempl</v>
      </c>
      <c r="AO1" s="44"/>
      <c r="AP1" s="44"/>
    </row>
    <row r="2" spans="1:42">
      <c r="A2" s="3" t="s">
        <v>1</v>
      </c>
      <c r="G2" s="45"/>
      <c r="H2" s="2"/>
      <c r="I2" s="2"/>
      <c r="R2" s="45"/>
    </row>
    <row r="3" spans="1:42" ht="13">
      <c r="G3" s="45"/>
      <c r="H3" s="2"/>
      <c r="I3" s="2"/>
      <c r="J3" s="48"/>
      <c r="K3" s="48"/>
      <c r="L3" s="48"/>
      <c r="R3" s="45"/>
      <c r="X3" s="5"/>
      <c r="Y3" s="5"/>
      <c r="Z3" s="5"/>
    </row>
    <row r="4" spans="1:42">
      <c r="G4" s="45"/>
      <c r="H4" s="2"/>
      <c r="I4" s="2"/>
      <c r="J4" s="48"/>
      <c r="K4" s="48"/>
      <c r="L4" s="48"/>
      <c r="R4" s="45"/>
    </row>
    <row r="5" spans="1:42" ht="13">
      <c r="B5" s="5" t="s">
        <v>2</v>
      </c>
      <c r="G5" s="45"/>
      <c r="H5" s="6" t="s">
        <v>3</v>
      </c>
      <c r="I5" s="2"/>
      <c r="O5" s="5" t="s">
        <v>4</v>
      </c>
      <c r="P5" s="5"/>
      <c r="R5" s="45"/>
      <c r="S5" s="5" t="s">
        <v>5</v>
      </c>
      <c r="W5" s="5" t="s">
        <v>6</v>
      </c>
      <c r="AB5" s="49"/>
    </row>
    <row r="6" spans="1:42" ht="13">
      <c r="B6" s="29" t="s">
        <v>7</v>
      </c>
      <c r="G6" s="45"/>
      <c r="H6" s="2"/>
      <c r="I6" s="2"/>
      <c r="R6" s="45"/>
      <c r="S6" s="9" t="s">
        <v>8</v>
      </c>
      <c r="W6" s="50" t="s">
        <v>9</v>
      </c>
      <c r="AB6" s="51" t="s">
        <v>10</v>
      </c>
      <c r="AL6" s="5" t="s">
        <v>11</v>
      </c>
    </row>
    <row r="7" spans="1:42" ht="14.4" customHeight="1">
      <c r="B7" s="29" t="s">
        <v>12</v>
      </c>
      <c r="F7" s="9"/>
      <c r="G7" s="52"/>
      <c r="H7" s="7" t="s">
        <v>13</v>
      </c>
      <c r="I7" s="8"/>
      <c r="J7" s="9"/>
      <c r="K7" s="9"/>
      <c r="L7" s="9"/>
      <c r="M7" s="9"/>
      <c r="N7" s="9"/>
      <c r="O7" s="9" t="s">
        <v>14</v>
      </c>
      <c r="P7" s="9"/>
      <c r="Q7" s="10"/>
      <c r="R7" s="52"/>
      <c r="S7" s="9" t="s">
        <v>15</v>
      </c>
      <c r="T7" s="9"/>
      <c r="U7" s="9"/>
      <c r="V7" s="9"/>
      <c r="W7" s="53" t="s">
        <v>16</v>
      </c>
      <c r="X7" s="53" t="s">
        <v>17</v>
      </c>
      <c r="Y7" s="53"/>
      <c r="Z7" s="53"/>
      <c r="AA7" s="7"/>
      <c r="AB7" s="54" t="s">
        <v>18</v>
      </c>
      <c r="AE7" s="55"/>
      <c r="AF7" s="55"/>
      <c r="AG7" s="55"/>
      <c r="AH7" s="55"/>
      <c r="AI7" s="55"/>
      <c r="AJ7" s="56"/>
      <c r="AK7" s="9"/>
      <c r="AL7" s="9" t="s">
        <v>16</v>
      </c>
      <c r="AM7" s="9"/>
      <c r="AN7" s="9"/>
      <c r="AO7" s="9"/>
      <c r="AP7" s="9"/>
    </row>
    <row r="8" spans="1:42">
      <c r="B8" s="29" t="s">
        <v>19</v>
      </c>
      <c r="F8" s="9"/>
      <c r="G8" s="52"/>
      <c r="H8" s="9" t="s">
        <v>20</v>
      </c>
      <c r="I8" s="8"/>
      <c r="J8" s="9"/>
      <c r="K8" s="9"/>
      <c r="L8" s="9"/>
      <c r="M8" s="9"/>
      <c r="N8" s="9"/>
      <c r="O8" s="9" t="s">
        <v>21</v>
      </c>
      <c r="P8" s="9"/>
      <c r="Q8" s="10"/>
      <c r="R8" s="52"/>
      <c r="S8" s="9" t="s">
        <v>22</v>
      </c>
      <c r="T8" s="9"/>
      <c r="U8" s="9"/>
      <c r="V8" s="9"/>
      <c r="W8" s="53" t="s">
        <v>23</v>
      </c>
      <c r="X8" s="9" t="s">
        <v>24</v>
      </c>
      <c r="Y8" s="9"/>
      <c r="Z8" s="9"/>
      <c r="AA8" s="9"/>
      <c r="AB8" s="9" t="s">
        <v>25</v>
      </c>
      <c r="AC8" s="55"/>
      <c r="AD8" s="55"/>
      <c r="AE8" s="8"/>
      <c r="AF8" s="8"/>
      <c r="AG8" s="8"/>
      <c r="AH8" s="8"/>
      <c r="AI8" s="8"/>
      <c r="AJ8" s="57"/>
      <c r="AK8" s="9"/>
      <c r="AL8" s="9" t="s">
        <v>23</v>
      </c>
      <c r="AM8" s="9"/>
      <c r="AN8" s="9"/>
      <c r="AO8" s="9"/>
      <c r="AP8" s="9"/>
    </row>
    <row r="9" spans="1:42">
      <c r="B9" s="7" t="s">
        <v>26</v>
      </c>
      <c r="C9" s="7" t="s">
        <v>26</v>
      </c>
      <c r="D9" s="7" t="s">
        <v>27</v>
      </c>
      <c r="E9" s="7" t="s">
        <v>27</v>
      </c>
      <c r="F9" s="9"/>
      <c r="G9" s="52"/>
      <c r="H9" s="9" t="s">
        <v>28</v>
      </c>
      <c r="I9" s="8"/>
      <c r="J9" s="9"/>
      <c r="K9" s="9"/>
      <c r="L9" s="9"/>
      <c r="M9" s="9"/>
      <c r="N9" s="9"/>
      <c r="O9" s="9" t="s">
        <v>29</v>
      </c>
      <c r="P9" s="9"/>
      <c r="Q9" s="10"/>
      <c r="R9" s="52"/>
      <c r="S9" s="9" t="s">
        <v>30</v>
      </c>
      <c r="T9" s="9"/>
      <c r="U9" s="9"/>
      <c r="V9" s="9"/>
      <c r="W9" s="53" t="s">
        <v>31</v>
      </c>
      <c r="X9" s="9"/>
      <c r="Y9" s="9"/>
      <c r="Z9" s="9"/>
      <c r="AA9" s="9"/>
      <c r="AB9" s="9" t="s">
        <v>21</v>
      </c>
      <c r="AC9" s="8"/>
      <c r="AD9" s="8"/>
      <c r="AE9" s="8"/>
      <c r="AF9" s="8"/>
      <c r="AG9" s="8"/>
      <c r="AH9" s="8"/>
      <c r="AI9" s="8"/>
      <c r="AJ9" s="57"/>
      <c r="AK9" s="9"/>
      <c r="AL9" s="9" t="s">
        <v>31</v>
      </c>
      <c r="AM9" s="9"/>
      <c r="AN9" s="9"/>
      <c r="AO9" s="9"/>
      <c r="AP9" s="9"/>
    </row>
    <row r="10" spans="1:42">
      <c r="B10" s="7" t="s">
        <v>16</v>
      </c>
      <c r="C10" s="9"/>
      <c r="D10" s="9"/>
      <c r="E10" s="9"/>
      <c r="F10" s="9"/>
      <c r="G10" s="52"/>
      <c r="H10" s="9" t="s">
        <v>32</v>
      </c>
      <c r="I10" s="8"/>
      <c r="J10" s="9"/>
      <c r="K10" s="9"/>
      <c r="L10" s="9"/>
      <c r="N10" s="9"/>
      <c r="O10" s="12" t="s">
        <v>33</v>
      </c>
      <c r="P10" s="13"/>
      <c r="Q10" s="10"/>
      <c r="R10" s="52"/>
      <c r="S10" s="58" t="s">
        <v>34</v>
      </c>
      <c r="T10" s="9"/>
      <c r="U10" s="9"/>
      <c r="V10" s="9"/>
      <c r="W10" s="53" t="s">
        <v>26</v>
      </c>
      <c r="X10" s="9"/>
      <c r="Y10" s="9"/>
      <c r="Z10" s="9"/>
      <c r="AA10" s="9"/>
      <c r="AB10" s="9" t="s">
        <v>29</v>
      </c>
      <c r="AC10" s="8"/>
      <c r="AD10" s="8"/>
      <c r="AE10" s="8"/>
      <c r="AF10" s="8"/>
      <c r="AG10" s="8"/>
      <c r="AH10" s="8"/>
      <c r="AI10" s="8"/>
      <c r="AJ10" s="57"/>
      <c r="AK10" s="9"/>
      <c r="AL10" s="9" t="s">
        <v>26</v>
      </c>
      <c r="AM10" s="9"/>
      <c r="AN10" s="9"/>
      <c r="AO10" s="9"/>
      <c r="AP10" s="9"/>
    </row>
    <row r="11" spans="1:42" s="14" customFormat="1" ht="31.25" customHeight="1">
      <c r="A11" s="23"/>
      <c r="B11" s="7" t="s">
        <v>23</v>
      </c>
      <c r="C11" s="59"/>
      <c r="D11" s="3"/>
      <c r="E11" s="9"/>
      <c r="F11" s="19"/>
      <c r="G11" s="60"/>
      <c r="H11" s="15"/>
      <c r="I11" s="15"/>
      <c r="J11" s="19"/>
      <c r="K11" s="19"/>
      <c r="L11" s="19"/>
      <c r="M11" s="23"/>
      <c r="N11" s="19"/>
      <c r="O11" s="16"/>
      <c r="P11" s="16"/>
      <c r="Q11" s="17"/>
      <c r="R11" s="60"/>
      <c r="S11" s="23"/>
      <c r="T11" s="19"/>
      <c r="U11" s="19"/>
      <c r="V11" s="19"/>
      <c r="W11" s="19" t="s">
        <v>35</v>
      </c>
      <c r="X11" s="19"/>
      <c r="Y11" s="19"/>
      <c r="Z11" s="19"/>
      <c r="AA11" s="19"/>
      <c r="AB11" s="12" t="s">
        <v>33</v>
      </c>
      <c r="AC11" s="8"/>
      <c r="AD11" s="8"/>
      <c r="AE11" s="15"/>
      <c r="AF11" s="15"/>
      <c r="AG11" s="15"/>
      <c r="AH11" s="15"/>
      <c r="AI11" s="15"/>
      <c r="AJ11" s="61"/>
      <c r="AK11" s="19"/>
      <c r="AL11" s="19" t="s">
        <v>35</v>
      </c>
      <c r="AM11" s="19"/>
      <c r="AN11" s="19"/>
      <c r="AO11" s="19"/>
      <c r="AP11" s="19"/>
    </row>
    <row r="12" spans="1:42" ht="52.5" customHeight="1">
      <c r="A12" s="9"/>
      <c r="B12" s="7" t="s">
        <v>31</v>
      </c>
      <c r="C12" s="9"/>
      <c r="D12" s="62" t="s">
        <v>37</v>
      </c>
      <c r="E12" s="9"/>
      <c r="F12" s="63"/>
      <c r="G12" s="52"/>
      <c r="H12" s="8"/>
      <c r="I12" s="8"/>
      <c r="J12" s="9"/>
      <c r="K12" s="9"/>
      <c r="L12" s="9"/>
      <c r="M12" s="9"/>
      <c r="N12" s="63"/>
      <c r="Q12" s="18"/>
      <c r="R12" s="52"/>
      <c r="S12" s="19" t="s">
        <v>38</v>
      </c>
      <c r="T12" s="9"/>
      <c r="U12" s="64"/>
      <c r="V12" s="63"/>
      <c r="W12" s="9" t="s">
        <v>39</v>
      </c>
      <c r="X12" s="65" t="s">
        <v>40</v>
      </c>
      <c r="Y12" s="19"/>
      <c r="Z12" s="19"/>
      <c r="AA12" s="66"/>
      <c r="AB12" s="67"/>
      <c r="AC12" s="68"/>
      <c r="AD12" s="68"/>
      <c r="AE12" s="68"/>
      <c r="AF12" s="68"/>
      <c r="AG12" s="68"/>
      <c r="AH12" s="68"/>
      <c r="AI12" s="68"/>
      <c r="AJ12" s="69"/>
      <c r="AK12" s="63"/>
      <c r="AL12" s="19" t="s">
        <v>41</v>
      </c>
      <c r="AM12" s="9" t="s">
        <v>42</v>
      </c>
      <c r="AN12" s="63"/>
      <c r="AO12" s="63"/>
      <c r="AP12" s="9"/>
    </row>
    <row r="13" spans="1:42" ht="20.5">
      <c r="A13" s="9"/>
      <c r="B13" s="19" t="s">
        <v>43</v>
      </c>
      <c r="C13" s="19"/>
      <c r="D13" s="19" t="s">
        <v>44</v>
      </c>
      <c r="E13" s="19"/>
      <c r="F13" s="9"/>
      <c r="G13" s="52"/>
      <c r="H13" s="8" t="s">
        <v>45</v>
      </c>
      <c r="I13" s="8"/>
      <c r="J13" s="9"/>
      <c r="K13" s="9"/>
      <c r="L13" s="9"/>
      <c r="M13" s="9"/>
      <c r="N13" s="9"/>
      <c r="O13" s="9"/>
      <c r="P13" s="9"/>
      <c r="Q13" s="20"/>
      <c r="R13" s="52"/>
      <c r="S13" s="9"/>
      <c r="T13" s="9"/>
      <c r="U13" s="70"/>
      <c r="V13" s="9"/>
      <c r="W13" s="9" t="s">
        <v>46</v>
      </c>
      <c r="X13" s="9" t="s">
        <v>47</v>
      </c>
      <c r="Y13" s="9"/>
      <c r="Z13" s="9"/>
      <c r="AA13" s="66"/>
      <c r="AB13" s="67"/>
      <c r="AC13" s="68"/>
      <c r="AD13" s="68"/>
      <c r="AE13" s="68"/>
      <c r="AF13" s="68"/>
      <c r="AG13" s="68"/>
      <c r="AH13" s="68"/>
      <c r="AI13" s="68"/>
      <c r="AJ13" s="69"/>
      <c r="AK13" s="9"/>
      <c r="AL13" s="9" t="s">
        <v>48</v>
      </c>
      <c r="AM13" s="3" t="s">
        <v>49</v>
      </c>
      <c r="AN13" s="9"/>
      <c r="AO13" s="9"/>
      <c r="AP13" s="9"/>
    </row>
    <row r="14" spans="1:42" s="14" customFormat="1" ht="100.25" customHeight="1">
      <c r="A14" s="19"/>
      <c r="B14" s="71" t="s">
        <v>50</v>
      </c>
      <c r="C14" s="9"/>
      <c r="D14" s="72" t="s">
        <v>51</v>
      </c>
      <c r="E14" s="9"/>
      <c r="F14" s="19" t="s">
        <v>52</v>
      </c>
      <c r="G14" s="60"/>
      <c r="H14" s="73" t="s">
        <v>53</v>
      </c>
      <c r="I14" s="73" t="s">
        <v>53</v>
      </c>
      <c r="J14" s="21" t="s">
        <v>54</v>
      </c>
      <c r="K14" s="21"/>
      <c r="L14" s="21"/>
      <c r="M14" s="19"/>
      <c r="N14" s="19"/>
      <c r="O14" s="21"/>
      <c r="P14" s="21"/>
      <c r="Q14" s="22"/>
      <c r="R14" s="60"/>
      <c r="S14" s="19"/>
      <c r="T14" s="19"/>
      <c r="U14" s="64"/>
      <c r="V14" s="19"/>
      <c r="W14" s="19" t="s">
        <v>55</v>
      </c>
      <c r="X14" s="19" t="s">
        <v>56</v>
      </c>
      <c r="Y14" s="19"/>
      <c r="Z14" s="19"/>
      <c r="AA14" s="74"/>
      <c r="AB14" s="75"/>
      <c r="AC14" s="76" t="s">
        <v>57</v>
      </c>
      <c r="AD14" s="76" t="s">
        <v>58</v>
      </c>
      <c r="AE14" s="76"/>
      <c r="AF14" s="76"/>
      <c r="AG14" s="76"/>
      <c r="AH14" s="76"/>
      <c r="AI14" s="76"/>
      <c r="AJ14" s="77"/>
      <c r="AK14" s="19"/>
      <c r="AL14" s="19" t="s">
        <v>59</v>
      </c>
      <c r="AM14" s="19" t="s">
        <v>60</v>
      </c>
      <c r="AN14" s="19"/>
      <c r="AO14" s="19"/>
      <c r="AP14" s="19"/>
    </row>
    <row r="15" spans="1:42" s="14" customFormat="1" ht="48.65" customHeight="1">
      <c r="A15" s="23"/>
      <c r="B15" s="9" t="s">
        <v>61</v>
      </c>
      <c r="C15" s="9" t="s">
        <v>62</v>
      </c>
      <c r="D15" s="9" t="s">
        <v>63</v>
      </c>
      <c r="E15" s="9" t="s">
        <v>62</v>
      </c>
      <c r="F15" s="21" t="s">
        <v>36</v>
      </c>
      <c r="G15" s="60"/>
      <c r="H15" s="23"/>
      <c r="I15" s="78" t="s">
        <v>64</v>
      </c>
      <c r="J15" s="23"/>
      <c r="K15" s="78" t="s">
        <v>64</v>
      </c>
      <c r="L15" s="19"/>
      <c r="M15" s="19"/>
      <c r="N15" s="19"/>
      <c r="O15" s="19"/>
      <c r="P15" s="23"/>
      <c r="Q15" s="17" t="s">
        <v>65</v>
      </c>
      <c r="R15" s="60"/>
      <c r="S15" s="19"/>
      <c r="T15" s="19"/>
      <c r="U15" s="23"/>
      <c r="V15" s="19"/>
      <c r="W15" s="19" t="s">
        <v>66</v>
      </c>
      <c r="X15" s="19" t="s">
        <v>66</v>
      </c>
      <c r="Y15" s="19" t="s">
        <v>67</v>
      </c>
      <c r="Z15" s="19" t="s">
        <v>68</v>
      </c>
      <c r="AA15" s="74" t="s">
        <v>69</v>
      </c>
      <c r="AB15" s="75"/>
      <c r="AC15" s="44" t="s">
        <v>70</v>
      </c>
      <c r="AD15" s="23"/>
      <c r="AE15" s="23"/>
      <c r="AF15" s="23"/>
      <c r="AG15" s="19" t="s">
        <v>71</v>
      </c>
      <c r="AH15" s="23"/>
      <c r="AI15" s="23"/>
      <c r="AJ15" s="77"/>
      <c r="AK15" s="19"/>
      <c r="AL15" s="19" t="s">
        <v>72</v>
      </c>
      <c r="AM15" s="79" t="s">
        <v>73</v>
      </c>
      <c r="AN15" s="19" t="s">
        <v>74</v>
      </c>
      <c r="AO15" s="19"/>
      <c r="AP15" s="19"/>
    </row>
    <row r="16" spans="1:42" ht="13">
      <c r="B16" s="9"/>
      <c r="C16" s="9"/>
      <c r="D16" s="9"/>
      <c r="E16" s="9"/>
      <c r="F16" s="9"/>
      <c r="G16" s="52"/>
      <c r="H16" s="9" t="s">
        <v>75</v>
      </c>
      <c r="I16" s="9" t="s">
        <v>76</v>
      </c>
      <c r="J16" s="9" t="s">
        <v>77</v>
      </c>
      <c r="K16" s="9" t="s">
        <v>76</v>
      </c>
      <c r="L16" s="9" t="s">
        <v>76</v>
      </c>
      <c r="M16" s="80" t="s">
        <v>36</v>
      </c>
      <c r="N16" s="9"/>
      <c r="O16" s="24"/>
      <c r="P16" s="24"/>
      <c r="Q16" s="81" t="s">
        <v>78</v>
      </c>
      <c r="R16" s="52"/>
      <c r="S16" s="9"/>
      <c r="T16" s="82" t="s">
        <v>79</v>
      </c>
      <c r="U16" s="82" t="s">
        <v>79</v>
      </c>
      <c r="V16" s="9"/>
      <c r="W16" s="9" t="s">
        <v>80</v>
      </c>
      <c r="X16" s="9" t="s">
        <v>80</v>
      </c>
      <c r="Y16" s="9"/>
      <c r="Z16" s="7" t="s">
        <v>36</v>
      </c>
      <c r="AA16" s="83" t="s">
        <v>81</v>
      </c>
      <c r="AB16" s="84"/>
      <c r="AC16" s="7"/>
      <c r="AD16" s="85" t="s">
        <v>82</v>
      </c>
      <c r="AE16" s="11" t="s">
        <v>36</v>
      </c>
      <c r="AF16" s="7" t="s">
        <v>83</v>
      </c>
      <c r="AG16" s="7" t="s">
        <v>81</v>
      </c>
      <c r="AH16" s="7" t="s">
        <v>81</v>
      </c>
      <c r="AI16" s="7"/>
      <c r="AJ16" s="56"/>
      <c r="AK16" s="9"/>
      <c r="AL16" s="9"/>
      <c r="AM16" s="86" t="s">
        <v>84</v>
      </c>
      <c r="AN16" s="9" t="s">
        <v>85</v>
      </c>
      <c r="AO16" s="9"/>
      <c r="AP16" s="9"/>
    </row>
    <row r="17" spans="1:42" s="14" customFormat="1" ht="26">
      <c r="A17" s="23"/>
      <c r="B17" s="23" t="s">
        <v>86</v>
      </c>
      <c r="C17" s="62" t="s">
        <v>87</v>
      </c>
      <c r="D17" s="62" t="s">
        <v>88</v>
      </c>
      <c r="E17" s="62" t="s">
        <v>89</v>
      </c>
      <c r="F17" s="87" t="s">
        <v>90</v>
      </c>
      <c r="G17" s="88"/>
      <c r="H17" s="23" t="s">
        <v>91</v>
      </c>
      <c r="I17" s="23" t="s">
        <v>92</v>
      </c>
      <c r="J17" s="89" t="s">
        <v>93</v>
      </c>
      <c r="K17" s="89" t="s">
        <v>94</v>
      </c>
      <c r="L17" s="87" t="s">
        <v>95</v>
      </c>
      <c r="M17" s="87" t="s">
        <v>96</v>
      </c>
      <c r="N17" s="87"/>
      <c r="O17" s="25" t="s">
        <v>97</v>
      </c>
      <c r="P17" s="19" t="s">
        <v>98</v>
      </c>
      <c r="Q17" s="90" t="s">
        <v>99</v>
      </c>
      <c r="R17" s="88"/>
      <c r="S17" s="23"/>
      <c r="T17" s="91" t="s">
        <v>100</v>
      </c>
      <c r="U17" s="91" t="s">
        <v>101</v>
      </c>
      <c r="V17" s="87"/>
      <c r="W17" s="62" t="s">
        <v>102</v>
      </c>
      <c r="X17" s="62" t="s">
        <v>103</v>
      </c>
      <c r="Y17" s="62" t="s">
        <v>104</v>
      </c>
      <c r="Z17" s="87" t="s">
        <v>105</v>
      </c>
      <c r="AA17" s="87" t="s">
        <v>106</v>
      </c>
      <c r="AB17" s="92"/>
      <c r="AC17" s="91" t="s">
        <v>107</v>
      </c>
      <c r="AD17" s="93" t="s">
        <v>108</v>
      </c>
      <c r="AE17" s="62" t="s">
        <v>109</v>
      </c>
      <c r="AF17" s="93" t="s">
        <v>110</v>
      </c>
      <c r="AG17" s="93" t="s">
        <v>111</v>
      </c>
      <c r="AH17" s="93" t="s">
        <v>112</v>
      </c>
      <c r="AI17" s="44" t="s">
        <v>0</v>
      </c>
      <c r="AJ17" s="94"/>
      <c r="AK17" s="87"/>
      <c r="AL17" s="87" t="s">
        <v>113</v>
      </c>
      <c r="AM17" s="87" t="s">
        <v>114</v>
      </c>
      <c r="AN17" s="87" t="s">
        <v>115</v>
      </c>
      <c r="AO17" s="87"/>
      <c r="AP17" s="23"/>
    </row>
    <row r="18" spans="1:42" s="14" customFormat="1" ht="13">
      <c r="A18" s="23">
        <v>1780</v>
      </c>
      <c r="B18" s="23"/>
      <c r="C18" s="62"/>
      <c r="D18" s="62"/>
      <c r="E18" s="62"/>
      <c r="F18" s="87"/>
      <c r="G18" s="88"/>
      <c r="H18" s="23"/>
      <c r="I18" s="23"/>
      <c r="J18" s="89"/>
      <c r="K18" s="89"/>
      <c r="L18" s="87"/>
      <c r="M18" s="87"/>
      <c r="N18" s="87"/>
      <c r="O18" s="26"/>
      <c r="P18" s="19"/>
      <c r="Q18" s="90"/>
      <c r="R18" s="88"/>
      <c r="S18" s="23"/>
      <c r="T18" s="91"/>
      <c r="U18" s="91"/>
      <c r="V18" s="87"/>
      <c r="W18" s="62"/>
      <c r="X18" s="62"/>
      <c r="Y18" s="62"/>
      <c r="Z18" s="87"/>
      <c r="AA18" s="87"/>
      <c r="AB18" s="92">
        <v>1780</v>
      </c>
      <c r="AC18" s="91"/>
      <c r="AD18" s="93">
        <v>13.700000000000001</v>
      </c>
      <c r="AE18" s="95"/>
      <c r="AF18" s="93"/>
      <c r="AG18" s="93"/>
      <c r="AH18" s="93"/>
      <c r="AI18" s="93"/>
      <c r="AJ18" s="94"/>
      <c r="AK18" s="87"/>
      <c r="AL18" s="87"/>
      <c r="AM18" s="87"/>
      <c r="AN18" s="87"/>
      <c r="AO18" s="87"/>
      <c r="AP18" s="23"/>
    </row>
    <row r="19" spans="1:42" s="14" customFormat="1" ht="13">
      <c r="A19" s="23">
        <v>1781</v>
      </c>
      <c r="B19" s="23"/>
      <c r="C19" s="62"/>
      <c r="D19" s="62"/>
      <c r="E19" s="62"/>
      <c r="F19" s="87"/>
      <c r="G19" s="88"/>
      <c r="H19" s="23"/>
      <c r="I19" s="23"/>
      <c r="J19" s="89"/>
      <c r="K19" s="89"/>
      <c r="L19" s="87"/>
      <c r="M19" s="87"/>
      <c r="N19" s="87"/>
      <c r="O19" s="26"/>
      <c r="P19" s="19"/>
      <c r="Q19" s="90"/>
      <c r="R19" s="88"/>
      <c r="S19" s="23"/>
      <c r="T19" s="91"/>
      <c r="U19" s="91"/>
      <c r="V19" s="87"/>
      <c r="W19" s="62"/>
      <c r="X19" s="62"/>
      <c r="Y19" s="62"/>
      <c r="Z19" s="87"/>
      <c r="AA19" s="87"/>
      <c r="AB19" s="92">
        <v>1781</v>
      </c>
      <c r="AC19" s="91"/>
      <c r="AD19" s="93">
        <v>11.1</v>
      </c>
      <c r="AE19" s="95"/>
      <c r="AF19" s="93"/>
      <c r="AG19" s="93"/>
      <c r="AH19" s="93"/>
      <c r="AI19" s="93"/>
      <c r="AJ19" s="94"/>
      <c r="AK19" s="87"/>
      <c r="AL19" s="87"/>
      <c r="AM19" s="87"/>
      <c r="AN19" s="87"/>
      <c r="AO19" s="87"/>
      <c r="AP19" s="23"/>
    </row>
    <row r="20" spans="1:42" s="14" customFormat="1" ht="13">
      <c r="A20" s="23">
        <v>1782</v>
      </c>
      <c r="B20" s="23"/>
      <c r="C20" s="62"/>
      <c r="D20" s="62"/>
      <c r="E20" s="62"/>
      <c r="F20" s="87"/>
      <c r="G20" s="88"/>
      <c r="H20" s="23"/>
      <c r="I20" s="23"/>
      <c r="J20" s="89"/>
      <c r="K20" s="89"/>
      <c r="L20" s="87"/>
      <c r="M20" s="87"/>
      <c r="N20" s="87"/>
      <c r="O20" s="26"/>
      <c r="P20" s="19"/>
      <c r="Q20" s="90"/>
      <c r="R20" s="88"/>
      <c r="S20" s="23"/>
      <c r="T20" s="91"/>
      <c r="U20" s="91"/>
      <c r="V20" s="87"/>
      <c r="W20" s="62"/>
      <c r="X20" s="62"/>
      <c r="Y20" s="62"/>
      <c r="Z20" s="87"/>
      <c r="AA20" s="87"/>
      <c r="AB20" s="92">
        <v>1782</v>
      </c>
      <c r="AC20" s="91"/>
      <c r="AD20" s="93">
        <v>12.1</v>
      </c>
      <c r="AE20" s="95"/>
      <c r="AF20" s="93"/>
      <c r="AG20" s="93"/>
      <c r="AH20" s="93"/>
      <c r="AI20" s="93"/>
      <c r="AJ20" s="94"/>
      <c r="AK20" s="87"/>
      <c r="AL20" s="87"/>
      <c r="AM20" s="87"/>
      <c r="AN20" s="87"/>
      <c r="AO20" s="87"/>
      <c r="AP20" s="23"/>
    </row>
    <row r="21" spans="1:42" s="14" customFormat="1" ht="13">
      <c r="A21" s="23">
        <v>1783</v>
      </c>
      <c r="B21" s="23"/>
      <c r="C21" s="62"/>
      <c r="D21" s="62"/>
      <c r="E21" s="62"/>
      <c r="F21" s="87"/>
      <c r="G21" s="88"/>
      <c r="H21" s="23"/>
      <c r="I21" s="23"/>
      <c r="J21" s="89"/>
      <c r="K21" s="89"/>
      <c r="L21" s="87"/>
      <c r="M21" s="87"/>
      <c r="N21" s="87"/>
      <c r="O21" s="26"/>
      <c r="P21" s="19"/>
      <c r="Q21" s="90"/>
      <c r="R21" s="88"/>
      <c r="S21" s="23"/>
      <c r="T21" s="91"/>
      <c r="U21" s="91"/>
      <c r="V21" s="87"/>
      <c r="W21" s="62"/>
      <c r="X21" s="62"/>
      <c r="Y21" s="62"/>
      <c r="Z21" s="87"/>
      <c r="AA21" s="87"/>
      <c r="AB21" s="92">
        <v>1783</v>
      </c>
      <c r="AC21" s="91"/>
      <c r="AD21" s="93">
        <v>10.6</v>
      </c>
      <c r="AE21" s="95"/>
      <c r="AF21" s="93"/>
      <c r="AG21" s="93"/>
      <c r="AH21" s="93"/>
      <c r="AI21" s="93"/>
      <c r="AJ21" s="94"/>
      <c r="AK21" s="87"/>
      <c r="AL21" s="87"/>
      <c r="AM21" s="87"/>
      <c r="AN21" s="87"/>
      <c r="AO21" s="87"/>
      <c r="AP21" s="23"/>
    </row>
    <row r="22" spans="1:42" s="14" customFormat="1" ht="13">
      <c r="A22" s="23">
        <v>1784</v>
      </c>
      <c r="B22" s="23"/>
      <c r="C22" s="62"/>
      <c r="D22" s="62"/>
      <c r="E22" s="62"/>
      <c r="F22" s="87"/>
      <c r="G22" s="88"/>
      <c r="H22" s="23"/>
      <c r="I22" s="23"/>
      <c r="J22" s="89"/>
      <c r="K22" s="89"/>
      <c r="L22" s="87"/>
      <c r="M22" s="87"/>
      <c r="N22" s="87"/>
      <c r="O22" s="26"/>
      <c r="P22" s="19"/>
      <c r="Q22" s="90"/>
      <c r="R22" s="88"/>
      <c r="S22" s="23"/>
      <c r="T22" s="91"/>
      <c r="U22" s="91"/>
      <c r="V22" s="87"/>
      <c r="W22" s="62"/>
      <c r="X22" s="62"/>
      <c r="Y22" s="62"/>
      <c r="Z22" s="87"/>
      <c r="AA22" s="87"/>
      <c r="AB22" s="92">
        <v>1784</v>
      </c>
      <c r="AC22" s="91"/>
      <c r="AD22" s="93">
        <v>10.199999999999999</v>
      </c>
      <c r="AE22" s="95"/>
      <c r="AF22" s="93"/>
      <c r="AG22" s="93"/>
      <c r="AH22" s="93"/>
      <c r="AI22" s="93"/>
      <c r="AJ22" s="94"/>
      <c r="AK22" s="87"/>
      <c r="AL22" s="87"/>
      <c r="AM22" s="87"/>
      <c r="AN22" s="87"/>
      <c r="AO22" s="87"/>
      <c r="AP22" s="23"/>
    </row>
    <row r="23" spans="1:42" s="14" customFormat="1" ht="13">
      <c r="A23" s="23">
        <v>1785</v>
      </c>
      <c r="B23" s="23"/>
      <c r="C23" s="62"/>
      <c r="D23" s="62"/>
      <c r="E23" s="62"/>
      <c r="F23" s="87"/>
      <c r="G23" s="88"/>
      <c r="H23" s="23"/>
      <c r="I23" s="23"/>
      <c r="J23" s="89"/>
      <c r="K23" s="89"/>
      <c r="L23" s="87"/>
      <c r="M23" s="87"/>
      <c r="N23" s="87"/>
      <c r="O23" s="26"/>
      <c r="P23" s="19"/>
      <c r="Q23" s="90"/>
      <c r="R23" s="88"/>
      <c r="S23" s="23"/>
      <c r="T23" s="91"/>
      <c r="U23" s="91"/>
      <c r="V23" s="87"/>
      <c r="W23" s="62"/>
      <c r="X23" s="62"/>
      <c r="Y23" s="62"/>
      <c r="Z23" s="87"/>
      <c r="AA23" s="87"/>
      <c r="AB23" s="92">
        <v>1785</v>
      </c>
      <c r="AC23" s="91"/>
      <c r="AD23" s="93">
        <v>9.7000000000000011</v>
      </c>
      <c r="AE23" s="95"/>
      <c r="AF23" s="93"/>
      <c r="AG23" s="93"/>
      <c r="AH23" s="93"/>
      <c r="AI23" s="93"/>
      <c r="AJ23" s="94"/>
      <c r="AK23" s="87"/>
      <c r="AL23" s="87"/>
      <c r="AM23" s="87"/>
      <c r="AN23" s="87"/>
      <c r="AO23" s="87"/>
      <c r="AP23" s="23"/>
    </row>
    <row r="24" spans="1:42" s="14" customFormat="1" ht="13">
      <c r="A24" s="23">
        <v>1786</v>
      </c>
      <c r="B24" s="23"/>
      <c r="C24" s="23"/>
      <c r="D24" s="23"/>
      <c r="E24" s="23"/>
      <c r="F24" s="87"/>
      <c r="G24" s="88"/>
      <c r="H24" s="23"/>
      <c r="I24" s="23"/>
      <c r="J24" s="89"/>
      <c r="K24" s="89"/>
      <c r="L24" s="87"/>
      <c r="M24" s="87"/>
      <c r="N24" s="87"/>
      <c r="O24" s="26"/>
      <c r="P24" s="19"/>
      <c r="Q24" s="90"/>
      <c r="R24" s="88"/>
      <c r="S24" s="23"/>
      <c r="T24" s="23"/>
      <c r="U24" s="64"/>
      <c r="V24" s="87"/>
      <c r="W24" s="62"/>
      <c r="X24" s="62"/>
      <c r="Y24" s="62"/>
      <c r="Z24" s="87"/>
      <c r="AA24" s="87"/>
      <c r="AB24" s="96">
        <v>1786</v>
      </c>
      <c r="AC24" s="91"/>
      <c r="AD24" s="3">
        <v>9.19</v>
      </c>
      <c r="AE24" s="62"/>
      <c r="AF24" s="93"/>
      <c r="AG24" s="93"/>
      <c r="AH24" s="93"/>
      <c r="AI24" s="93"/>
      <c r="AJ24" s="94"/>
      <c r="AK24" s="87"/>
      <c r="AL24" s="87"/>
      <c r="AM24" s="87"/>
      <c r="AN24" s="87"/>
      <c r="AO24" s="87"/>
      <c r="AP24" s="23"/>
    </row>
    <row r="25" spans="1:42" s="14" customFormat="1" ht="13">
      <c r="A25" s="23">
        <v>1787</v>
      </c>
      <c r="B25" s="23"/>
      <c r="C25" s="23"/>
      <c r="D25" s="23"/>
      <c r="E25" s="23"/>
      <c r="F25" s="87"/>
      <c r="G25" s="88"/>
      <c r="H25" s="23"/>
      <c r="I25" s="23"/>
      <c r="J25" s="89"/>
      <c r="K25" s="89"/>
      <c r="L25" s="87"/>
      <c r="M25" s="87"/>
      <c r="N25" s="87"/>
      <c r="O25" s="26"/>
      <c r="P25" s="19"/>
      <c r="Q25" s="90"/>
      <c r="R25" s="88"/>
      <c r="S25" s="23"/>
      <c r="T25" s="23"/>
      <c r="U25" s="64"/>
      <c r="V25" s="87"/>
      <c r="W25" s="62"/>
      <c r="X25" s="62"/>
      <c r="Y25" s="62"/>
      <c r="Z25" s="87"/>
      <c r="AA25" s="87"/>
      <c r="AB25" s="96">
        <v>1787</v>
      </c>
      <c r="AC25" s="91"/>
      <c r="AD25" s="3">
        <v>9.02</v>
      </c>
      <c r="AE25" s="62"/>
      <c r="AF25" s="93"/>
      <c r="AG25" s="93"/>
      <c r="AH25" s="93"/>
      <c r="AI25" s="93"/>
      <c r="AJ25" s="94"/>
      <c r="AK25" s="87"/>
      <c r="AL25" s="87"/>
      <c r="AM25" s="87"/>
      <c r="AN25" s="87"/>
      <c r="AO25" s="87"/>
      <c r="AP25" s="23"/>
    </row>
    <row r="26" spans="1:42" s="14" customFormat="1" ht="13">
      <c r="A26" s="23">
        <v>1788</v>
      </c>
      <c r="B26" s="23"/>
      <c r="C26" s="23"/>
      <c r="D26" s="23"/>
      <c r="E26" s="23"/>
      <c r="F26" s="87"/>
      <c r="G26" s="88"/>
      <c r="H26" s="23"/>
      <c r="I26" s="23"/>
      <c r="J26" s="89"/>
      <c r="K26" s="89"/>
      <c r="L26" s="87"/>
      <c r="M26" s="87"/>
      <c r="N26" s="87"/>
      <c r="O26" s="26"/>
      <c r="P26" s="19"/>
      <c r="Q26" s="90"/>
      <c r="R26" s="88"/>
      <c r="S26" s="23"/>
      <c r="T26" s="23"/>
      <c r="U26" s="64"/>
      <c r="V26" s="87"/>
      <c r="W26" s="62"/>
      <c r="X26" s="62"/>
      <c r="Y26" s="62"/>
      <c r="Z26" s="87"/>
      <c r="AA26" s="87"/>
      <c r="AB26" s="96">
        <v>1788</v>
      </c>
      <c r="AC26" s="91"/>
      <c r="AD26" s="3">
        <v>8.6199999999999992</v>
      </c>
      <c r="AE26" s="62"/>
      <c r="AF26" s="93"/>
      <c r="AG26" s="93"/>
      <c r="AH26" s="93"/>
      <c r="AI26" s="93"/>
      <c r="AJ26" s="94"/>
      <c r="AK26" s="87"/>
      <c r="AL26" s="87"/>
      <c r="AM26" s="87"/>
      <c r="AN26" s="87"/>
      <c r="AO26" s="87"/>
      <c r="AP26" s="23"/>
    </row>
    <row r="27" spans="1:42" s="14" customFormat="1" ht="13">
      <c r="A27" s="23">
        <v>1789</v>
      </c>
      <c r="B27" s="23"/>
      <c r="C27" s="23"/>
      <c r="D27" s="23"/>
      <c r="E27" s="23"/>
      <c r="F27" s="87"/>
      <c r="G27" s="88"/>
      <c r="H27" s="23"/>
      <c r="I27" s="23"/>
      <c r="J27" s="89"/>
      <c r="K27" s="89"/>
      <c r="L27" s="87"/>
      <c r="M27" s="87"/>
      <c r="N27" s="87"/>
      <c r="O27" s="26"/>
      <c r="P27" s="19"/>
      <c r="Q27" s="90"/>
      <c r="R27" s="88"/>
      <c r="S27" s="23"/>
      <c r="T27" s="23"/>
      <c r="U27" s="64"/>
      <c r="V27" s="87"/>
      <c r="W27" s="62"/>
      <c r="X27" s="62"/>
      <c r="Y27" s="62"/>
      <c r="Z27" s="87"/>
      <c r="AA27" s="87"/>
      <c r="AB27" s="96">
        <v>1789</v>
      </c>
      <c r="AC27" s="91"/>
      <c r="AD27" s="3">
        <v>8.5399999999999991</v>
      </c>
      <c r="AE27" s="62"/>
      <c r="AF27" s="93"/>
      <c r="AG27" s="93"/>
      <c r="AH27" s="93"/>
      <c r="AI27" s="93"/>
      <c r="AJ27" s="94"/>
      <c r="AK27" s="87"/>
      <c r="AL27" s="87"/>
      <c r="AM27" s="87"/>
      <c r="AN27" s="87"/>
      <c r="AO27" s="87"/>
      <c r="AP27" s="23"/>
    </row>
    <row r="28" spans="1:42" ht="13">
      <c r="A28" s="3">
        <f t="shared" ref="A28:A36" si="3">A29-1</f>
        <v>1790</v>
      </c>
      <c r="F28" s="5"/>
      <c r="G28" s="45"/>
      <c r="J28" s="27"/>
      <c r="K28" s="27"/>
      <c r="L28" s="27"/>
      <c r="M28" s="5"/>
      <c r="N28" s="5"/>
      <c r="O28" s="28">
        <v>1790</v>
      </c>
      <c r="P28" s="28">
        <v>47.61</v>
      </c>
      <c r="Q28" s="97">
        <v>1024.8699999999999</v>
      </c>
      <c r="R28" s="45"/>
      <c r="U28" s="70"/>
      <c r="V28" s="5"/>
      <c r="W28" s="29"/>
      <c r="X28" s="29"/>
      <c r="Y28" s="29"/>
      <c r="Z28" s="29"/>
      <c r="AA28" s="5"/>
      <c r="AB28" s="54">
        <v>1790</v>
      </c>
      <c r="AC28" s="27">
        <v>0.02</v>
      </c>
      <c r="AD28" s="27">
        <v>8.86</v>
      </c>
      <c r="AE28" s="98">
        <f>AD28*100/$AD$196</f>
        <v>30.636237897648684</v>
      </c>
      <c r="AF28" s="98">
        <f>AC28*100/AE28</f>
        <v>6.5282167042889389E-2</v>
      </c>
      <c r="AG28" s="98"/>
      <c r="AH28" s="98"/>
      <c r="AI28" s="98"/>
      <c r="AJ28" s="99"/>
      <c r="AK28" s="5"/>
      <c r="AL28" s="5"/>
      <c r="AM28" s="5"/>
      <c r="AN28" s="5"/>
      <c r="AO28" s="5"/>
    </row>
    <row r="29" spans="1:42" ht="13">
      <c r="A29" s="3">
        <f t="shared" si="3"/>
        <v>1791</v>
      </c>
      <c r="F29" s="5"/>
      <c r="G29" s="45"/>
      <c r="J29" s="27"/>
      <c r="K29" s="27"/>
      <c r="L29" s="27"/>
      <c r="M29" s="5"/>
      <c r="N29" s="5"/>
      <c r="O29" s="28">
        <v>1791</v>
      </c>
      <c r="P29" s="28">
        <v>50.32</v>
      </c>
      <c r="Q29" s="97">
        <v>1054.45</v>
      </c>
      <c r="R29" s="45"/>
      <c r="U29" s="70"/>
      <c r="V29" s="5"/>
      <c r="W29" s="29"/>
      <c r="X29" s="29"/>
      <c r="Y29" s="29"/>
      <c r="Z29" s="29"/>
      <c r="AA29" s="5"/>
      <c r="AB29" s="54">
        <v>1791</v>
      </c>
      <c r="AC29" s="27">
        <v>0.02</v>
      </c>
      <c r="AD29" s="27">
        <v>9.1</v>
      </c>
      <c r="AE29" s="98">
        <f t="shared" ref="AE29:AE92" si="4">AD29*100/$AD$196</f>
        <v>31.466113416320884</v>
      </c>
      <c r="AF29" s="98">
        <f t="shared" ref="AF29:AF92" si="5">AC29*100/AE29</f>
        <v>6.3560439560439566E-2</v>
      </c>
      <c r="AG29" s="98"/>
      <c r="AH29" s="98"/>
      <c r="AI29" s="98"/>
      <c r="AJ29" s="99"/>
      <c r="AK29" s="5"/>
      <c r="AL29" s="5"/>
      <c r="AM29" s="5"/>
      <c r="AN29" s="5"/>
      <c r="AO29" s="5"/>
    </row>
    <row r="30" spans="1:42" ht="13">
      <c r="A30" s="3">
        <f t="shared" si="3"/>
        <v>1792</v>
      </c>
      <c r="F30" s="5"/>
      <c r="G30" s="45"/>
      <c r="J30" s="27"/>
      <c r="K30" s="27"/>
      <c r="L30" s="27"/>
      <c r="M30" s="5"/>
      <c r="N30" s="5"/>
      <c r="O30" s="28">
        <v>1792</v>
      </c>
      <c r="P30" s="28">
        <v>53.34</v>
      </c>
      <c r="Q30" s="97">
        <v>1098.47</v>
      </c>
      <c r="R30" s="45"/>
      <c r="U30" s="70"/>
      <c r="V30" s="5"/>
      <c r="W30" s="29"/>
      <c r="X30" s="29"/>
      <c r="Y30" s="29"/>
      <c r="Z30" s="29"/>
      <c r="AA30" s="5"/>
      <c r="AB30" s="54">
        <v>1792</v>
      </c>
      <c r="AC30" s="27">
        <v>0.02</v>
      </c>
      <c r="AD30" s="27">
        <v>9.27</v>
      </c>
      <c r="AE30" s="98">
        <f t="shared" si="4"/>
        <v>32.053941908713689</v>
      </c>
      <c r="AF30" s="98">
        <f t="shared" si="5"/>
        <v>6.2394822006472499E-2</v>
      </c>
      <c r="AG30" s="98"/>
      <c r="AH30" s="98"/>
      <c r="AI30" s="98"/>
      <c r="AJ30" s="99"/>
      <c r="AK30" s="5"/>
      <c r="AL30" s="5"/>
      <c r="AM30" s="5"/>
      <c r="AN30" s="5"/>
      <c r="AO30" s="5"/>
    </row>
    <row r="31" spans="1:42" ht="13">
      <c r="A31" s="3">
        <f t="shared" si="3"/>
        <v>1793</v>
      </c>
      <c r="F31" s="5"/>
      <c r="G31" s="45"/>
      <c r="J31" s="27"/>
      <c r="K31" s="27"/>
      <c r="L31" s="27"/>
      <c r="M31" s="5"/>
      <c r="N31" s="5"/>
      <c r="O31" s="28">
        <v>1793</v>
      </c>
      <c r="P31" s="28">
        <v>57.83</v>
      </c>
      <c r="Q31" s="97">
        <v>1150.76</v>
      </c>
      <c r="R31" s="45"/>
      <c r="U31" s="70"/>
      <c r="V31" s="5"/>
      <c r="W31" s="29"/>
      <c r="X31" s="29"/>
      <c r="Y31" s="29"/>
      <c r="Z31" s="29"/>
      <c r="AA31" s="5"/>
      <c r="AB31" s="54">
        <v>1793</v>
      </c>
      <c r="AC31" s="27">
        <v>0.03</v>
      </c>
      <c r="AD31" s="27">
        <v>9.59</v>
      </c>
      <c r="AE31" s="98">
        <f t="shared" si="4"/>
        <v>33.160442600276625</v>
      </c>
      <c r="AF31" s="98">
        <f t="shared" si="5"/>
        <v>9.0469238790406678E-2</v>
      </c>
      <c r="AG31" s="98"/>
      <c r="AH31" s="98"/>
      <c r="AI31" s="98"/>
      <c r="AJ31" s="99"/>
      <c r="AK31" s="5"/>
      <c r="AL31" s="5"/>
      <c r="AM31" s="5"/>
      <c r="AN31" s="5"/>
      <c r="AO31" s="5"/>
    </row>
    <row r="32" spans="1:42" ht="13">
      <c r="A32" s="3">
        <f t="shared" si="3"/>
        <v>1794</v>
      </c>
      <c r="F32" s="5"/>
      <c r="G32" s="45"/>
      <c r="J32" s="27"/>
      <c r="K32" s="27"/>
      <c r="L32" s="27"/>
      <c r="M32" s="5"/>
      <c r="N32" s="5"/>
      <c r="O32" s="28">
        <v>1794</v>
      </c>
      <c r="P32" s="28">
        <v>70.5</v>
      </c>
      <c r="Q32" s="97">
        <v>1264.71</v>
      </c>
      <c r="R32" s="45"/>
      <c r="U32" s="70"/>
      <c r="V32" s="5"/>
      <c r="W32" s="29"/>
      <c r="X32" s="29"/>
      <c r="Y32" s="29"/>
      <c r="Z32" s="29"/>
      <c r="AA32" s="5"/>
      <c r="AB32" s="54">
        <v>1794</v>
      </c>
      <c r="AC32" s="27">
        <v>0.03</v>
      </c>
      <c r="AD32" s="27">
        <v>10.64</v>
      </c>
      <c r="AE32" s="98">
        <f t="shared" si="4"/>
        <v>36.791147994467494</v>
      </c>
      <c r="AF32" s="98">
        <f t="shared" si="5"/>
        <v>8.1541353383458651E-2</v>
      </c>
      <c r="AG32" s="98"/>
      <c r="AH32" s="98"/>
      <c r="AI32" s="98"/>
      <c r="AJ32" s="99"/>
      <c r="AK32" s="5"/>
      <c r="AL32" s="5"/>
      <c r="AM32" s="5"/>
      <c r="AN32" s="5"/>
      <c r="AO32" s="5"/>
    </row>
    <row r="33" spans="1:41" ht="13">
      <c r="A33" s="3">
        <f t="shared" si="3"/>
        <v>1795</v>
      </c>
      <c r="F33" s="5"/>
      <c r="G33" s="45"/>
      <c r="J33" s="27"/>
      <c r="K33" s="27"/>
      <c r="L33" s="27"/>
      <c r="M33" s="5"/>
      <c r="N33" s="5"/>
      <c r="O33" s="28">
        <v>1795</v>
      </c>
      <c r="P33" s="28">
        <v>83.24</v>
      </c>
      <c r="Q33" s="97">
        <v>1305.3800000000001</v>
      </c>
      <c r="R33" s="45"/>
      <c r="U33" s="70"/>
      <c r="V33" s="5"/>
      <c r="W33" s="29"/>
      <c r="X33" s="29"/>
      <c r="Y33" s="29"/>
      <c r="Z33" s="29"/>
      <c r="AA33" s="5"/>
      <c r="AB33" s="54">
        <v>1795</v>
      </c>
      <c r="AC33" s="27">
        <v>0.03</v>
      </c>
      <c r="AD33" s="27">
        <v>12.17</v>
      </c>
      <c r="AE33" s="98">
        <f t="shared" si="4"/>
        <v>42.081604426002762</v>
      </c>
      <c r="AF33" s="98">
        <f t="shared" si="5"/>
        <v>7.129005751848809E-2</v>
      </c>
      <c r="AG33" s="98"/>
      <c r="AH33" s="98"/>
      <c r="AI33" s="98"/>
      <c r="AJ33" s="99"/>
      <c r="AK33" s="5"/>
      <c r="AL33" s="5"/>
      <c r="AM33" s="5"/>
      <c r="AN33" s="5"/>
      <c r="AO33" s="5"/>
    </row>
    <row r="34" spans="1:41" ht="13">
      <c r="A34" s="3">
        <f t="shared" si="3"/>
        <v>1796</v>
      </c>
      <c r="F34" s="5"/>
      <c r="G34" s="45"/>
      <c r="J34" s="27"/>
      <c r="K34" s="27"/>
      <c r="L34" s="27"/>
      <c r="M34" s="5"/>
      <c r="N34" s="5"/>
      <c r="O34" s="28">
        <v>1796</v>
      </c>
      <c r="P34" s="28">
        <v>87.78</v>
      </c>
      <c r="Q34" s="97">
        <v>1307.3599999999999</v>
      </c>
      <c r="R34" s="45"/>
      <c r="U34" s="70"/>
      <c r="V34" s="5"/>
      <c r="W34" s="29"/>
      <c r="X34" s="29"/>
      <c r="Y34" s="29"/>
      <c r="Z34" s="29"/>
      <c r="AA34" s="5"/>
      <c r="AB34" s="54">
        <v>1796</v>
      </c>
      <c r="AC34" s="27">
        <v>0.04</v>
      </c>
      <c r="AD34" s="27">
        <v>12.81</v>
      </c>
      <c r="AE34" s="98">
        <f t="shared" si="4"/>
        <v>44.294605809128626</v>
      </c>
      <c r="AF34" s="98">
        <f t="shared" si="5"/>
        <v>9.0304449648711954E-2</v>
      </c>
      <c r="AG34" s="98"/>
      <c r="AH34" s="98"/>
      <c r="AI34" s="98"/>
      <c r="AJ34" s="99"/>
      <c r="AK34" s="5"/>
      <c r="AL34" s="5"/>
      <c r="AM34" s="5"/>
      <c r="AN34" s="5"/>
      <c r="AO34" s="5"/>
    </row>
    <row r="35" spans="1:41" ht="13">
      <c r="A35" s="3">
        <f t="shared" si="3"/>
        <v>1797</v>
      </c>
      <c r="F35" s="5"/>
      <c r="G35" s="45"/>
      <c r="J35" s="27"/>
      <c r="K35" s="27"/>
      <c r="L35" s="27"/>
      <c r="M35" s="5"/>
      <c r="N35" s="5"/>
      <c r="O35" s="28">
        <v>1797</v>
      </c>
      <c r="P35" s="28">
        <v>83.62</v>
      </c>
      <c r="Q35" s="97">
        <v>1294.21</v>
      </c>
      <c r="R35" s="45"/>
      <c r="U35" s="70"/>
      <c r="V35" s="5"/>
      <c r="W35" s="29"/>
      <c r="X35" s="29"/>
      <c r="Y35" s="29"/>
      <c r="Z35" s="29"/>
      <c r="AA35" s="5"/>
      <c r="AB35" s="54">
        <v>1797</v>
      </c>
      <c r="AC35" s="27">
        <v>0.03</v>
      </c>
      <c r="AD35" s="27">
        <v>12.33</v>
      </c>
      <c r="AE35" s="98">
        <f t="shared" si="4"/>
        <v>42.634854771784227</v>
      </c>
      <c r="AF35" s="98">
        <f t="shared" si="5"/>
        <v>7.0364963503649638E-2</v>
      </c>
      <c r="AG35" s="98"/>
      <c r="AH35" s="98"/>
      <c r="AI35" s="98"/>
      <c r="AJ35" s="99"/>
      <c r="AK35" s="5"/>
      <c r="AL35" s="5"/>
      <c r="AM35" s="5"/>
      <c r="AN35" s="5"/>
      <c r="AO35" s="5"/>
    </row>
    <row r="36" spans="1:41" ht="13">
      <c r="A36" s="3">
        <f t="shared" si="3"/>
        <v>1798</v>
      </c>
      <c r="F36" s="5"/>
      <c r="G36" s="45"/>
      <c r="J36" s="27"/>
      <c r="K36" s="27"/>
      <c r="L36" s="27"/>
      <c r="M36" s="5"/>
      <c r="N36" s="5"/>
      <c r="O36" s="28">
        <v>1798</v>
      </c>
      <c r="P36" s="28">
        <v>81.89</v>
      </c>
      <c r="Q36" s="97">
        <v>1310.26</v>
      </c>
      <c r="R36" s="45"/>
      <c r="U36" s="70"/>
      <c r="V36" s="5"/>
      <c r="W36" s="29"/>
      <c r="X36" s="29"/>
      <c r="Y36" s="29"/>
      <c r="Z36" s="29"/>
      <c r="AA36" s="5"/>
      <c r="AB36" s="54">
        <v>1798</v>
      </c>
      <c r="AC36" s="27">
        <v>0.04</v>
      </c>
      <c r="AD36" s="27">
        <v>11.92</v>
      </c>
      <c r="AE36" s="98">
        <f t="shared" si="4"/>
        <v>41.217150760719221</v>
      </c>
      <c r="AF36" s="98">
        <f t="shared" si="5"/>
        <v>9.7046979865771821E-2</v>
      </c>
      <c r="AG36" s="98"/>
      <c r="AH36" s="98"/>
      <c r="AI36" s="98"/>
      <c r="AJ36" s="99"/>
      <c r="AK36" s="5"/>
      <c r="AL36" s="5"/>
      <c r="AM36" s="5"/>
      <c r="AN36" s="5"/>
      <c r="AO36" s="5"/>
    </row>
    <row r="37" spans="1:41" ht="13">
      <c r="A37" s="3">
        <f>A38-1</f>
        <v>1799</v>
      </c>
      <c r="F37" s="5"/>
      <c r="G37" s="45"/>
      <c r="J37" s="27"/>
      <c r="K37" s="27"/>
      <c r="L37" s="27"/>
      <c r="M37" s="5"/>
      <c r="N37" s="5"/>
      <c r="O37" s="28">
        <v>1799</v>
      </c>
      <c r="P37" s="28">
        <v>85.09</v>
      </c>
      <c r="Q37" s="97">
        <v>1361.51</v>
      </c>
      <c r="R37" s="45"/>
      <c r="U37" s="70"/>
      <c r="V37" s="5"/>
      <c r="W37" s="29"/>
      <c r="X37" s="29"/>
      <c r="Y37" s="29"/>
      <c r="Z37" s="29"/>
      <c r="AA37" s="5"/>
      <c r="AB37" s="54">
        <v>1799</v>
      </c>
      <c r="AC37" s="27">
        <v>0.04</v>
      </c>
      <c r="AD37" s="27">
        <v>11.92</v>
      </c>
      <c r="AE37" s="98">
        <f t="shared" si="4"/>
        <v>41.217150760719221</v>
      </c>
      <c r="AF37" s="98">
        <f t="shared" si="5"/>
        <v>9.7046979865771821E-2</v>
      </c>
      <c r="AG37" s="98"/>
      <c r="AH37" s="98"/>
      <c r="AI37" s="98"/>
      <c r="AJ37" s="99"/>
      <c r="AK37" s="5"/>
      <c r="AL37" s="5"/>
      <c r="AM37" s="5"/>
      <c r="AN37" s="5"/>
      <c r="AO37" s="5"/>
    </row>
    <row r="38" spans="1:41" ht="13">
      <c r="A38" s="3">
        <v>1800</v>
      </c>
      <c r="F38" s="5"/>
      <c r="G38" s="45"/>
      <c r="J38" s="29"/>
      <c r="K38" s="29"/>
      <c r="L38" s="29"/>
      <c r="N38" s="5"/>
      <c r="O38" s="29">
        <v>1800</v>
      </c>
      <c r="P38" s="29">
        <v>89.78</v>
      </c>
      <c r="Q38" s="30">
        <v>1396.7</v>
      </c>
      <c r="R38" s="45"/>
      <c r="U38" s="70"/>
      <c r="V38" s="5"/>
      <c r="W38" s="29"/>
      <c r="X38" s="29"/>
      <c r="Y38" s="29"/>
      <c r="Z38" s="29"/>
      <c r="AA38" s="5"/>
      <c r="AB38" s="54">
        <v>1800</v>
      </c>
      <c r="AC38" s="27">
        <v>0.04</v>
      </c>
      <c r="AD38" s="27">
        <v>12.17</v>
      </c>
      <c r="AE38" s="98">
        <f t="shared" si="4"/>
        <v>42.081604426002762</v>
      </c>
      <c r="AF38" s="98">
        <f t="shared" si="5"/>
        <v>9.5053410024650786E-2</v>
      </c>
      <c r="AG38" s="98"/>
      <c r="AH38" s="98"/>
      <c r="AI38" s="98"/>
      <c r="AJ38" s="99"/>
      <c r="AK38" s="5"/>
      <c r="AL38" s="5"/>
      <c r="AM38" s="5"/>
      <c r="AN38" s="5"/>
      <c r="AO38" s="5"/>
    </row>
    <row r="39" spans="1:41" ht="13">
      <c r="A39" s="3">
        <v>1801</v>
      </c>
      <c r="F39" s="5"/>
      <c r="G39" s="45"/>
      <c r="J39" s="29"/>
      <c r="K39" s="29"/>
      <c r="L39" s="29"/>
      <c r="N39" s="5"/>
      <c r="O39" s="29">
        <v>1801</v>
      </c>
      <c r="P39" s="29">
        <v>93.28</v>
      </c>
      <c r="Q39" s="30">
        <v>1420.78</v>
      </c>
      <c r="R39" s="45"/>
      <c r="U39" s="70"/>
      <c r="V39" s="5"/>
      <c r="W39" s="29"/>
      <c r="X39" s="29"/>
      <c r="Y39" s="29"/>
      <c r="Z39" s="29"/>
      <c r="AA39" s="5"/>
      <c r="AB39" s="54">
        <v>1801</v>
      </c>
      <c r="AC39" s="27">
        <v>0.04</v>
      </c>
      <c r="AD39" s="27">
        <v>12.33</v>
      </c>
      <c r="AE39" s="98">
        <f t="shared" si="4"/>
        <v>42.634854771784227</v>
      </c>
      <c r="AF39" s="98">
        <f t="shared" si="5"/>
        <v>9.3819951338199523E-2</v>
      </c>
      <c r="AG39" s="98"/>
      <c r="AH39" s="98"/>
      <c r="AI39" s="98"/>
      <c r="AJ39" s="99"/>
      <c r="AK39" s="5"/>
      <c r="AL39" s="5"/>
      <c r="AM39" s="5"/>
      <c r="AN39" s="5"/>
      <c r="AO39" s="5"/>
    </row>
    <row r="40" spans="1:41" ht="13">
      <c r="A40" s="3">
        <v>1802</v>
      </c>
      <c r="F40" s="5"/>
      <c r="G40" s="45"/>
      <c r="J40" s="29"/>
      <c r="K40" s="29"/>
      <c r="L40" s="29"/>
      <c r="N40" s="5"/>
      <c r="O40" s="29">
        <v>1802</v>
      </c>
      <c r="P40" s="29">
        <v>79.28</v>
      </c>
      <c r="Q40" s="30">
        <v>1420.96</v>
      </c>
      <c r="R40" s="45"/>
      <c r="U40" s="70"/>
      <c r="V40" s="5"/>
      <c r="W40" s="29"/>
      <c r="X40" s="29"/>
      <c r="Y40" s="29"/>
      <c r="Z40" s="29"/>
      <c r="AA40" s="5"/>
      <c r="AB40" s="54">
        <v>1802</v>
      </c>
      <c r="AC40" s="27">
        <v>0.04</v>
      </c>
      <c r="AD40" s="27">
        <v>10.39</v>
      </c>
      <c r="AE40" s="98">
        <f t="shared" si="4"/>
        <v>35.926694329183952</v>
      </c>
      <c r="AF40" s="98">
        <f t="shared" si="5"/>
        <v>0.11133782483156883</v>
      </c>
      <c r="AG40" s="98"/>
      <c r="AH40" s="98"/>
      <c r="AI40" s="98"/>
      <c r="AJ40" s="99"/>
      <c r="AK40" s="5"/>
      <c r="AL40" s="5"/>
      <c r="AM40" s="5"/>
      <c r="AN40" s="5"/>
      <c r="AO40" s="5"/>
    </row>
    <row r="41" spans="1:41" ht="13">
      <c r="A41" s="3">
        <v>1803</v>
      </c>
      <c r="F41" s="5"/>
      <c r="G41" s="45"/>
      <c r="J41" s="29"/>
      <c r="K41" s="29"/>
      <c r="L41" s="29"/>
      <c r="N41" s="5"/>
      <c r="O41" s="29">
        <v>1803</v>
      </c>
      <c r="P41" s="29">
        <v>83.06</v>
      </c>
      <c r="Q41" s="30">
        <v>1401.02</v>
      </c>
      <c r="R41" s="45"/>
      <c r="U41" s="70"/>
      <c r="V41" s="5"/>
      <c r="W41" s="29"/>
      <c r="X41" s="29"/>
      <c r="Y41" s="29"/>
      <c r="Z41" s="29"/>
      <c r="AA41" s="5"/>
      <c r="AB41" s="54">
        <v>1803</v>
      </c>
      <c r="AC41" s="27">
        <v>0.04</v>
      </c>
      <c r="AD41" s="27">
        <v>10.96</v>
      </c>
      <c r="AE41" s="98">
        <f t="shared" si="4"/>
        <v>37.897648686030429</v>
      </c>
      <c r="AF41" s="98">
        <f t="shared" si="5"/>
        <v>0.10554744525547445</v>
      </c>
      <c r="AG41" s="98"/>
      <c r="AH41" s="98"/>
      <c r="AI41" s="98"/>
      <c r="AJ41" s="99"/>
      <c r="AK41" s="5"/>
      <c r="AL41" s="5"/>
      <c r="AM41" s="5"/>
      <c r="AN41" s="5"/>
      <c r="AO41" s="5"/>
    </row>
    <row r="42" spans="1:41" ht="13">
      <c r="A42" s="3">
        <v>1804</v>
      </c>
      <c r="F42" s="5"/>
      <c r="G42" s="45"/>
      <c r="J42" s="29"/>
      <c r="K42" s="29"/>
      <c r="L42" s="29"/>
      <c r="N42" s="5"/>
      <c r="O42" s="29">
        <v>1804</v>
      </c>
      <c r="P42" s="29">
        <v>88.03</v>
      </c>
      <c r="Q42" s="30">
        <v>1411.21</v>
      </c>
      <c r="R42" s="45"/>
      <c r="U42" s="70"/>
      <c r="V42" s="5"/>
      <c r="W42" s="29"/>
      <c r="X42" s="29"/>
      <c r="Y42" s="29"/>
      <c r="Z42" s="29"/>
      <c r="AA42" s="5"/>
      <c r="AB42" s="54">
        <v>1804</v>
      </c>
      <c r="AC42" s="27">
        <v>0.05</v>
      </c>
      <c r="AD42" s="27">
        <v>11.44</v>
      </c>
      <c r="AE42" s="98">
        <f t="shared" si="4"/>
        <v>39.557399723374822</v>
      </c>
      <c r="AF42" s="98">
        <f t="shared" si="5"/>
        <v>0.12639860139860143</v>
      </c>
      <c r="AG42" s="98"/>
      <c r="AH42" s="98"/>
      <c r="AI42" s="98"/>
      <c r="AJ42" s="99"/>
      <c r="AK42" s="5"/>
      <c r="AL42" s="5"/>
      <c r="AM42" s="5"/>
      <c r="AN42" s="5"/>
      <c r="AO42" s="5"/>
    </row>
    <row r="43" spans="1:41" ht="13">
      <c r="A43" s="3">
        <v>1805</v>
      </c>
      <c r="F43" s="5"/>
      <c r="G43" s="45"/>
      <c r="J43" s="29"/>
      <c r="K43" s="29"/>
      <c r="L43" s="29"/>
      <c r="N43" s="5"/>
      <c r="O43" s="29">
        <v>1805</v>
      </c>
      <c r="P43" s="29">
        <v>89.92</v>
      </c>
      <c r="Q43" s="30">
        <v>1440.54</v>
      </c>
      <c r="R43" s="45"/>
      <c r="U43" s="70"/>
      <c r="V43" s="5"/>
      <c r="W43" s="29"/>
      <c r="X43" s="29"/>
      <c r="Y43" s="29"/>
      <c r="Z43" s="29"/>
      <c r="AA43" s="5"/>
      <c r="AB43" s="54">
        <v>1805</v>
      </c>
      <c r="AC43" s="27">
        <v>0.05</v>
      </c>
      <c r="AD43" s="27">
        <v>11.36</v>
      </c>
      <c r="AE43" s="98">
        <f t="shared" si="4"/>
        <v>39.28077455048409</v>
      </c>
      <c r="AF43" s="98">
        <f t="shared" si="5"/>
        <v>0.12728873239436622</v>
      </c>
      <c r="AG43" s="98"/>
      <c r="AH43" s="98"/>
      <c r="AI43" s="98"/>
      <c r="AJ43" s="99"/>
      <c r="AK43" s="5"/>
      <c r="AL43" s="5"/>
      <c r="AM43" s="5"/>
      <c r="AN43" s="5"/>
      <c r="AO43" s="5"/>
    </row>
    <row r="44" spans="1:41" ht="13">
      <c r="A44" s="3">
        <v>1806</v>
      </c>
      <c r="F44" s="5"/>
      <c r="G44" s="45"/>
      <c r="J44" s="29"/>
      <c r="K44" s="29"/>
      <c r="L44" s="29"/>
      <c r="N44" s="5"/>
      <c r="O44" s="29">
        <v>1806</v>
      </c>
      <c r="P44" s="29">
        <v>95.85</v>
      </c>
      <c r="Q44" s="30">
        <v>1461.59</v>
      </c>
      <c r="R44" s="45"/>
      <c r="U44" s="70"/>
      <c r="V44" s="5"/>
      <c r="W44" s="29"/>
      <c r="X44" s="29"/>
      <c r="Y44" s="29"/>
      <c r="Z44" s="29"/>
      <c r="AA44" s="5"/>
      <c r="AB44" s="54">
        <v>1806</v>
      </c>
      <c r="AC44" s="27">
        <v>0.05</v>
      </c>
      <c r="AD44" s="27">
        <v>11.84</v>
      </c>
      <c r="AE44" s="98">
        <f t="shared" si="4"/>
        <v>40.940525587828489</v>
      </c>
      <c r="AF44" s="98">
        <f t="shared" si="5"/>
        <v>0.12212837837837839</v>
      </c>
      <c r="AG44" s="98"/>
      <c r="AH44" s="98"/>
      <c r="AI44" s="98"/>
      <c r="AJ44" s="99"/>
      <c r="AK44" s="5"/>
      <c r="AL44" s="5"/>
      <c r="AM44" s="5"/>
      <c r="AN44" s="5"/>
      <c r="AO44" s="5"/>
    </row>
    <row r="45" spans="1:41" ht="13">
      <c r="A45" s="3">
        <v>1807</v>
      </c>
      <c r="F45" s="5"/>
      <c r="G45" s="45"/>
      <c r="J45" s="29"/>
      <c r="K45" s="29"/>
      <c r="L45" s="29"/>
      <c r="N45" s="5"/>
      <c r="O45" s="29">
        <v>1807</v>
      </c>
      <c r="P45" s="29">
        <v>88.51</v>
      </c>
      <c r="Q45" s="30">
        <v>1416.53</v>
      </c>
      <c r="R45" s="45"/>
      <c r="U45" s="70"/>
      <c r="V45" s="5"/>
      <c r="W45" s="29"/>
      <c r="X45" s="29"/>
      <c r="Y45" s="29"/>
      <c r="Z45" s="29"/>
      <c r="AA45" s="5"/>
      <c r="AB45" s="54">
        <v>1807</v>
      </c>
      <c r="AC45" s="27">
        <v>0.05</v>
      </c>
      <c r="AD45" s="27">
        <v>11.2</v>
      </c>
      <c r="AE45" s="98">
        <f t="shared" si="4"/>
        <v>38.727524204702625</v>
      </c>
      <c r="AF45" s="98">
        <f t="shared" si="5"/>
        <v>0.12910714285714286</v>
      </c>
      <c r="AG45" s="98"/>
      <c r="AH45" s="98"/>
      <c r="AI45" s="98"/>
      <c r="AJ45" s="99"/>
      <c r="AK45" s="5"/>
      <c r="AL45" s="5"/>
      <c r="AM45" s="5"/>
      <c r="AN45" s="5"/>
      <c r="AO45" s="5"/>
    </row>
    <row r="46" spans="1:41" ht="13">
      <c r="A46" s="3">
        <v>1808</v>
      </c>
      <c r="F46" s="5"/>
      <c r="G46" s="45"/>
      <c r="J46" s="29"/>
      <c r="K46" s="29"/>
      <c r="L46" s="29"/>
      <c r="N46" s="5"/>
      <c r="O46" s="29">
        <v>1808</v>
      </c>
      <c r="P46" s="29">
        <v>94.11</v>
      </c>
      <c r="Q46" s="30">
        <v>1376.04</v>
      </c>
      <c r="R46" s="45"/>
      <c r="U46" s="70"/>
      <c r="V46" s="5"/>
      <c r="W46" s="29"/>
      <c r="X46" s="29"/>
      <c r="Y46" s="29"/>
      <c r="Z46" s="29"/>
      <c r="AA46" s="5"/>
      <c r="AB46" s="54">
        <v>1808</v>
      </c>
      <c r="AC46" s="27">
        <v>0.05</v>
      </c>
      <c r="AD46" s="27">
        <v>12.17</v>
      </c>
      <c r="AE46" s="98">
        <f t="shared" si="4"/>
        <v>42.081604426002762</v>
      </c>
      <c r="AF46" s="98">
        <f t="shared" si="5"/>
        <v>0.11881676253081348</v>
      </c>
      <c r="AG46" s="98"/>
      <c r="AH46" s="98"/>
      <c r="AI46" s="98"/>
      <c r="AJ46" s="99"/>
      <c r="AK46" s="5"/>
      <c r="AL46" s="5"/>
      <c r="AM46" s="5"/>
      <c r="AN46" s="5"/>
      <c r="AO46" s="5"/>
    </row>
    <row r="47" spans="1:41" ht="13">
      <c r="A47" s="3">
        <v>1809</v>
      </c>
      <c r="F47" s="5"/>
      <c r="G47" s="45"/>
      <c r="J47" s="29"/>
      <c r="K47" s="29"/>
      <c r="L47" s="29"/>
      <c r="N47" s="5"/>
      <c r="O47" s="29">
        <v>1809</v>
      </c>
      <c r="P47" s="29">
        <v>97.02</v>
      </c>
      <c r="Q47" s="30">
        <v>1436.5</v>
      </c>
      <c r="R47" s="45"/>
      <c r="U47" s="70"/>
      <c r="V47" s="5"/>
      <c r="W47" s="29"/>
      <c r="X47" s="29"/>
      <c r="Y47" s="29"/>
      <c r="Z47" s="29"/>
      <c r="AA47" s="5"/>
      <c r="AB47" s="54">
        <v>1809</v>
      </c>
      <c r="AC47" s="27">
        <v>0.05</v>
      </c>
      <c r="AD47" s="27">
        <v>11.92</v>
      </c>
      <c r="AE47" s="98">
        <f t="shared" si="4"/>
        <v>41.217150760719221</v>
      </c>
      <c r="AF47" s="98">
        <f t="shared" si="5"/>
        <v>0.12130872483221478</v>
      </c>
      <c r="AG47" s="98"/>
      <c r="AH47" s="98"/>
      <c r="AI47" s="98"/>
      <c r="AJ47" s="99"/>
      <c r="AK47" s="5"/>
      <c r="AL47" s="5"/>
      <c r="AM47" s="5"/>
      <c r="AN47" s="5"/>
      <c r="AO47" s="5"/>
    </row>
    <row r="48" spans="1:41" ht="13">
      <c r="A48" s="3">
        <v>1810</v>
      </c>
      <c r="F48" s="5"/>
      <c r="G48" s="45"/>
      <c r="J48" s="29"/>
      <c r="K48" s="29"/>
      <c r="L48" s="29"/>
      <c r="N48" s="5"/>
      <c r="O48" s="29">
        <v>1810</v>
      </c>
      <c r="P48" s="29">
        <v>96.8</v>
      </c>
      <c r="Q48" s="30">
        <v>1470.97</v>
      </c>
      <c r="R48" s="45"/>
      <c r="U48" s="70"/>
      <c r="V48" s="5"/>
      <c r="W48" s="29"/>
      <c r="X48" s="29"/>
      <c r="Y48" s="29"/>
      <c r="Z48" s="29"/>
      <c r="AA48" s="5"/>
      <c r="AB48" s="54">
        <v>1810</v>
      </c>
      <c r="AC48" s="27">
        <v>0.05</v>
      </c>
      <c r="AD48" s="27">
        <v>11.92</v>
      </c>
      <c r="AE48" s="98">
        <f t="shared" si="4"/>
        <v>41.217150760719221</v>
      </c>
      <c r="AF48" s="98">
        <f t="shared" si="5"/>
        <v>0.12130872483221478</v>
      </c>
      <c r="AG48" s="98"/>
      <c r="AH48" s="98"/>
      <c r="AI48" s="98"/>
      <c r="AJ48" s="99"/>
      <c r="AK48" s="5"/>
      <c r="AL48" s="5"/>
      <c r="AM48" s="5"/>
      <c r="AN48" s="5"/>
      <c r="AO48" s="5"/>
    </row>
    <row r="49" spans="1:41" ht="13">
      <c r="A49" s="3">
        <v>1811</v>
      </c>
      <c r="F49" s="5"/>
      <c r="G49" s="45"/>
      <c r="J49" s="29"/>
      <c r="K49" s="29"/>
      <c r="L49" s="29"/>
      <c r="N49" s="5"/>
      <c r="O49" s="29">
        <v>1811</v>
      </c>
      <c r="P49" s="29">
        <v>102.19</v>
      </c>
      <c r="Q49" s="30">
        <v>1494</v>
      </c>
      <c r="R49" s="45"/>
      <c r="U49" s="70"/>
      <c r="V49" s="5"/>
      <c r="W49" s="29"/>
      <c r="X49" s="29"/>
      <c r="Y49" s="29"/>
      <c r="Z49" s="29"/>
      <c r="AA49" s="5"/>
      <c r="AB49" s="54">
        <v>1811</v>
      </c>
      <c r="AC49" s="27">
        <v>0.05</v>
      </c>
      <c r="AD49" s="27">
        <v>12.73</v>
      </c>
      <c r="AE49" s="98">
        <f t="shared" si="4"/>
        <v>44.017980636237894</v>
      </c>
      <c r="AF49" s="98">
        <f t="shared" si="5"/>
        <v>0.1135899450117832</v>
      </c>
      <c r="AG49" s="98"/>
      <c r="AH49" s="98"/>
      <c r="AI49" s="98"/>
      <c r="AJ49" s="99"/>
      <c r="AK49" s="5"/>
      <c r="AL49" s="5"/>
      <c r="AM49" s="5"/>
      <c r="AN49" s="5"/>
      <c r="AO49" s="5"/>
    </row>
    <row r="50" spans="1:41" ht="13">
      <c r="A50" s="3">
        <v>1812</v>
      </c>
      <c r="F50" s="5"/>
      <c r="G50" s="45"/>
      <c r="J50" s="29"/>
      <c r="K50" s="29"/>
      <c r="L50" s="29"/>
      <c r="N50" s="5"/>
      <c r="O50" s="29">
        <v>1812</v>
      </c>
      <c r="P50" s="29">
        <v>101.77</v>
      </c>
      <c r="Q50" s="30">
        <v>1509.94</v>
      </c>
      <c r="R50" s="45"/>
      <c r="U50" s="70"/>
      <c r="V50" s="5"/>
      <c r="W50" s="29"/>
      <c r="X50" s="29"/>
      <c r="Y50" s="29"/>
      <c r="Z50" s="29"/>
      <c r="AA50" s="5"/>
      <c r="AB50" s="54">
        <v>1812</v>
      </c>
      <c r="AC50" s="27">
        <v>0.05</v>
      </c>
      <c r="AD50" s="27">
        <v>12.89</v>
      </c>
      <c r="AE50" s="98">
        <f t="shared" si="4"/>
        <v>44.571230982019358</v>
      </c>
      <c r="AF50" s="98">
        <f t="shared" si="5"/>
        <v>0.11217998448409622</v>
      </c>
      <c r="AG50" s="98"/>
      <c r="AH50" s="98"/>
      <c r="AI50" s="98"/>
      <c r="AJ50" s="99"/>
      <c r="AK50" s="5"/>
      <c r="AL50" s="5"/>
      <c r="AM50" s="5"/>
      <c r="AN50" s="5"/>
      <c r="AO50" s="5"/>
    </row>
    <row r="51" spans="1:41" ht="13">
      <c r="A51" s="3">
        <v>1813</v>
      </c>
      <c r="F51" s="5"/>
      <c r="G51" s="45"/>
      <c r="J51" s="29"/>
      <c r="K51" s="29"/>
      <c r="L51" s="29"/>
      <c r="N51" s="5"/>
      <c r="O51" s="29">
        <v>1813</v>
      </c>
      <c r="P51" s="29">
        <v>122.04</v>
      </c>
      <c r="Q51" s="30">
        <v>1552.06</v>
      </c>
      <c r="R51" s="45"/>
      <c r="U51" s="70"/>
      <c r="V51" s="5"/>
      <c r="W51" s="29"/>
      <c r="X51" s="29"/>
      <c r="Y51" s="29"/>
      <c r="Z51" s="29"/>
      <c r="AA51" s="5"/>
      <c r="AB51" s="54">
        <v>1813</v>
      </c>
      <c r="AC51" s="27">
        <v>0.05</v>
      </c>
      <c r="AD51" s="27">
        <v>15.47</v>
      </c>
      <c r="AE51" s="98">
        <f t="shared" si="4"/>
        <v>53.492392807745503</v>
      </c>
      <c r="AF51" s="98">
        <f t="shared" si="5"/>
        <v>9.3471234647705237E-2</v>
      </c>
      <c r="AG51" s="98"/>
      <c r="AH51" s="98"/>
      <c r="AI51" s="98"/>
      <c r="AJ51" s="99"/>
      <c r="AK51" s="5"/>
      <c r="AL51" s="5"/>
      <c r="AM51" s="5"/>
      <c r="AN51" s="5"/>
      <c r="AO51" s="5"/>
    </row>
    <row r="52" spans="1:41" ht="13">
      <c r="A52" s="3">
        <v>1814</v>
      </c>
      <c r="F52" s="5"/>
      <c r="G52" s="45"/>
      <c r="J52" s="29"/>
      <c r="K52" s="29"/>
      <c r="L52" s="29"/>
      <c r="N52" s="5"/>
      <c r="O52" s="29">
        <v>1814</v>
      </c>
      <c r="P52" s="29">
        <v>132.07</v>
      </c>
      <c r="Q52" s="30">
        <v>1573.4</v>
      </c>
      <c r="R52" s="45"/>
      <c r="U52" s="70"/>
      <c r="V52" s="5"/>
      <c r="W52" s="29"/>
      <c r="X52" s="29"/>
      <c r="Y52" s="29"/>
      <c r="Z52" s="29"/>
      <c r="AA52" s="5"/>
      <c r="AB52" s="54">
        <v>1814</v>
      </c>
      <c r="AC52" s="27">
        <v>0.05</v>
      </c>
      <c r="AD52" s="27">
        <v>17</v>
      </c>
      <c r="AE52" s="98">
        <f t="shared" si="4"/>
        <v>58.782849239280772</v>
      </c>
      <c r="AF52" s="98">
        <f t="shared" si="5"/>
        <v>8.505882352941177E-2</v>
      </c>
      <c r="AG52" s="98"/>
      <c r="AH52" s="98"/>
      <c r="AI52" s="98"/>
      <c r="AJ52" s="99"/>
      <c r="AK52" s="5"/>
      <c r="AL52" s="5"/>
      <c r="AM52" s="5"/>
      <c r="AN52" s="5"/>
      <c r="AO52" s="5"/>
    </row>
    <row r="53" spans="1:41" ht="13">
      <c r="A53" s="3">
        <v>1815</v>
      </c>
      <c r="F53" s="5"/>
      <c r="G53" s="45"/>
      <c r="J53" s="29"/>
      <c r="K53" s="29"/>
      <c r="L53" s="29"/>
      <c r="N53" s="5"/>
      <c r="O53" s="29">
        <v>1815</v>
      </c>
      <c r="P53" s="29">
        <v>110.25</v>
      </c>
      <c r="Q53" s="30">
        <v>1543.48</v>
      </c>
      <c r="R53" s="45"/>
      <c r="U53" s="70"/>
      <c r="V53" s="5"/>
      <c r="W53" s="29"/>
      <c r="X53" s="29"/>
      <c r="Y53" s="29"/>
      <c r="Z53" s="29"/>
      <c r="AA53" s="5"/>
      <c r="AB53" s="54">
        <v>1815</v>
      </c>
      <c r="AC53" s="27">
        <v>0.05</v>
      </c>
      <c r="AD53" s="27">
        <v>14.91</v>
      </c>
      <c r="AE53" s="98">
        <f t="shared" si="4"/>
        <v>51.556016597510371</v>
      </c>
      <c r="AF53" s="98">
        <f t="shared" si="5"/>
        <v>9.6981891348088531E-2</v>
      </c>
      <c r="AG53" s="98"/>
      <c r="AH53" s="98"/>
      <c r="AI53" s="98"/>
      <c r="AJ53" s="99"/>
      <c r="AK53" s="5"/>
      <c r="AL53" s="5"/>
      <c r="AM53" s="5"/>
      <c r="AN53" s="5"/>
      <c r="AO53" s="5"/>
    </row>
    <row r="54" spans="1:41" ht="13">
      <c r="A54" s="3">
        <v>1816</v>
      </c>
      <c r="F54" s="5"/>
      <c r="G54" s="45"/>
      <c r="J54" s="29"/>
      <c r="K54" s="29"/>
      <c r="L54" s="29"/>
      <c r="N54" s="5"/>
      <c r="O54" s="29">
        <v>1816</v>
      </c>
      <c r="P54" s="29">
        <v>95.01</v>
      </c>
      <c r="Q54" s="30">
        <v>1501.46</v>
      </c>
      <c r="R54" s="45"/>
      <c r="U54" s="70"/>
      <c r="V54" s="5"/>
      <c r="W54" s="29"/>
      <c r="X54" s="29"/>
      <c r="Y54" s="29"/>
      <c r="Z54" s="29"/>
      <c r="AA54" s="5"/>
      <c r="AB54" s="54">
        <v>1816</v>
      </c>
      <c r="AC54" s="27">
        <v>0.05</v>
      </c>
      <c r="AD54" s="27">
        <v>13.62</v>
      </c>
      <c r="AE54" s="98">
        <f t="shared" si="4"/>
        <v>47.095435684647299</v>
      </c>
      <c r="AF54" s="98">
        <f t="shared" si="5"/>
        <v>0.10616740088105728</v>
      </c>
      <c r="AG54" s="98"/>
      <c r="AH54" s="98"/>
      <c r="AI54" s="98"/>
      <c r="AJ54" s="99"/>
      <c r="AK54" s="5"/>
      <c r="AL54" s="5"/>
      <c r="AM54" s="5"/>
      <c r="AN54" s="5"/>
      <c r="AO54" s="5"/>
    </row>
    <row r="55" spans="1:41" ht="13">
      <c r="A55" s="3">
        <v>1817</v>
      </c>
      <c r="F55" s="5"/>
      <c r="G55" s="45"/>
      <c r="J55" s="29"/>
      <c r="K55" s="29"/>
      <c r="L55" s="29"/>
      <c r="N55" s="5"/>
      <c r="O55" s="29">
        <v>1817</v>
      </c>
      <c r="P55" s="29">
        <v>86.62</v>
      </c>
      <c r="Q55" s="30">
        <v>1492.64</v>
      </c>
      <c r="R55" s="45"/>
      <c r="U55" s="70"/>
      <c r="V55" s="5"/>
      <c r="W55" s="29"/>
      <c r="X55" s="29"/>
      <c r="Y55" s="29"/>
      <c r="Z55" s="29"/>
      <c r="AA55" s="5"/>
      <c r="AB55" s="54">
        <v>1817</v>
      </c>
      <c r="AC55" s="27">
        <v>0.05</v>
      </c>
      <c r="AD55" s="27">
        <v>12.89</v>
      </c>
      <c r="AE55" s="98">
        <f t="shared" si="4"/>
        <v>44.571230982019358</v>
      </c>
      <c r="AF55" s="98">
        <f t="shared" si="5"/>
        <v>0.11217998448409622</v>
      </c>
      <c r="AG55" s="98"/>
      <c r="AH55" s="98"/>
      <c r="AI55" s="98"/>
      <c r="AJ55" s="99"/>
      <c r="AK55" s="5"/>
      <c r="AL55" s="5"/>
      <c r="AM55" s="5"/>
      <c r="AN55" s="5"/>
      <c r="AO55" s="5"/>
    </row>
    <row r="56" spans="1:41" ht="13">
      <c r="A56" s="3">
        <v>1818</v>
      </c>
      <c r="F56" s="5"/>
      <c r="G56" s="45"/>
      <c r="J56" s="29"/>
      <c r="K56" s="29"/>
      <c r="L56" s="29"/>
      <c r="N56" s="5"/>
      <c r="O56" s="29">
        <v>1818</v>
      </c>
      <c r="P56" s="29">
        <v>80.62</v>
      </c>
      <c r="Q56" s="30">
        <v>1501.25</v>
      </c>
      <c r="R56" s="45"/>
      <c r="U56" s="70"/>
      <c r="V56" s="5"/>
      <c r="W56" s="29"/>
      <c r="X56" s="29"/>
      <c r="Y56" s="29"/>
      <c r="Z56" s="29"/>
      <c r="AA56" s="5"/>
      <c r="AB56" s="54">
        <v>1818</v>
      </c>
      <c r="AC56" s="27">
        <v>0.05</v>
      </c>
      <c r="AD56" s="27">
        <v>12.33</v>
      </c>
      <c r="AE56" s="98">
        <f t="shared" si="4"/>
        <v>42.634854771784227</v>
      </c>
      <c r="AF56" s="98">
        <f t="shared" si="5"/>
        <v>0.11727493917274941</v>
      </c>
      <c r="AG56" s="98"/>
      <c r="AH56" s="98"/>
      <c r="AI56" s="98"/>
      <c r="AJ56" s="99"/>
      <c r="AK56" s="5"/>
      <c r="AL56" s="5"/>
      <c r="AM56" s="5"/>
      <c r="AN56" s="5"/>
      <c r="AO56" s="5"/>
    </row>
    <row r="57" spans="1:41" ht="13">
      <c r="A57" s="3">
        <v>1819</v>
      </c>
      <c r="F57" s="5"/>
      <c r="G57" s="45"/>
      <c r="J57" s="29"/>
      <c r="K57" s="29"/>
      <c r="L57" s="29"/>
      <c r="N57" s="5"/>
      <c r="O57" s="29">
        <v>1819</v>
      </c>
      <c r="P57" s="29">
        <v>77.08</v>
      </c>
      <c r="Q57" s="30">
        <v>1484.73</v>
      </c>
      <c r="R57" s="45"/>
      <c r="U57" s="70"/>
      <c r="V57" s="5"/>
      <c r="W57" s="29"/>
      <c r="X57" s="29"/>
      <c r="Y57" s="29"/>
      <c r="Z57" s="29"/>
      <c r="AA57" s="5"/>
      <c r="AB57" s="54">
        <v>1819</v>
      </c>
      <c r="AC57" s="27">
        <v>0.05</v>
      </c>
      <c r="AD57" s="27">
        <v>12.33</v>
      </c>
      <c r="AE57" s="98">
        <f t="shared" si="4"/>
        <v>42.634854771784227</v>
      </c>
      <c r="AF57" s="98">
        <f t="shared" si="5"/>
        <v>0.11727493917274941</v>
      </c>
      <c r="AG57" s="98"/>
      <c r="AH57" s="98"/>
      <c r="AI57" s="98"/>
      <c r="AJ57" s="99"/>
      <c r="AK57" s="5"/>
      <c r="AL57" s="5"/>
      <c r="AM57" s="5"/>
      <c r="AN57" s="5"/>
      <c r="AO57" s="5"/>
    </row>
    <row r="58" spans="1:41" ht="13">
      <c r="A58" s="3">
        <v>1820</v>
      </c>
      <c r="F58" s="5"/>
      <c r="G58" s="45"/>
      <c r="J58" s="29"/>
      <c r="K58" s="29"/>
      <c r="L58" s="29"/>
      <c r="N58" s="5"/>
      <c r="O58" s="29">
        <v>1820</v>
      </c>
      <c r="P58" s="29">
        <v>73.09</v>
      </c>
      <c r="Q58" s="30">
        <v>1498.65</v>
      </c>
      <c r="R58" s="45"/>
      <c r="U58" s="70"/>
      <c r="V58" s="5"/>
      <c r="W58" s="29"/>
      <c r="X58" s="29"/>
      <c r="Y58" s="29"/>
      <c r="Z58" s="29"/>
      <c r="AA58" s="5"/>
      <c r="AB58" s="54">
        <v>1820</v>
      </c>
      <c r="AC58" s="27">
        <v>0.04</v>
      </c>
      <c r="AD58" s="27">
        <v>11.36</v>
      </c>
      <c r="AE58" s="98">
        <f t="shared" si="4"/>
        <v>39.28077455048409</v>
      </c>
      <c r="AF58" s="98">
        <f t="shared" si="5"/>
        <v>0.10183098591549297</v>
      </c>
      <c r="AG58" s="98"/>
      <c r="AH58" s="98"/>
      <c r="AI58" s="98"/>
      <c r="AJ58" s="99"/>
      <c r="AK58" s="5"/>
      <c r="AL58" s="5"/>
      <c r="AM58" s="5"/>
      <c r="AN58" s="5"/>
      <c r="AO58" s="5"/>
    </row>
    <row r="59" spans="1:41" ht="13">
      <c r="A59" s="3">
        <v>1821</v>
      </c>
      <c r="F59" s="5"/>
      <c r="G59" s="45"/>
      <c r="J59" s="29"/>
      <c r="K59" s="29"/>
      <c r="L59" s="29"/>
      <c r="N59" s="5"/>
      <c r="O59" s="29">
        <v>1821</v>
      </c>
      <c r="P59" s="29">
        <v>73.510000000000005</v>
      </c>
      <c r="Q59" s="30">
        <v>1533.61</v>
      </c>
      <c r="R59" s="45"/>
      <c r="U59" s="70"/>
      <c r="V59" s="5"/>
      <c r="W59" s="29"/>
      <c r="X59" s="29"/>
      <c r="Y59" s="29"/>
      <c r="Z59" s="29"/>
      <c r="AA59" s="5"/>
      <c r="AB59" s="54">
        <v>1821</v>
      </c>
      <c r="AC59" s="27">
        <v>0.05</v>
      </c>
      <c r="AD59" s="27">
        <v>10.96</v>
      </c>
      <c r="AE59" s="98">
        <f t="shared" si="4"/>
        <v>37.897648686030429</v>
      </c>
      <c r="AF59" s="98">
        <f t="shared" si="5"/>
        <v>0.13193430656934307</v>
      </c>
      <c r="AG59" s="98"/>
      <c r="AH59" s="98"/>
      <c r="AI59" s="98"/>
      <c r="AJ59" s="99"/>
      <c r="AK59" s="5"/>
      <c r="AL59" s="5"/>
      <c r="AM59" s="5"/>
      <c r="AN59" s="5"/>
      <c r="AO59" s="5"/>
    </row>
    <row r="60" spans="1:41" ht="13">
      <c r="A60" s="3">
        <v>1822</v>
      </c>
      <c r="F60" s="5"/>
      <c r="G60" s="45"/>
      <c r="J60" s="29"/>
      <c r="K60" s="29"/>
      <c r="L60" s="29"/>
      <c r="N60" s="5"/>
      <c r="O60" s="29">
        <v>1822</v>
      </c>
      <c r="P60" s="29">
        <v>78.28</v>
      </c>
      <c r="Q60" s="30">
        <v>1546.46</v>
      </c>
      <c r="R60" s="45"/>
      <c r="U60" s="70"/>
      <c r="V60" s="5"/>
      <c r="W60" s="29"/>
      <c r="X60" s="29"/>
      <c r="Y60" s="29"/>
      <c r="Z60" s="29"/>
      <c r="AA60" s="5"/>
      <c r="AB60" s="54">
        <v>1822</v>
      </c>
      <c r="AC60" s="27">
        <v>0.05</v>
      </c>
      <c r="AD60" s="27">
        <v>11.36</v>
      </c>
      <c r="AE60" s="98">
        <f t="shared" si="4"/>
        <v>39.28077455048409</v>
      </c>
      <c r="AF60" s="98">
        <f t="shared" si="5"/>
        <v>0.12728873239436622</v>
      </c>
      <c r="AG60" s="98"/>
      <c r="AH60" s="98"/>
      <c r="AI60" s="98"/>
      <c r="AJ60" s="99"/>
      <c r="AK60" s="5"/>
      <c r="AL60" s="5"/>
      <c r="AM60" s="5"/>
      <c r="AN60" s="5"/>
      <c r="AO60" s="5"/>
    </row>
    <row r="61" spans="1:41" ht="13">
      <c r="A61" s="3">
        <v>1823</v>
      </c>
      <c r="F61" s="5"/>
      <c r="G61" s="45"/>
      <c r="J61" s="29"/>
      <c r="K61" s="29"/>
      <c r="L61" s="29"/>
      <c r="N61" s="5"/>
      <c r="O61" s="29">
        <v>1823</v>
      </c>
      <c r="P61" s="29">
        <v>71.709999999999994</v>
      </c>
      <c r="Q61" s="30">
        <v>1556.73</v>
      </c>
      <c r="R61" s="45"/>
      <c r="U61" s="70"/>
      <c r="V61" s="5"/>
      <c r="W61" s="29"/>
      <c r="X61" s="29"/>
      <c r="Y61" s="29"/>
      <c r="Z61" s="29"/>
      <c r="AA61" s="5"/>
      <c r="AB61" s="54">
        <v>1823</v>
      </c>
      <c r="AC61" s="27">
        <v>0.05</v>
      </c>
      <c r="AD61" s="27">
        <v>10.15</v>
      </c>
      <c r="AE61" s="98">
        <f t="shared" si="4"/>
        <v>35.096818810511756</v>
      </c>
      <c r="AF61" s="98">
        <f t="shared" si="5"/>
        <v>0.14246305418719213</v>
      </c>
      <c r="AG61" s="98"/>
      <c r="AH61" s="98"/>
      <c r="AI61" s="98"/>
      <c r="AJ61" s="99"/>
      <c r="AK61" s="5"/>
      <c r="AL61" s="5"/>
      <c r="AM61" s="5"/>
      <c r="AN61" s="5"/>
      <c r="AO61" s="5"/>
    </row>
    <row r="62" spans="1:41" ht="13">
      <c r="A62" s="3">
        <v>1824</v>
      </c>
      <c r="F62" s="5"/>
      <c r="G62" s="45"/>
      <c r="J62" s="29"/>
      <c r="K62" s="29"/>
      <c r="L62" s="29"/>
      <c r="N62" s="5"/>
      <c r="O62" s="29">
        <v>1824</v>
      </c>
      <c r="P62" s="29">
        <v>69.17</v>
      </c>
      <c r="Q62" s="30">
        <v>1602.14</v>
      </c>
      <c r="R62" s="45"/>
      <c r="U62" s="70"/>
      <c r="V62" s="5"/>
      <c r="W62" s="29"/>
      <c r="X62" s="29"/>
      <c r="Y62" s="29"/>
      <c r="Z62" s="29"/>
      <c r="AA62" s="5"/>
      <c r="AB62" s="54">
        <v>1824</v>
      </c>
      <c r="AC62" s="27">
        <v>0.05</v>
      </c>
      <c r="AD62" s="27">
        <v>9.35</v>
      </c>
      <c r="AE62" s="98">
        <f t="shared" si="4"/>
        <v>32.330567081604421</v>
      </c>
      <c r="AF62" s="98">
        <f t="shared" si="5"/>
        <v>0.15465240641711231</v>
      </c>
      <c r="AG62" s="98"/>
      <c r="AH62" s="98"/>
      <c r="AI62" s="98"/>
      <c r="AJ62" s="99"/>
      <c r="AK62" s="5"/>
      <c r="AL62" s="5"/>
      <c r="AM62" s="5"/>
      <c r="AN62" s="5"/>
      <c r="AO62" s="5"/>
    </row>
    <row r="63" spans="1:41" ht="13">
      <c r="A63" s="3">
        <v>1825</v>
      </c>
      <c r="F63" s="5"/>
      <c r="G63" s="45"/>
      <c r="J63" s="29"/>
      <c r="K63" s="29"/>
      <c r="L63" s="29"/>
      <c r="N63" s="5"/>
      <c r="O63" s="29">
        <v>1825</v>
      </c>
      <c r="P63" s="29">
        <v>73.27</v>
      </c>
      <c r="Q63" s="30">
        <v>1625.62</v>
      </c>
      <c r="R63" s="45"/>
      <c r="U63" s="70"/>
      <c r="V63" s="5"/>
      <c r="W63" s="29"/>
      <c r="X63" s="29"/>
      <c r="Y63" s="29"/>
      <c r="Z63" s="29"/>
      <c r="AA63" s="5"/>
      <c r="AB63" s="54">
        <v>1825</v>
      </c>
      <c r="AC63" s="27">
        <v>0.05</v>
      </c>
      <c r="AD63" s="27">
        <v>9.59</v>
      </c>
      <c r="AE63" s="98">
        <f t="shared" si="4"/>
        <v>33.160442600276625</v>
      </c>
      <c r="AF63" s="98">
        <f t="shared" si="5"/>
        <v>0.15078206465067778</v>
      </c>
      <c r="AG63" s="98"/>
      <c r="AH63" s="98"/>
      <c r="AI63" s="98"/>
      <c r="AJ63" s="99"/>
      <c r="AK63" s="5"/>
      <c r="AL63" s="5"/>
      <c r="AM63" s="5"/>
      <c r="AN63" s="5"/>
      <c r="AO63" s="5"/>
    </row>
    <row r="64" spans="1:41" ht="13">
      <c r="A64" s="3">
        <v>1826</v>
      </c>
      <c r="F64" s="5"/>
      <c r="G64" s="45"/>
      <c r="J64" s="29"/>
      <c r="K64" s="29"/>
      <c r="L64" s="29"/>
      <c r="N64" s="5"/>
      <c r="O64" s="29">
        <v>1826</v>
      </c>
      <c r="P64" s="29">
        <v>74.930000000000007</v>
      </c>
      <c r="Q64" s="30">
        <v>1634.32</v>
      </c>
      <c r="R64" s="45"/>
      <c r="U64" s="70"/>
      <c r="V64" s="5"/>
      <c r="W64" s="29"/>
      <c r="X64" s="29"/>
      <c r="Y64" s="29"/>
      <c r="Z64" s="29"/>
      <c r="AA64" s="5"/>
      <c r="AB64" s="54">
        <v>1826</v>
      </c>
      <c r="AC64" s="27">
        <v>0.05</v>
      </c>
      <c r="AD64" s="27">
        <v>9.59</v>
      </c>
      <c r="AE64" s="98">
        <f t="shared" si="4"/>
        <v>33.160442600276625</v>
      </c>
      <c r="AF64" s="98">
        <f t="shared" si="5"/>
        <v>0.15078206465067778</v>
      </c>
      <c r="AG64" s="98"/>
      <c r="AH64" s="98"/>
      <c r="AI64" s="98"/>
      <c r="AJ64" s="99"/>
      <c r="AK64" s="5"/>
      <c r="AL64" s="5"/>
      <c r="AM64" s="5"/>
      <c r="AN64" s="5"/>
      <c r="AO64" s="5"/>
    </row>
    <row r="65" spans="1:41" ht="13">
      <c r="A65" s="3">
        <v>1827</v>
      </c>
      <c r="F65" s="5"/>
      <c r="G65" s="45"/>
      <c r="J65" s="29"/>
      <c r="K65" s="29"/>
      <c r="L65" s="29"/>
      <c r="N65" s="5"/>
      <c r="O65" s="29">
        <v>1827</v>
      </c>
      <c r="P65" s="29">
        <v>76.900000000000006</v>
      </c>
      <c r="Q65" s="30">
        <v>1635.3</v>
      </c>
      <c r="R65" s="45"/>
      <c r="U65" s="70"/>
      <c r="V65" s="5"/>
      <c r="W65" s="29"/>
      <c r="X65" s="29"/>
      <c r="Y65" s="29"/>
      <c r="Z65" s="29"/>
      <c r="AA65" s="5"/>
      <c r="AB65" s="54">
        <v>1827</v>
      </c>
      <c r="AC65" s="27">
        <v>0.05</v>
      </c>
      <c r="AD65" s="27">
        <v>9.67</v>
      </c>
      <c r="AE65" s="98">
        <f t="shared" si="4"/>
        <v>33.437067773167357</v>
      </c>
      <c r="AF65" s="98">
        <f t="shared" si="5"/>
        <v>0.14953464322647364</v>
      </c>
      <c r="AG65" s="98"/>
      <c r="AH65" s="98"/>
      <c r="AI65" s="98"/>
      <c r="AJ65" s="99"/>
      <c r="AK65" s="5"/>
      <c r="AL65" s="5"/>
      <c r="AM65" s="5"/>
      <c r="AN65" s="5"/>
      <c r="AO65" s="5"/>
    </row>
    <row r="66" spans="1:41" ht="13">
      <c r="A66" s="3">
        <v>1828</v>
      </c>
      <c r="F66" s="5"/>
      <c r="G66" s="45"/>
      <c r="J66" s="29"/>
      <c r="K66" s="29"/>
      <c r="L66" s="29"/>
      <c r="N66" s="5"/>
      <c r="O66" s="29">
        <v>1828</v>
      </c>
      <c r="P66" s="29">
        <v>73.05</v>
      </c>
      <c r="Q66" s="30">
        <v>1608.2</v>
      </c>
      <c r="R66" s="45"/>
      <c r="U66" s="70"/>
      <c r="V66" s="5"/>
      <c r="W66" s="29"/>
      <c r="X66" s="29"/>
      <c r="Y66" s="29"/>
      <c r="Z66" s="29"/>
      <c r="AA66" s="5"/>
      <c r="AB66" s="54">
        <v>1828</v>
      </c>
      <c r="AC66" s="27">
        <v>0.05</v>
      </c>
      <c r="AD66" s="27">
        <v>9.19</v>
      </c>
      <c r="AE66" s="98">
        <f t="shared" si="4"/>
        <v>31.777316735822957</v>
      </c>
      <c r="AF66" s="98">
        <f t="shared" si="5"/>
        <v>0.15734494015233952</v>
      </c>
      <c r="AG66" s="98"/>
      <c r="AH66" s="98"/>
      <c r="AI66" s="98"/>
      <c r="AJ66" s="99"/>
      <c r="AK66" s="5"/>
      <c r="AL66" s="5"/>
      <c r="AM66" s="5"/>
      <c r="AN66" s="5"/>
      <c r="AO66" s="5"/>
    </row>
    <row r="67" spans="1:41" ht="13">
      <c r="A67" s="3">
        <v>1829</v>
      </c>
      <c r="F67" s="5"/>
      <c r="G67" s="45"/>
      <c r="J67" s="29"/>
      <c r="K67" s="29"/>
      <c r="L67" s="29"/>
      <c r="N67" s="5"/>
      <c r="O67" s="29">
        <v>1829</v>
      </c>
      <c r="P67" s="29">
        <v>73.510000000000005</v>
      </c>
      <c r="Q67" s="30">
        <v>1620.43</v>
      </c>
      <c r="R67" s="45"/>
      <c r="U67" s="70"/>
      <c r="V67" s="5"/>
      <c r="W67" s="29"/>
      <c r="X67" s="29"/>
      <c r="Y67" s="29"/>
      <c r="Z67" s="29"/>
      <c r="AA67" s="5"/>
      <c r="AB67" s="54">
        <v>1829</v>
      </c>
      <c r="AC67" s="27">
        <v>0.06</v>
      </c>
      <c r="AD67" s="27">
        <v>9.02</v>
      </c>
      <c r="AE67" s="98">
        <f t="shared" si="4"/>
        <v>31.189488243430151</v>
      </c>
      <c r="AF67" s="98">
        <f t="shared" si="5"/>
        <v>0.19237250554323726</v>
      </c>
      <c r="AG67" s="98"/>
      <c r="AH67" s="98"/>
      <c r="AI67" s="98"/>
      <c r="AJ67" s="99"/>
      <c r="AK67" s="5"/>
      <c r="AL67" s="5"/>
      <c r="AM67" s="5"/>
      <c r="AN67" s="5"/>
      <c r="AO67" s="5"/>
    </row>
    <row r="68" spans="1:41" ht="13">
      <c r="A68" s="3">
        <v>1830</v>
      </c>
      <c r="F68" s="5"/>
      <c r="G68" s="45"/>
      <c r="J68" s="29"/>
      <c r="K68" s="29"/>
      <c r="L68" s="29"/>
      <c r="N68" s="5"/>
      <c r="O68" s="29">
        <v>1830</v>
      </c>
      <c r="P68" s="29">
        <v>78.430000000000007</v>
      </c>
      <c r="Q68" s="30">
        <v>1717.85</v>
      </c>
      <c r="R68" s="45"/>
      <c r="U68" s="70"/>
      <c r="V68" s="5"/>
      <c r="W68" s="29"/>
      <c r="X68" s="29"/>
      <c r="Y68" s="29"/>
      <c r="Z68" s="29"/>
      <c r="AA68" s="5"/>
      <c r="AB68" s="54">
        <v>1830</v>
      </c>
      <c r="AC68" s="27">
        <v>0.06</v>
      </c>
      <c r="AD68" s="27">
        <v>8.94</v>
      </c>
      <c r="AE68" s="98">
        <f t="shared" si="4"/>
        <v>30.912863070539416</v>
      </c>
      <c r="AF68" s="98">
        <f t="shared" si="5"/>
        <v>0.19409395973154364</v>
      </c>
      <c r="AG68" s="98"/>
      <c r="AH68" s="98"/>
      <c r="AI68" s="98"/>
      <c r="AJ68" s="99"/>
      <c r="AK68" s="5"/>
      <c r="AL68" s="5"/>
      <c r="AM68" s="5"/>
      <c r="AN68" s="5"/>
      <c r="AO68" s="5"/>
    </row>
    <row r="69" spans="1:41" ht="13">
      <c r="A69" s="3">
        <v>1831</v>
      </c>
      <c r="F69" s="5"/>
      <c r="G69" s="45"/>
      <c r="J69" s="29"/>
      <c r="K69" s="29"/>
      <c r="L69" s="29"/>
      <c r="N69" s="5"/>
      <c r="O69" s="29">
        <v>1831</v>
      </c>
      <c r="P69" s="29">
        <v>78.489999999999995</v>
      </c>
      <c r="Q69" s="30">
        <v>1807.01</v>
      </c>
      <c r="R69" s="45"/>
      <c r="U69" s="70"/>
      <c r="V69" s="5"/>
      <c r="W69" s="29"/>
      <c r="X69" s="29"/>
      <c r="Y69" s="29"/>
      <c r="Z69" s="29"/>
      <c r="AA69" s="5"/>
      <c r="AB69" s="54">
        <v>1831</v>
      </c>
      <c r="AC69" s="27">
        <v>0.06</v>
      </c>
      <c r="AD69" s="27">
        <v>8.3800000000000008</v>
      </c>
      <c r="AE69" s="98">
        <f t="shared" si="4"/>
        <v>28.976486860304291</v>
      </c>
      <c r="AF69" s="98">
        <f t="shared" si="5"/>
        <v>0.20706443914081143</v>
      </c>
      <c r="AG69" s="98"/>
      <c r="AH69" s="98"/>
      <c r="AI69" s="98"/>
      <c r="AJ69" s="99"/>
      <c r="AK69" s="5"/>
      <c r="AL69" s="5"/>
      <c r="AM69" s="5"/>
      <c r="AN69" s="5"/>
      <c r="AO69" s="5"/>
    </row>
    <row r="70" spans="1:41" ht="13">
      <c r="A70" s="3">
        <v>1832</v>
      </c>
      <c r="F70" s="5"/>
      <c r="G70" s="45"/>
      <c r="H70" s="3">
        <v>70</v>
      </c>
      <c r="I70" s="31">
        <f t="shared" ref="I70:I133" si="6">H70*100/$H$139</f>
        <v>0.46666666666666667</v>
      </c>
      <c r="J70" s="29"/>
      <c r="K70" s="29"/>
      <c r="L70" s="32">
        <f>I70</f>
        <v>0.46666666666666667</v>
      </c>
      <c r="M70" s="31">
        <v>8.0574156107276529E-2</v>
      </c>
      <c r="N70" s="5"/>
      <c r="O70" s="29">
        <v>1832</v>
      </c>
      <c r="P70" s="29">
        <v>81.790000000000006</v>
      </c>
      <c r="Q70" s="30">
        <v>1872.85</v>
      </c>
      <c r="R70" s="45"/>
      <c r="U70" s="70"/>
      <c r="V70" s="5"/>
      <c r="W70" s="29"/>
      <c r="X70" s="29"/>
      <c r="Y70" s="29"/>
      <c r="Z70" s="29"/>
      <c r="AA70" s="5"/>
      <c r="AB70" s="54">
        <v>1832</v>
      </c>
      <c r="AC70" s="27">
        <v>0.05</v>
      </c>
      <c r="AD70" s="27">
        <v>8.3000000000000007</v>
      </c>
      <c r="AE70" s="98">
        <f t="shared" si="4"/>
        <v>28.699861687413556</v>
      </c>
      <c r="AF70" s="98">
        <f t="shared" si="5"/>
        <v>0.17421686746987952</v>
      </c>
      <c r="AG70" s="98"/>
      <c r="AH70" s="98"/>
      <c r="AI70" s="98"/>
      <c r="AJ70" s="99"/>
      <c r="AK70" s="5"/>
      <c r="AL70" s="5"/>
      <c r="AM70" s="5"/>
      <c r="AN70" s="5"/>
      <c r="AO70" s="5"/>
    </row>
    <row r="71" spans="1:41" ht="13">
      <c r="A71" s="3">
        <v>1833</v>
      </c>
      <c r="F71" s="5"/>
      <c r="G71" s="45"/>
      <c r="H71" s="3">
        <v>43</v>
      </c>
      <c r="I71" s="31">
        <f t="shared" si="6"/>
        <v>0.28666666666666668</v>
      </c>
      <c r="J71" s="29"/>
      <c r="K71" s="29"/>
      <c r="L71" s="32">
        <f t="shared" ref="L71:L134" si="7">I71</f>
        <v>0.28666666666666668</v>
      </c>
      <c r="M71" s="31">
        <v>4.9495553037327014E-2</v>
      </c>
      <c r="N71" s="5"/>
      <c r="O71" s="29">
        <v>1833</v>
      </c>
      <c r="P71" s="29">
        <v>81.459999999999994</v>
      </c>
      <c r="Q71" s="30">
        <v>1874.33</v>
      </c>
      <c r="R71" s="45"/>
      <c r="U71" s="70"/>
      <c r="V71" s="5"/>
      <c r="W71" s="29"/>
      <c r="X71" s="29"/>
      <c r="Y71" s="29"/>
      <c r="Z71" s="29"/>
      <c r="AA71" s="5"/>
      <c r="AB71" s="54">
        <v>1833</v>
      </c>
      <c r="AC71" s="27">
        <v>0.06</v>
      </c>
      <c r="AD71" s="27">
        <v>8.14</v>
      </c>
      <c r="AE71" s="98">
        <f t="shared" si="4"/>
        <v>28.146611341632088</v>
      </c>
      <c r="AF71" s="98">
        <f t="shared" si="5"/>
        <v>0.21316953316953316</v>
      </c>
      <c r="AG71" s="98"/>
      <c r="AH71" s="98"/>
      <c r="AI71" s="98"/>
      <c r="AJ71" s="99"/>
      <c r="AK71" s="5"/>
      <c r="AL71" s="5"/>
      <c r="AM71" s="5"/>
      <c r="AN71" s="5"/>
      <c r="AO71" s="5"/>
    </row>
    <row r="72" spans="1:41" ht="13">
      <c r="A72" s="3">
        <v>1834</v>
      </c>
      <c r="F72" s="5"/>
      <c r="G72" s="45"/>
      <c r="H72" s="3">
        <v>77</v>
      </c>
      <c r="I72" s="31">
        <f t="shared" si="6"/>
        <v>0.51333333333333331</v>
      </c>
      <c r="J72" s="29"/>
      <c r="K72" s="29"/>
      <c r="L72" s="32">
        <f t="shared" si="7"/>
        <v>0.51333333333333331</v>
      </c>
      <c r="M72" s="31">
        <v>8.8631571718004176E-2</v>
      </c>
      <c r="N72" s="5"/>
      <c r="O72" s="29">
        <v>1834</v>
      </c>
      <c r="P72" s="29">
        <v>83.24</v>
      </c>
      <c r="Q72" s="30">
        <v>1850.94</v>
      </c>
      <c r="R72" s="45"/>
      <c r="U72" s="70"/>
      <c r="V72" s="5"/>
      <c r="W72" s="29"/>
      <c r="X72" s="29"/>
      <c r="Y72" s="29"/>
      <c r="Z72" s="29"/>
      <c r="AA72" s="5"/>
      <c r="AB72" s="54">
        <v>1834</v>
      </c>
      <c r="AC72" s="27">
        <v>0.05</v>
      </c>
      <c r="AD72" s="27">
        <v>8.3000000000000007</v>
      </c>
      <c r="AE72" s="98">
        <f t="shared" si="4"/>
        <v>28.699861687413556</v>
      </c>
      <c r="AF72" s="98">
        <f t="shared" si="5"/>
        <v>0.17421686746987952</v>
      </c>
      <c r="AG72" s="98"/>
      <c r="AH72" s="98"/>
      <c r="AI72" s="98"/>
      <c r="AJ72" s="99"/>
      <c r="AK72" s="5"/>
      <c r="AL72" s="5"/>
      <c r="AM72" s="5"/>
      <c r="AN72" s="5"/>
      <c r="AO72" s="5"/>
    </row>
    <row r="73" spans="1:41" ht="13">
      <c r="A73" s="3">
        <v>1835</v>
      </c>
      <c r="F73" s="5"/>
      <c r="G73" s="45"/>
      <c r="H73" s="3">
        <v>51</v>
      </c>
      <c r="I73" s="31">
        <f t="shared" si="6"/>
        <v>0.34</v>
      </c>
      <c r="J73" s="29"/>
      <c r="K73" s="29"/>
      <c r="L73" s="32">
        <f t="shared" si="7"/>
        <v>0.34</v>
      </c>
      <c r="M73" s="31">
        <v>5.8704028021015757E-2</v>
      </c>
      <c r="N73" s="5"/>
      <c r="O73" s="29">
        <v>1835</v>
      </c>
      <c r="P73" s="29">
        <v>88.98</v>
      </c>
      <c r="Q73" s="30">
        <v>1895.18</v>
      </c>
      <c r="R73" s="45"/>
      <c r="U73" s="70"/>
      <c r="V73" s="5"/>
      <c r="W73" s="29"/>
      <c r="X73" s="29"/>
      <c r="Y73" s="29"/>
      <c r="Z73" s="29"/>
      <c r="AA73" s="5"/>
      <c r="AB73" s="54">
        <v>1835</v>
      </c>
      <c r="AC73" s="27">
        <v>0.05</v>
      </c>
      <c r="AD73" s="27">
        <v>8.5399999999999991</v>
      </c>
      <c r="AE73" s="98">
        <f t="shared" si="4"/>
        <v>29.529737206085748</v>
      </c>
      <c r="AF73" s="98">
        <f t="shared" si="5"/>
        <v>0.16932084309133494</v>
      </c>
      <c r="AG73" s="98"/>
      <c r="AH73" s="98"/>
      <c r="AI73" s="98"/>
      <c r="AJ73" s="99"/>
      <c r="AK73" s="5"/>
      <c r="AL73" s="5"/>
      <c r="AM73" s="5"/>
      <c r="AN73" s="5"/>
      <c r="AO73" s="5"/>
    </row>
    <row r="74" spans="1:41" ht="13">
      <c r="A74" s="3">
        <v>1836</v>
      </c>
      <c r="F74" s="5"/>
      <c r="G74" s="45"/>
      <c r="H74" s="3">
        <v>107</v>
      </c>
      <c r="I74" s="31">
        <f t="shared" si="6"/>
        <v>0.71333333333333337</v>
      </c>
      <c r="J74" s="29"/>
      <c r="K74" s="29"/>
      <c r="L74" s="32">
        <f t="shared" si="7"/>
        <v>0.71333333333333337</v>
      </c>
      <c r="M74" s="31">
        <v>0.123163352906837</v>
      </c>
      <c r="N74" s="5"/>
      <c r="O74" s="29">
        <v>1836</v>
      </c>
      <c r="P74" s="29">
        <v>95.47</v>
      </c>
      <c r="Q74" s="30">
        <v>1897.46</v>
      </c>
      <c r="R74" s="45"/>
      <c r="U74" s="70"/>
      <c r="V74" s="5"/>
      <c r="W74" s="29"/>
      <c r="X74" s="29"/>
      <c r="Y74" s="29"/>
      <c r="Z74" s="29"/>
      <c r="AA74" s="5"/>
      <c r="AB74" s="54">
        <v>1836</v>
      </c>
      <c r="AC74" s="27">
        <v>0.05</v>
      </c>
      <c r="AD74" s="27">
        <v>9.02</v>
      </c>
      <c r="AE74" s="98">
        <f t="shared" si="4"/>
        <v>31.189488243430151</v>
      </c>
      <c r="AF74" s="98">
        <f t="shared" si="5"/>
        <v>0.16031042128603104</v>
      </c>
      <c r="AG74" s="98"/>
      <c r="AH74" s="98"/>
      <c r="AI74" s="98"/>
      <c r="AJ74" s="99"/>
      <c r="AK74" s="5"/>
      <c r="AL74" s="5"/>
      <c r="AM74" s="5"/>
      <c r="AN74" s="5"/>
      <c r="AO74" s="5"/>
    </row>
    <row r="75" spans="1:41" ht="13">
      <c r="A75" s="3">
        <v>1837</v>
      </c>
      <c r="F75" s="5"/>
      <c r="G75" s="45"/>
      <c r="H75" s="3">
        <v>132</v>
      </c>
      <c r="I75" s="31">
        <f t="shared" si="6"/>
        <v>0.88</v>
      </c>
      <c r="J75" s="29"/>
      <c r="K75" s="29"/>
      <c r="L75" s="32">
        <f t="shared" si="7"/>
        <v>0.88</v>
      </c>
      <c r="M75" s="31">
        <v>0.15193983723086432</v>
      </c>
      <c r="N75" s="5"/>
      <c r="O75" s="29">
        <v>1837</v>
      </c>
      <c r="P75" s="29">
        <v>97.46</v>
      </c>
      <c r="Q75" s="30">
        <v>1860.29</v>
      </c>
      <c r="R75" s="45"/>
      <c r="U75" s="70"/>
      <c r="V75" s="5"/>
      <c r="W75" s="29"/>
      <c r="X75" s="29"/>
      <c r="Y75" s="29"/>
      <c r="Z75" s="29"/>
      <c r="AA75" s="5"/>
      <c r="AB75" s="54">
        <v>1837</v>
      </c>
      <c r="AC75" s="27">
        <v>0.06</v>
      </c>
      <c r="AD75" s="27">
        <v>9.27</v>
      </c>
      <c r="AE75" s="98">
        <f t="shared" si="4"/>
        <v>32.053941908713689</v>
      </c>
      <c r="AF75" s="98">
        <f t="shared" si="5"/>
        <v>0.18718446601941749</v>
      </c>
      <c r="AG75" s="98"/>
      <c r="AH75" s="98"/>
      <c r="AI75" s="98"/>
      <c r="AJ75" s="99"/>
      <c r="AK75" s="5"/>
      <c r="AL75" s="5"/>
      <c r="AM75" s="5"/>
      <c r="AN75" s="5"/>
      <c r="AO75" s="5"/>
    </row>
    <row r="76" spans="1:41" ht="13">
      <c r="A76" s="3">
        <v>1838</v>
      </c>
      <c r="F76" s="5"/>
      <c r="G76" s="45"/>
      <c r="H76" s="3">
        <v>196</v>
      </c>
      <c r="I76" s="31">
        <f t="shared" si="6"/>
        <v>1.3066666666666666</v>
      </c>
      <c r="J76" s="29"/>
      <c r="K76" s="29"/>
      <c r="L76" s="32">
        <f t="shared" si="7"/>
        <v>1.3066666666666666</v>
      </c>
      <c r="M76" s="31">
        <v>0.22560763710037426</v>
      </c>
      <c r="N76" s="5"/>
      <c r="O76" s="29">
        <v>1838</v>
      </c>
      <c r="P76" s="29">
        <v>97.53</v>
      </c>
      <c r="Q76" s="30">
        <v>1885.41</v>
      </c>
      <c r="R76" s="45"/>
      <c r="U76" s="70"/>
      <c r="V76" s="5"/>
      <c r="W76" s="29"/>
      <c r="X76" s="29"/>
      <c r="Y76" s="29"/>
      <c r="Z76" s="29"/>
      <c r="AA76" s="5"/>
      <c r="AB76" s="54">
        <v>1838</v>
      </c>
      <c r="AC76" s="27">
        <v>0.06</v>
      </c>
      <c r="AD76" s="27">
        <v>9.02</v>
      </c>
      <c r="AE76" s="98">
        <f t="shared" si="4"/>
        <v>31.189488243430151</v>
      </c>
      <c r="AF76" s="98">
        <f t="shared" si="5"/>
        <v>0.19237250554323726</v>
      </c>
      <c r="AG76" s="98"/>
      <c r="AH76" s="98"/>
      <c r="AI76" s="98"/>
      <c r="AJ76" s="99"/>
      <c r="AK76" s="5"/>
      <c r="AL76" s="5"/>
      <c r="AM76" s="5"/>
      <c r="AN76" s="5"/>
      <c r="AO76" s="5"/>
    </row>
    <row r="77" spans="1:41" ht="13">
      <c r="A77" s="3">
        <v>1839</v>
      </c>
      <c r="F77" s="5"/>
      <c r="G77" s="45"/>
      <c r="H77" s="3">
        <v>160</v>
      </c>
      <c r="I77" s="31">
        <f t="shared" si="6"/>
        <v>1.0666666666666667</v>
      </c>
      <c r="J77" s="29"/>
      <c r="K77" s="29"/>
      <c r="L77" s="32">
        <f t="shared" si="7"/>
        <v>1.0666666666666667</v>
      </c>
      <c r="M77" s="31">
        <v>0.18416949967377494</v>
      </c>
      <c r="N77" s="5"/>
      <c r="O77" s="29">
        <v>1839</v>
      </c>
      <c r="P77" s="29">
        <v>98.78</v>
      </c>
      <c r="Q77" s="30">
        <v>1883.69</v>
      </c>
      <c r="R77" s="45"/>
      <c r="U77" s="70"/>
      <c r="V77" s="5"/>
      <c r="W77" s="29"/>
      <c r="X77" s="29"/>
      <c r="Y77" s="29"/>
      <c r="Z77" s="29"/>
      <c r="AA77" s="5"/>
      <c r="AB77" s="54">
        <v>1839</v>
      </c>
      <c r="AC77" s="27">
        <v>0.06</v>
      </c>
      <c r="AD77" s="27">
        <v>9.02</v>
      </c>
      <c r="AE77" s="98">
        <f t="shared" si="4"/>
        <v>31.189488243430151</v>
      </c>
      <c r="AF77" s="98">
        <f t="shared" si="5"/>
        <v>0.19237250554323726</v>
      </c>
      <c r="AG77" s="98"/>
      <c r="AH77" s="98"/>
      <c r="AI77" s="98"/>
      <c r="AJ77" s="99"/>
      <c r="AK77" s="5"/>
      <c r="AL77" s="5"/>
      <c r="AM77" s="5"/>
      <c r="AN77" s="5"/>
      <c r="AO77" s="5"/>
    </row>
    <row r="78" spans="1:41" ht="13">
      <c r="A78" s="3">
        <v>1840</v>
      </c>
      <c r="F78" s="5"/>
      <c r="G78" s="45"/>
      <c r="H78" s="3">
        <v>197</v>
      </c>
      <c r="I78" s="31">
        <f t="shared" si="6"/>
        <v>1.3133333333333332</v>
      </c>
      <c r="J78" s="29"/>
      <c r="K78" s="29"/>
      <c r="L78" s="32">
        <f t="shared" si="7"/>
        <v>1.3133333333333332</v>
      </c>
      <c r="M78" s="31">
        <v>0.22675869647333535</v>
      </c>
      <c r="N78" s="5"/>
      <c r="O78" s="29">
        <v>1840</v>
      </c>
      <c r="P78" s="29">
        <v>91.03</v>
      </c>
      <c r="Q78" s="30">
        <v>1837.66</v>
      </c>
      <c r="R78" s="45"/>
      <c r="U78" s="70"/>
      <c r="V78" s="5"/>
      <c r="W78" s="29"/>
      <c r="X78" s="29"/>
      <c r="Y78" s="29"/>
      <c r="Z78" s="29"/>
      <c r="AA78" s="5"/>
      <c r="AB78" s="54">
        <v>1840</v>
      </c>
      <c r="AC78" s="27">
        <v>0.06</v>
      </c>
      <c r="AD78" s="27">
        <v>8.3800000000000008</v>
      </c>
      <c r="AE78" s="98">
        <f t="shared" si="4"/>
        <v>28.976486860304291</v>
      </c>
      <c r="AF78" s="98">
        <f t="shared" si="5"/>
        <v>0.20706443914081143</v>
      </c>
      <c r="AG78" s="98"/>
      <c r="AH78" s="98"/>
      <c r="AI78" s="98"/>
      <c r="AJ78" s="99"/>
      <c r="AK78" s="5"/>
      <c r="AL78" s="5"/>
      <c r="AM78" s="5"/>
      <c r="AN78" s="5"/>
      <c r="AO78" s="5"/>
    </row>
    <row r="79" spans="1:41" ht="13">
      <c r="A79" s="3">
        <v>1841</v>
      </c>
      <c r="F79" s="5"/>
      <c r="G79" s="45"/>
      <c r="H79" s="3">
        <v>254</v>
      </c>
      <c r="I79" s="31">
        <f t="shared" si="6"/>
        <v>1.6933333333333334</v>
      </c>
      <c r="J79" s="29"/>
      <c r="K79" s="29"/>
      <c r="L79" s="32">
        <f t="shared" si="7"/>
        <v>1.6933333333333334</v>
      </c>
      <c r="M79" s="31">
        <v>0.2923690807321177</v>
      </c>
      <c r="N79" s="5"/>
      <c r="O79" s="29">
        <v>1841</v>
      </c>
      <c r="P79" s="29">
        <v>92.9</v>
      </c>
      <c r="Q79" s="30">
        <v>1826.35</v>
      </c>
      <c r="R79" s="45"/>
      <c r="U79" s="70"/>
      <c r="V79" s="5"/>
      <c r="W79" s="29"/>
      <c r="X79" s="29"/>
      <c r="Y79" s="29"/>
      <c r="Z79" s="29"/>
      <c r="AA79" s="5"/>
      <c r="AB79" s="54">
        <v>1841</v>
      </c>
      <c r="AC79" s="27">
        <v>0.06</v>
      </c>
      <c r="AD79" s="27">
        <v>8.4600000000000009</v>
      </c>
      <c r="AE79" s="98">
        <f t="shared" si="4"/>
        <v>29.253112033195023</v>
      </c>
      <c r="AF79" s="98">
        <f t="shared" si="5"/>
        <v>0.20510638297872338</v>
      </c>
      <c r="AG79" s="98"/>
      <c r="AH79" s="98"/>
      <c r="AI79" s="98"/>
      <c r="AJ79" s="99"/>
      <c r="AK79" s="5"/>
      <c r="AL79" s="5"/>
      <c r="AM79" s="5"/>
      <c r="AN79" s="5"/>
      <c r="AO79" s="5"/>
    </row>
    <row r="80" spans="1:41" ht="13">
      <c r="A80" s="3">
        <v>1842</v>
      </c>
      <c r="F80" s="5"/>
      <c r="G80" s="45"/>
      <c r="H80" s="3">
        <v>203</v>
      </c>
      <c r="I80" s="31">
        <f t="shared" si="6"/>
        <v>1.3533333333333333</v>
      </c>
      <c r="J80" s="29"/>
      <c r="K80" s="29"/>
      <c r="L80" s="32">
        <f t="shared" si="7"/>
        <v>1.3533333333333333</v>
      </c>
      <c r="M80" s="31">
        <v>0.23366505271110191</v>
      </c>
      <c r="N80" s="5"/>
      <c r="O80" s="29">
        <v>1842</v>
      </c>
      <c r="P80" s="29">
        <v>88.41</v>
      </c>
      <c r="Q80" s="30">
        <v>1831.47</v>
      </c>
      <c r="R80" s="45"/>
      <c r="U80" s="70"/>
      <c r="V80" s="5"/>
      <c r="W80" s="29"/>
      <c r="X80" s="29"/>
      <c r="Y80" s="29"/>
      <c r="Z80" s="29"/>
      <c r="AA80" s="5"/>
      <c r="AB80" s="54">
        <v>1842</v>
      </c>
      <c r="AC80" s="27">
        <v>0.06</v>
      </c>
      <c r="AD80" s="27">
        <v>7.9</v>
      </c>
      <c r="AE80" s="98">
        <f t="shared" si="4"/>
        <v>27.316735822959888</v>
      </c>
      <c r="AF80" s="98">
        <f t="shared" si="5"/>
        <v>0.21964556962025317</v>
      </c>
      <c r="AG80" s="98"/>
      <c r="AH80" s="98"/>
      <c r="AI80" s="98"/>
      <c r="AJ80" s="99"/>
      <c r="AK80" s="5"/>
      <c r="AL80" s="5"/>
      <c r="AM80" s="5"/>
      <c r="AN80" s="5"/>
      <c r="AO80" s="5"/>
    </row>
    <row r="81" spans="1:41" ht="13">
      <c r="A81" s="3">
        <v>1843</v>
      </c>
      <c r="F81" s="5"/>
      <c r="G81" s="45"/>
      <c r="H81" s="3">
        <v>115</v>
      </c>
      <c r="I81" s="31">
        <f t="shared" si="6"/>
        <v>0.76666666666666672</v>
      </c>
      <c r="J81" s="29"/>
      <c r="K81" s="29"/>
      <c r="L81" s="32">
        <f t="shared" si="7"/>
        <v>0.76666666666666672</v>
      </c>
      <c r="M81" s="31">
        <v>0.13237182789052573</v>
      </c>
      <c r="N81" s="5"/>
      <c r="O81" s="29">
        <v>1843</v>
      </c>
      <c r="P81" s="29">
        <v>83.29</v>
      </c>
      <c r="Q81" s="30">
        <v>1868.92</v>
      </c>
      <c r="R81" s="45"/>
      <c r="U81" s="70"/>
      <c r="V81" s="5"/>
      <c r="W81" s="29"/>
      <c r="X81" s="29"/>
      <c r="Y81" s="29"/>
      <c r="Z81" s="29"/>
      <c r="AA81" s="5"/>
      <c r="AB81" s="54">
        <v>1843</v>
      </c>
      <c r="AC81" s="27">
        <v>0.06</v>
      </c>
      <c r="AD81" s="27">
        <v>7.17</v>
      </c>
      <c r="AE81" s="98">
        <f t="shared" si="4"/>
        <v>24.792531120331947</v>
      </c>
      <c r="AF81" s="98">
        <f t="shared" si="5"/>
        <v>0.24200836820083685</v>
      </c>
      <c r="AG81" s="98"/>
      <c r="AH81" s="98"/>
      <c r="AI81" s="98"/>
      <c r="AJ81" s="99"/>
      <c r="AK81" s="5"/>
      <c r="AL81" s="5"/>
      <c r="AM81" s="5"/>
      <c r="AN81" s="5"/>
      <c r="AO81" s="5"/>
    </row>
    <row r="82" spans="1:41" ht="13">
      <c r="A82" s="3">
        <v>1844</v>
      </c>
      <c r="F82" s="5"/>
      <c r="G82" s="45"/>
      <c r="H82" s="3">
        <v>75</v>
      </c>
      <c r="I82" s="31">
        <f t="shared" si="6"/>
        <v>0.5</v>
      </c>
      <c r="J82" s="29"/>
      <c r="K82" s="29"/>
      <c r="L82" s="32">
        <f t="shared" si="7"/>
        <v>0.5</v>
      </c>
      <c r="M82" s="31">
        <v>8.6329452972081999E-2</v>
      </c>
      <c r="N82" s="5"/>
      <c r="O82" s="29">
        <v>1844</v>
      </c>
      <c r="P82" s="29">
        <v>88.01</v>
      </c>
      <c r="Q82" s="30">
        <v>1921.89</v>
      </c>
      <c r="R82" s="45"/>
      <c r="U82" s="70"/>
      <c r="V82" s="5"/>
      <c r="W82" s="29"/>
      <c r="X82" s="29"/>
      <c r="Y82" s="29"/>
      <c r="Z82" s="29"/>
      <c r="AA82" s="5"/>
      <c r="AB82" s="54">
        <v>1844</v>
      </c>
      <c r="AC82" s="27">
        <v>0.06</v>
      </c>
      <c r="AD82" s="27">
        <v>7.25</v>
      </c>
      <c r="AE82" s="98">
        <f t="shared" si="4"/>
        <v>25.069156293222683</v>
      </c>
      <c r="AF82" s="98">
        <f t="shared" si="5"/>
        <v>0.23933793103448275</v>
      </c>
      <c r="AG82" s="98"/>
      <c r="AH82" s="98"/>
      <c r="AI82" s="98"/>
      <c r="AJ82" s="99"/>
      <c r="AK82" s="5"/>
      <c r="AL82" s="5"/>
      <c r="AM82" s="5"/>
      <c r="AN82" s="5"/>
      <c r="AO82" s="5"/>
    </row>
    <row r="83" spans="1:41" ht="13">
      <c r="A83" s="3">
        <v>1845</v>
      </c>
      <c r="F83" s="5"/>
      <c r="G83" s="45"/>
      <c r="H83" s="3">
        <v>116</v>
      </c>
      <c r="I83" s="31">
        <f t="shared" si="6"/>
        <v>0.77333333333333332</v>
      </c>
      <c r="J83" s="29"/>
      <c r="K83" s="29"/>
      <c r="L83" s="32">
        <f t="shared" si="7"/>
        <v>0.77333333333333332</v>
      </c>
      <c r="M83" s="31">
        <v>0.13352288726348682</v>
      </c>
      <c r="N83" s="5"/>
      <c r="O83" s="29">
        <v>1845</v>
      </c>
      <c r="P83" s="29">
        <v>93.45</v>
      </c>
      <c r="Q83" s="30">
        <v>1986.41</v>
      </c>
      <c r="R83" s="45"/>
      <c r="U83" s="70"/>
      <c r="V83" s="5"/>
      <c r="W83" s="29"/>
      <c r="X83" s="29"/>
      <c r="Y83" s="29"/>
      <c r="Z83" s="29"/>
      <c r="AA83" s="5"/>
      <c r="AB83" s="54">
        <v>1845</v>
      </c>
      <c r="AC83" s="27">
        <v>0.06</v>
      </c>
      <c r="AD83" s="27">
        <v>7.33</v>
      </c>
      <c r="AE83" s="98">
        <f t="shared" si="4"/>
        <v>25.345781466113415</v>
      </c>
      <c r="AF83" s="98">
        <f t="shared" si="5"/>
        <v>0.23672578444747613</v>
      </c>
      <c r="AG83" s="98"/>
      <c r="AH83" s="98"/>
      <c r="AI83" s="98"/>
      <c r="AJ83" s="99"/>
      <c r="AK83" s="5"/>
      <c r="AL83" s="5"/>
      <c r="AM83" s="5"/>
      <c r="AN83" s="5"/>
      <c r="AO83" s="5"/>
    </row>
    <row r="84" spans="1:41" ht="13">
      <c r="A84" s="3">
        <v>1846</v>
      </c>
      <c r="F84" s="5"/>
      <c r="G84" s="45"/>
      <c r="H84" s="3">
        <v>135</v>
      </c>
      <c r="I84" s="31">
        <f t="shared" si="6"/>
        <v>0.9</v>
      </c>
      <c r="J84" s="29"/>
      <c r="K84" s="29"/>
      <c r="L84" s="32">
        <f t="shared" si="7"/>
        <v>0.9</v>
      </c>
      <c r="M84" s="31">
        <v>0.15539301534974759</v>
      </c>
      <c r="N84" s="5"/>
      <c r="O84" s="29">
        <v>1846</v>
      </c>
      <c r="P84" s="29">
        <v>100.67</v>
      </c>
      <c r="Q84" s="30">
        <v>2083.89</v>
      </c>
      <c r="R84" s="45"/>
      <c r="U84" s="70"/>
      <c r="V84" s="5"/>
      <c r="W84" s="29"/>
      <c r="X84" s="29"/>
      <c r="Y84" s="29"/>
      <c r="Z84" s="29"/>
      <c r="AA84" s="5"/>
      <c r="AB84" s="54">
        <v>1846</v>
      </c>
      <c r="AC84" s="27">
        <v>0.06</v>
      </c>
      <c r="AD84" s="27">
        <v>7.41</v>
      </c>
      <c r="AE84" s="98">
        <f t="shared" si="4"/>
        <v>25.622406639004147</v>
      </c>
      <c r="AF84" s="98">
        <f t="shared" si="5"/>
        <v>0.23417004048582998</v>
      </c>
      <c r="AG84" s="98"/>
      <c r="AH84" s="98"/>
      <c r="AI84" s="98"/>
      <c r="AJ84" s="99"/>
      <c r="AK84" s="5"/>
      <c r="AL84" s="5"/>
      <c r="AM84" s="5"/>
      <c r="AN84" s="5"/>
      <c r="AO84" s="5"/>
    </row>
    <row r="85" spans="1:41" ht="13">
      <c r="A85" s="3">
        <v>1847</v>
      </c>
      <c r="F85" s="5"/>
      <c r="G85" s="45"/>
      <c r="H85" s="3">
        <v>100</v>
      </c>
      <c r="I85" s="31">
        <f t="shared" si="6"/>
        <v>0.66666666666666663</v>
      </c>
      <c r="J85" s="29"/>
      <c r="K85" s="29"/>
      <c r="L85" s="32">
        <f t="shared" si="7"/>
        <v>0.66666666666666663</v>
      </c>
      <c r="M85" s="31">
        <v>0.11510593729610931</v>
      </c>
      <c r="N85" s="5"/>
      <c r="O85" s="29">
        <v>1847</v>
      </c>
      <c r="P85" s="29">
        <v>113.72</v>
      </c>
      <c r="Q85" s="30">
        <v>2154.2399999999998</v>
      </c>
      <c r="R85" s="45"/>
      <c r="U85" s="70"/>
      <c r="V85" s="5"/>
      <c r="W85" s="29"/>
      <c r="X85" s="29"/>
      <c r="Y85" s="29"/>
      <c r="Z85" s="29"/>
      <c r="AA85" s="5"/>
      <c r="AB85" s="54">
        <v>1847</v>
      </c>
      <c r="AC85" s="27">
        <v>0.06</v>
      </c>
      <c r="AD85" s="27">
        <v>7.98</v>
      </c>
      <c r="AE85" s="98">
        <f t="shared" si="4"/>
        <v>27.59336099585062</v>
      </c>
      <c r="AF85" s="98">
        <f t="shared" si="5"/>
        <v>0.21744360902255641</v>
      </c>
      <c r="AG85" s="98"/>
      <c r="AH85" s="98"/>
      <c r="AI85" s="98"/>
      <c r="AJ85" s="99"/>
      <c r="AK85" s="5"/>
      <c r="AL85" s="5"/>
      <c r="AM85" s="5"/>
      <c r="AN85" s="5"/>
      <c r="AO85" s="5"/>
    </row>
    <row r="86" spans="1:41" ht="13">
      <c r="A86" s="3">
        <v>1848</v>
      </c>
      <c r="F86" s="5"/>
      <c r="G86" s="45"/>
      <c r="H86" s="3">
        <v>385</v>
      </c>
      <c r="I86" s="31">
        <f t="shared" si="6"/>
        <v>2.5666666666666669</v>
      </c>
      <c r="J86" s="29"/>
      <c r="K86" s="29"/>
      <c r="L86" s="32">
        <f t="shared" si="7"/>
        <v>2.5666666666666669</v>
      </c>
      <c r="M86" s="31">
        <v>0.44315785859002094</v>
      </c>
      <c r="N86" s="5"/>
      <c r="O86" s="29">
        <v>1848</v>
      </c>
      <c r="P86" s="29">
        <v>110.73</v>
      </c>
      <c r="Q86" s="30">
        <v>2153.09</v>
      </c>
      <c r="R86" s="45"/>
      <c r="U86" s="70"/>
      <c r="V86" s="5"/>
      <c r="W86" s="29"/>
      <c r="X86" s="29"/>
      <c r="Y86" s="29"/>
      <c r="Z86" s="29"/>
      <c r="AA86" s="5"/>
      <c r="AB86" s="54">
        <v>1848</v>
      </c>
      <c r="AC86" s="27">
        <v>7.0000000000000007E-2</v>
      </c>
      <c r="AD86" s="27">
        <v>7.65</v>
      </c>
      <c r="AE86" s="98">
        <f t="shared" si="4"/>
        <v>26.452282157676347</v>
      </c>
      <c r="AF86" s="98">
        <f t="shared" si="5"/>
        <v>0.2646274509803922</v>
      </c>
      <c r="AG86" s="98"/>
      <c r="AH86" s="98"/>
      <c r="AI86" s="98"/>
      <c r="AJ86" s="99"/>
      <c r="AK86" s="5"/>
      <c r="AL86" s="5"/>
      <c r="AM86" s="5"/>
      <c r="AN86" s="5"/>
      <c r="AO86" s="5"/>
    </row>
    <row r="87" spans="1:41" ht="13">
      <c r="A87" s="3">
        <v>1849</v>
      </c>
      <c r="F87" s="5"/>
      <c r="G87" s="45"/>
      <c r="H87" s="3">
        <v>361</v>
      </c>
      <c r="I87" s="31">
        <f t="shared" si="6"/>
        <v>2.4066666666666667</v>
      </c>
      <c r="J87" s="29"/>
      <c r="K87" s="29"/>
      <c r="L87" s="32">
        <f t="shared" si="7"/>
        <v>2.4066666666666667</v>
      </c>
      <c r="M87" s="31">
        <v>0.4155324336389547</v>
      </c>
      <c r="N87" s="5"/>
      <c r="O87" s="29">
        <v>1849</v>
      </c>
      <c r="P87" s="29">
        <v>106.63</v>
      </c>
      <c r="Q87" s="30">
        <v>2109.35</v>
      </c>
      <c r="R87" s="45"/>
      <c r="U87" s="70"/>
      <c r="V87" s="5"/>
      <c r="W87" s="29"/>
      <c r="X87" s="29"/>
      <c r="Y87" s="29"/>
      <c r="Z87" s="29"/>
      <c r="AA87" s="5"/>
      <c r="AB87" s="54">
        <v>1849</v>
      </c>
      <c r="AC87" s="27">
        <v>0.06</v>
      </c>
      <c r="AD87" s="27">
        <v>7.41</v>
      </c>
      <c r="AE87" s="98">
        <f t="shared" si="4"/>
        <v>25.622406639004147</v>
      </c>
      <c r="AF87" s="98">
        <f t="shared" si="5"/>
        <v>0.23417004048582998</v>
      </c>
      <c r="AG87" s="98"/>
      <c r="AH87" s="98"/>
      <c r="AI87" s="98"/>
      <c r="AJ87" s="99"/>
      <c r="AK87" s="5"/>
      <c r="AL87" s="5"/>
      <c r="AM87" s="5"/>
      <c r="AN87" s="5"/>
      <c r="AO87" s="5"/>
    </row>
    <row r="88" spans="1:41" ht="13">
      <c r="A88" s="3">
        <v>1850</v>
      </c>
      <c r="F88" s="5"/>
      <c r="G88" s="45"/>
      <c r="H88" s="3">
        <v>470</v>
      </c>
      <c r="I88" s="31">
        <f t="shared" si="6"/>
        <v>3.1333333333333333</v>
      </c>
      <c r="J88" s="29"/>
      <c r="K88" s="29"/>
      <c r="L88" s="32">
        <f t="shared" si="7"/>
        <v>3.1333333333333333</v>
      </c>
      <c r="M88" s="31">
        <v>0.54099790529171377</v>
      </c>
      <c r="N88" s="5"/>
      <c r="O88" s="29">
        <v>1850</v>
      </c>
      <c r="P88" s="29">
        <v>109.9</v>
      </c>
      <c r="Q88" s="30">
        <v>2131.71</v>
      </c>
      <c r="R88" s="45"/>
      <c r="U88" s="70"/>
      <c r="V88" s="5"/>
      <c r="W88" s="29"/>
      <c r="X88" s="29"/>
      <c r="Y88" s="29"/>
      <c r="Z88" s="29"/>
      <c r="AA88" s="5"/>
      <c r="AB88" s="54">
        <v>1850</v>
      </c>
      <c r="AC88" s="27">
        <v>0.06</v>
      </c>
      <c r="AD88" s="27">
        <v>7.57</v>
      </c>
      <c r="AE88" s="98">
        <f t="shared" si="4"/>
        <v>26.175656984785615</v>
      </c>
      <c r="AF88" s="98">
        <f t="shared" si="5"/>
        <v>0.22922060766182298</v>
      </c>
      <c r="AG88" s="98"/>
      <c r="AH88" s="98"/>
      <c r="AI88" s="98"/>
      <c r="AJ88" s="99"/>
      <c r="AK88" s="5"/>
      <c r="AL88" s="5"/>
      <c r="AM88" s="5"/>
      <c r="AN88" s="5"/>
      <c r="AO88" s="5"/>
    </row>
    <row r="89" spans="1:41" ht="13">
      <c r="A89" s="3">
        <v>1851</v>
      </c>
      <c r="F89" s="5"/>
      <c r="G89" s="45"/>
      <c r="H89" s="3">
        <v>462</v>
      </c>
      <c r="I89" s="31">
        <f t="shared" si="6"/>
        <v>3.08</v>
      </c>
      <c r="J89" s="29"/>
      <c r="K89" s="29"/>
      <c r="L89" s="32">
        <f t="shared" si="7"/>
        <v>3.08</v>
      </c>
      <c r="M89" s="31">
        <v>0.53178943030802506</v>
      </c>
      <c r="N89" s="5"/>
      <c r="O89" s="29">
        <v>1851</v>
      </c>
      <c r="P89" s="29">
        <v>111.99</v>
      </c>
      <c r="Q89" s="30">
        <v>2223.56</v>
      </c>
      <c r="R89" s="45"/>
      <c r="U89" s="70"/>
      <c r="V89" s="5"/>
      <c r="W89" s="29"/>
      <c r="X89" s="29"/>
      <c r="Y89" s="29"/>
      <c r="Z89" s="29"/>
      <c r="AA89" s="5"/>
      <c r="AB89" s="54">
        <v>1851</v>
      </c>
      <c r="AC89" s="27">
        <v>0.06</v>
      </c>
      <c r="AD89" s="27">
        <v>7.41</v>
      </c>
      <c r="AE89" s="98">
        <f t="shared" si="4"/>
        <v>25.622406639004147</v>
      </c>
      <c r="AF89" s="98">
        <f t="shared" si="5"/>
        <v>0.23417004048582998</v>
      </c>
      <c r="AG89" s="98"/>
      <c r="AH89" s="98"/>
      <c r="AI89" s="98"/>
      <c r="AJ89" s="99"/>
      <c r="AK89" s="5"/>
      <c r="AL89" s="5"/>
      <c r="AM89" s="5"/>
      <c r="AN89" s="5"/>
      <c r="AO89" s="5"/>
    </row>
    <row r="90" spans="1:41" ht="13">
      <c r="A90" s="3">
        <v>1852</v>
      </c>
      <c r="F90" s="5"/>
      <c r="G90" s="45"/>
      <c r="H90" s="3">
        <v>912</v>
      </c>
      <c r="I90" s="31">
        <f t="shared" si="6"/>
        <v>6.08</v>
      </c>
      <c r="J90" s="29"/>
      <c r="K90" s="29"/>
      <c r="L90" s="32">
        <f t="shared" si="7"/>
        <v>6.08</v>
      </c>
      <c r="M90" s="31">
        <v>1.0497661481405172</v>
      </c>
      <c r="N90" s="5"/>
      <c r="O90" s="29">
        <v>1852</v>
      </c>
      <c r="P90" s="29">
        <v>121.48</v>
      </c>
      <c r="Q90" s="30">
        <v>2390.64</v>
      </c>
      <c r="R90" s="45"/>
      <c r="U90" s="70"/>
      <c r="V90" s="5"/>
      <c r="W90" s="29"/>
      <c r="X90" s="29"/>
      <c r="Y90" s="29"/>
      <c r="Z90" s="29"/>
      <c r="AA90" s="5"/>
      <c r="AB90" s="54">
        <v>1852</v>
      </c>
      <c r="AC90" s="27">
        <v>7.0000000000000007E-2</v>
      </c>
      <c r="AD90" s="27">
        <v>7.49</v>
      </c>
      <c r="AE90" s="98">
        <f t="shared" si="4"/>
        <v>25.899031811894879</v>
      </c>
      <c r="AF90" s="98">
        <f t="shared" si="5"/>
        <v>0.27028037383177578</v>
      </c>
      <c r="AG90" s="98"/>
      <c r="AH90" s="98"/>
      <c r="AI90" s="98"/>
      <c r="AJ90" s="99"/>
      <c r="AK90" s="5"/>
      <c r="AL90" s="5"/>
      <c r="AM90" s="5"/>
      <c r="AN90" s="5"/>
      <c r="AO90" s="5"/>
    </row>
    <row r="91" spans="1:41" ht="13">
      <c r="A91" s="3">
        <v>1853</v>
      </c>
      <c r="F91" s="5"/>
      <c r="G91" s="45"/>
      <c r="H91" s="3">
        <v>869</v>
      </c>
      <c r="I91" s="31">
        <f t="shared" si="6"/>
        <v>5.793333333333333</v>
      </c>
      <c r="J91" s="29"/>
      <c r="K91" s="29"/>
      <c r="L91" s="32">
        <f t="shared" si="7"/>
        <v>5.793333333333333</v>
      </c>
      <c r="M91" s="31">
        <v>1.0002705951031898</v>
      </c>
      <c r="N91" s="5"/>
      <c r="O91" s="29">
        <v>1853</v>
      </c>
      <c r="P91" s="29">
        <v>126.55</v>
      </c>
      <c r="Q91" s="30">
        <v>2495.11</v>
      </c>
      <c r="R91" s="45"/>
      <c r="U91" s="70"/>
      <c r="V91" s="5"/>
      <c r="W91" s="29"/>
      <c r="X91" s="29"/>
      <c r="Y91" s="29"/>
      <c r="Z91" s="29"/>
      <c r="AA91" s="5"/>
      <c r="AB91" s="54">
        <v>1853</v>
      </c>
      <c r="AC91" s="27">
        <v>7.0000000000000007E-2</v>
      </c>
      <c r="AD91" s="27">
        <v>7.49</v>
      </c>
      <c r="AE91" s="98">
        <f t="shared" si="4"/>
        <v>25.899031811894879</v>
      </c>
      <c r="AF91" s="98">
        <f t="shared" si="5"/>
        <v>0.27028037383177578</v>
      </c>
      <c r="AG91" s="98"/>
      <c r="AH91" s="98"/>
      <c r="AI91" s="98"/>
      <c r="AJ91" s="99"/>
      <c r="AK91" s="5"/>
      <c r="AL91" s="5"/>
      <c r="AM91" s="5"/>
      <c r="AN91" s="5"/>
      <c r="AO91" s="5"/>
    </row>
    <row r="92" spans="1:41" ht="13">
      <c r="A92" s="3">
        <v>1854</v>
      </c>
      <c r="F92" s="5"/>
      <c r="G92" s="45"/>
      <c r="H92" s="3">
        <v>1339</v>
      </c>
      <c r="I92" s="31">
        <f t="shared" si="6"/>
        <v>8.9266666666666659</v>
      </c>
      <c r="J92" s="29"/>
      <c r="K92" s="29"/>
      <c r="L92" s="32">
        <f t="shared" si="7"/>
        <v>8.9266666666666659</v>
      </c>
      <c r="M92" s="31">
        <v>1.5412685003949038</v>
      </c>
      <c r="N92" s="5"/>
      <c r="O92" s="29">
        <v>1854</v>
      </c>
      <c r="P92" s="29">
        <v>136.91999999999999</v>
      </c>
      <c r="Q92" s="30">
        <v>2490.4299999999998</v>
      </c>
      <c r="R92" s="45"/>
      <c r="U92" s="70"/>
      <c r="V92" s="5"/>
      <c r="W92" s="29"/>
      <c r="X92" s="29"/>
      <c r="Y92" s="29"/>
      <c r="Z92" s="29"/>
      <c r="AA92" s="5"/>
      <c r="AB92" s="54">
        <v>1854</v>
      </c>
      <c r="AC92" s="27">
        <v>7.0000000000000007E-2</v>
      </c>
      <c r="AD92" s="27">
        <v>8.14</v>
      </c>
      <c r="AE92" s="98">
        <f t="shared" si="4"/>
        <v>28.146611341632088</v>
      </c>
      <c r="AF92" s="98">
        <f t="shared" si="5"/>
        <v>0.24869778869778875</v>
      </c>
      <c r="AG92" s="98"/>
      <c r="AH92" s="98"/>
      <c r="AI92" s="98"/>
      <c r="AJ92" s="99"/>
      <c r="AK92" s="5"/>
      <c r="AL92" s="5"/>
      <c r="AM92" s="5"/>
      <c r="AN92" s="5"/>
      <c r="AO92" s="5"/>
    </row>
    <row r="93" spans="1:41" ht="13">
      <c r="A93" s="3">
        <v>1855</v>
      </c>
      <c r="F93" s="5"/>
      <c r="G93" s="45"/>
      <c r="H93" s="3">
        <v>1498</v>
      </c>
      <c r="I93" s="31">
        <f t="shared" si="6"/>
        <v>9.9866666666666664</v>
      </c>
      <c r="J93" s="29"/>
      <c r="K93" s="29"/>
      <c r="L93" s="32">
        <f t="shared" si="7"/>
        <v>9.9866666666666664</v>
      </c>
      <c r="M93" s="31">
        <v>1.7242869406957178</v>
      </c>
      <c r="N93" s="5"/>
      <c r="O93" s="29">
        <v>1855</v>
      </c>
      <c r="P93" s="29">
        <v>141.99</v>
      </c>
      <c r="Q93" s="30">
        <v>2512.8000000000002</v>
      </c>
      <c r="R93" s="45"/>
      <c r="U93" s="70"/>
      <c r="V93" s="5"/>
      <c r="W93" s="29"/>
      <c r="X93" s="29"/>
      <c r="Y93" s="29"/>
      <c r="Z93" s="29"/>
      <c r="AA93" s="5"/>
      <c r="AB93" s="54">
        <v>1855</v>
      </c>
      <c r="AC93" s="27">
        <v>7.0000000000000007E-2</v>
      </c>
      <c r="AD93" s="27">
        <v>8.3800000000000008</v>
      </c>
      <c r="AE93" s="98">
        <f t="shared" ref="AE93:AE156" si="8">AD93*100/$AD$196</f>
        <v>28.976486860304291</v>
      </c>
      <c r="AF93" s="98">
        <f t="shared" ref="AF93:AF156" si="9">AC93*100/AE93</f>
        <v>0.24157517899761335</v>
      </c>
      <c r="AG93" s="98"/>
      <c r="AH93" s="98"/>
      <c r="AI93" s="98"/>
      <c r="AJ93" s="99"/>
      <c r="AK93" s="5"/>
      <c r="AL93" s="5"/>
      <c r="AM93" s="5"/>
      <c r="AN93" s="5"/>
      <c r="AO93" s="5"/>
    </row>
    <row r="94" spans="1:41" ht="13">
      <c r="A94" s="3">
        <v>1856</v>
      </c>
      <c r="F94" s="5"/>
      <c r="G94" s="45"/>
      <c r="H94" s="3">
        <v>1134</v>
      </c>
      <c r="I94" s="31">
        <f t="shared" si="6"/>
        <v>7.56</v>
      </c>
      <c r="J94" s="29"/>
      <c r="K94" s="29"/>
      <c r="L94" s="32">
        <f t="shared" si="7"/>
        <v>7.56</v>
      </c>
      <c r="M94" s="31">
        <v>1.3053013289378799</v>
      </c>
      <c r="N94" s="5"/>
      <c r="O94" s="29">
        <v>1856</v>
      </c>
      <c r="P94" s="29">
        <v>140.66999999999999</v>
      </c>
      <c r="Q94" s="30">
        <v>2543.06</v>
      </c>
      <c r="R94" s="45"/>
      <c r="U94" s="70"/>
      <c r="V94" s="5"/>
      <c r="W94" s="29"/>
      <c r="X94" s="29"/>
      <c r="Y94" s="29"/>
      <c r="Z94" s="29"/>
      <c r="AA94" s="5"/>
      <c r="AB94" s="54">
        <v>1856</v>
      </c>
      <c r="AC94" s="27">
        <v>7.0000000000000007E-2</v>
      </c>
      <c r="AD94" s="27">
        <v>8.2200000000000006</v>
      </c>
      <c r="AE94" s="98">
        <f t="shared" si="8"/>
        <v>28.423236514522824</v>
      </c>
      <c r="AF94" s="98">
        <f t="shared" si="9"/>
        <v>0.24627737226277374</v>
      </c>
      <c r="AG94" s="98"/>
      <c r="AH94" s="98"/>
      <c r="AI94" s="98"/>
      <c r="AJ94" s="99"/>
      <c r="AK94" s="5"/>
      <c r="AL94" s="5"/>
      <c r="AM94" s="5"/>
      <c r="AN94" s="5"/>
      <c r="AO94" s="5"/>
    </row>
    <row r="95" spans="1:41" ht="13">
      <c r="A95" s="3">
        <v>1857</v>
      </c>
      <c r="F95" s="5"/>
      <c r="G95" s="45"/>
      <c r="H95" s="3">
        <v>1394</v>
      </c>
      <c r="I95" s="31">
        <f t="shared" si="6"/>
        <v>9.293333333333333</v>
      </c>
      <c r="J95" s="29"/>
      <c r="K95" s="29"/>
      <c r="L95" s="32">
        <f t="shared" si="7"/>
        <v>9.293333333333333</v>
      </c>
      <c r="M95" s="31">
        <v>1.6045767659077639</v>
      </c>
      <c r="N95" s="5"/>
      <c r="O95" s="29">
        <v>1857</v>
      </c>
      <c r="P95" s="29">
        <v>141.31</v>
      </c>
      <c r="Q95" s="30">
        <v>2486.2199999999998</v>
      </c>
      <c r="R95" s="45"/>
      <c r="U95" s="70"/>
      <c r="V95" s="5"/>
      <c r="W95" s="29"/>
      <c r="X95" s="29"/>
      <c r="Y95" s="29"/>
      <c r="Z95" s="29"/>
      <c r="AA95" s="5"/>
      <c r="AB95" s="54">
        <v>1857</v>
      </c>
      <c r="AC95" s="27">
        <v>7.0000000000000007E-2</v>
      </c>
      <c r="AD95" s="27">
        <v>8.4600000000000009</v>
      </c>
      <c r="AE95" s="98">
        <f t="shared" si="8"/>
        <v>29.253112033195023</v>
      </c>
      <c r="AF95" s="98">
        <f t="shared" si="9"/>
        <v>0.23929078014184399</v>
      </c>
      <c r="AG95" s="98"/>
      <c r="AH95" s="98"/>
      <c r="AI95" s="98"/>
      <c r="AJ95" s="99"/>
      <c r="AK95" s="5"/>
      <c r="AL95" s="5"/>
      <c r="AM95" s="5"/>
      <c r="AN95" s="5"/>
      <c r="AO95" s="5"/>
    </row>
    <row r="96" spans="1:41" ht="13">
      <c r="A96" s="3">
        <v>1858</v>
      </c>
      <c r="F96" s="5"/>
      <c r="G96" s="45"/>
      <c r="H96" s="3">
        <v>1431</v>
      </c>
      <c r="I96" s="31">
        <f t="shared" si="6"/>
        <v>9.5399999999999991</v>
      </c>
      <c r="J96" s="29"/>
      <c r="K96" s="29"/>
      <c r="L96" s="32">
        <f t="shared" si="7"/>
        <v>9.5399999999999991</v>
      </c>
      <c r="M96" s="31">
        <v>1.6471659627073243</v>
      </c>
      <c r="N96" s="5"/>
      <c r="O96" s="29">
        <v>1858</v>
      </c>
      <c r="P96" s="29">
        <v>134.82</v>
      </c>
      <c r="Q96" s="30">
        <v>2520.5700000000002</v>
      </c>
      <c r="R96" s="45"/>
      <c r="U96" s="70"/>
      <c r="V96" s="5"/>
      <c r="W96" s="29"/>
      <c r="X96" s="29"/>
      <c r="Y96" s="29"/>
      <c r="Z96" s="29"/>
      <c r="AA96" s="5"/>
      <c r="AB96" s="54">
        <v>1858</v>
      </c>
      <c r="AC96" s="27">
        <v>0.08</v>
      </c>
      <c r="AD96" s="27">
        <v>7.98</v>
      </c>
      <c r="AE96" s="98">
        <f t="shared" si="8"/>
        <v>27.59336099585062</v>
      </c>
      <c r="AF96" s="98">
        <f t="shared" si="9"/>
        <v>0.2899248120300752</v>
      </c>
      <c r="AG96" s="98"/>
      <c r="AH96" s="98"/>
      <c r="AI96" s="98"/>
      <c r="AJ96" s="99"/>
      <c r="AK96" s="5"/>
      <c r="AL96" s="5"/>
      <c r="AM96" s="5"/>
      <c r="AN96" s="5"/>
      <c r="AO96" s="5"/>
    </row>
    <row r="97" spans="1:41" ht="13">
      <c r="A97" s="3">
        <v>1859</v>
      </c>
      <c r="F97" s="5"/>
      <c r="G97" s="45"/>
      <c r="H97" s="3">
        <v>1298</v>
      </c>
      <c r="I97" s="31">
        <f t="shared" si="6"/>
        <v>8.6533333333333342</v>
      </c>
      <c r="J97" s="29"/>
      <c r="K97" s="29"/>
      <c r="L97" s="32">
        <f t="shared" si="7"/>
        <v>8.6533333333333342</v>
      </c>
      <c r="M97" s="31">
        <v>1.4940750661034992</v>
      </c>
      <c r="N97" s="5"/>
      <c r="O97" s="29">
        <v>1859</v>
      </c>
      <c r="P97" s="29">
        <v>142.38999999999999</v>
      </c>
      <c r="Q97" s="30">
        <v>2640.56</v>
      </c>
      <c r="R97" s="45"/>
      <c r="U97" s="70"/>
      <c r="V97" s="5"/>
      <c r="W97" s="29"/>
      <c r="X97" s="29"/>
      <c r="Y97" s="29"/>
      <c r="Z97" s="29"/>
      <c r="AA97" s="5"/>
      <c r="AB97" s="54">
        <v>1859</v>
      </c>
      <c r="AC97" s="27">
        <v>0.08</v>
      </c>
      <c r="AD97" s="27">
        <v>8.06</v>
      </c>
      <c r="AE97" s="98">
        <f t="shared" si="8"/>
        <v>27.869986168741352</v>
      </c>
      <c r="AF97" s="98">
        <f t="shared" si="9"/>
        <v>0.28704714640198514</v>
      </c>
      <c r="AG97" s="98"/>
      <c r="AH97" s="98"/>
      <c r="AI97" s="98"/>
      <c r="AJ97" s="99"/>
      <c r="AK97" s="5"/>
      <c r="AL97" s="5"/>
      <c r="AM97" s="5"/>
      <c r="AN97" s="5"/>
      <c r="AO97" s="5"/>
    </row>
    <row r="98" spans="1:41">
      <c r="A98" s="3">
        <v>1860</v>
      </c>
      <c r="B98" s="3">
        <v>7.48</v>
      </c>
      <c r="C98" s="38">
        <f>B98*100/$B$196</f>
        <v>1.636761487964989</v>
      </c>
      <c r="E98" s="31"/>
      <c r="F98" s="100">
        <v>1.636761487964989</v>
      </c>
      <c r="G98" s="45"/>
      <c r="H98" s="3">
        <v>1242</v>
      </c>
      <c r="I98" s="31">
        <f t="shared" si="6"/>
        <v>8.2799999999999994</v>
      </c>
      <c r="L98" s="32">
        <f t="shared" si="7"/>
        <v>8.2799999999999994</v>
      </c>
      <c r="M98" s="31">
        <v>1.4296157412176778</v>
      </c>
      <c r="N98" s="24"/>
      <c r="O98" s="32">
        <v>1860</v>
      </c>
      <c r="P98" s="32">
        <v>137.88</v>
      </c>
      <c r="Q98" s="33">
        <v>2605.5100000000002</v>
      </c>
      <c r="R98" s="45"/>
      <c r="S98" s="101" t="s">
        <v>116</v>
      </c>
      <c r="T98" s="102">
        <v>1831</v>
      </c>
      <c r="U98" s="3">
        <v>0.9</v>
      </c>
      <c r="V98" s="24"/>
      <c r="W98" s="24"/>
      <c r="X98" s="24"/>
      <c r="Y98" s="24"/>
      <c r="Z98" s="24"/>
      <c r="AA98" s="24"/>
      <c r="AB98" s="54">
        <v>1860</v>
      </c>
      <c r="AC98" s="98">
        <v>0.08</v>
      </c>
      <c r="AD98" s="98">
        <v>8.06</v>
      </c>
      <c r="AE98" s="98">
        <f t="shared" si="8"/>
        <v>27.869986168741352</v>
      </c>
      <c r="AF98" s="98">
        <f t="shared" si="9"/>
        <v>0.28704714640198514</v>
      </c>
      <c r="AG98" s="98"/>
      <c r="AH98" s="98"/>
      <c r="AI98" s="98"/>
      <c r="AJ98" s="103"/>
      <c r="AK98" s="24"/>
      <c r="AL98" s="104"/>
      <c r="AM98" s="24"/>
      <c r="AN98" s="24"/>
      <c r="AO98" s="24"/>
    </row>
    <row r="99" spans="1:41">
      <c r="A99" s="3">
        <v>1861</v>
      </c>
      <c r="B99" s="3">
        <v>7.49</v>
      </c>
      <c r="C99" s="38">
        <f t="shared" ref="C99:C162" si="10">B99*100/$B$196</f>
        <v>1.6389496717724288</v>
      </c>
      <c r="E99" s="31"/>
      <c r="F99" s="100">
        <v>1.6389496717724288</v>
      </c>
      <c r="G99" s="45"/>
      <c r="H99" s="105">
        <v>1197</v>
      </c>
      <c r="I99" s="31">
        <f t="shared" si="6"/>
        <v>7.98</v>
      </c>
      <c r="J99" s="106"/>
      <c r="K99" s="106"/>
      <c r="L99" s="32">
        <f t="shared" si="7"/>
        <v>7.98</v>
      </c>
      <c r="M99" s="31">
        <v>1.3778180694344286</v>
      </c>
      <c r="N99" s="24"/>
      <c r="O99" s="32">
        <v>1861</v>
      </c>
      <c r="P99" s="32">
        <v>142.75</v>
      </c>
      <c r="Q99" s="33">
        <v>2594.13</v>
      </c>
      <c r="R99" s="45"/>
      <c r="S99" s="3" t="s">
        <v>117</v>
      </c>
      <c r="T99" s="3" t="s">
        <v>117</v>
      </c>
      <c r="U99" s="3">
        <v>2</v>
      </c>
      <c r="V99" s="24"/>
      <c r="W99" s="24"/>
      <c r="X99" s="24"/>
      <c r="Y99" s="24"/>
      <c r="Z99" s="24"/>
      <c r="AA99" s="24"/>
      <c r="AB99" s="54">
        <v>1861</v>
      </c>
      <c r="AC99" s="98">
        <v>0.08</v>
      </c>
      <c r="AD99" s="98">
        <v>8.5399999999999991</v>
      </c>
      <c r="AE99" s="98">
        <f t="shared" si="8"/>
        <v>29.529737206085748</v>
      </c>
      <c r="AF99" s="98">
        <f t="shared" si="9"/>
        <v>0.27091334894613589</v>
      </c>
      <c r="AG99" s="98"/>
      <c r="AH99" s="98"/>
      <c r="AI99" s="98"/>
      <c r="AJ99" s="103"/>
      <c r="AK99" s="24"/>
      <c r="AL99" s="104"/>
      <c r="AM99" s="24"/>
      <c r="AN99" s="24"/>
      <c r="AO99" s="24"/>
    </row>
    <row r="100" spans="1:41">
      <c r="A100" s="3">
        <v>1862</v>
      </c>
      <c r="B100" s="3">
        <v>6.94</v>
      </c>
      <c r="C100" s="38">
        <f t="shared" si="10"/>
        <v>1.5185995623632385</v>
      </c>
      <c r="E100" s="31"/>
      <c r="F100" s="100">
        <v>1.5185995623632385</v>
      </c>
      <c r="G100" s="45"/>
      <c r="H100" s="105">
        <v>1067</v>
      </c>
      <c r="I100" s="31">
        <f t="shared" si="6"/>
        <v>7.1133333333333333</v>
      </c>
      <c r="J100" s="106"/>
      <c r="K100" s="106"/>
      <c r="L100" s="32">
        <f t="shared" si="7"/>
        <v>7.1133333333333333</v>
      </c>
      <c r="M100" s="31">
        <v>1.2281803509494866</v>
      </c>
      <c r="N100" s="24"/>
      <c r="O100" s="32">
        <v>1862</v>
      </c>
      <c r="P100" s="32">
        <v>175.98</v>
      </c>
      <c r="Q100" s="33">
        <v>2856.71</v>
      </c>
      <c r="R100" s="45"/>
      <c r="S100" s="3" t="s">
        <v>118</v>
      </c>
      <c r="T100" s="3" t="s">
        <v>118</v>
      </c>
      <c r="U100" s="3">
        <v>3.3</v>
      </c>
      <c r="V100" s="24"/>
      <c r="W100" s="24"/>
      <c r="X100" s="24"/>
      <c r="Y100" s="24"/>
      <c r="Z100" s="24"/>
      <c r="AA100" s="24"/>
      <c r="AB100" s="54">
        <v>1862</v>
      </c>
      <c r="AC100" s="98">
        <v>0.09</v>
      </c>
      <c r="AD100" s="98">
        <v>9.75</v>
      </c>
      <c r="AE100" s="98">
        <f t="shared" si="8"/>
        <v>33.713692946058089</v>
      </c>
      <c r="AF100" s="98">
        <f t="shared" si="9"/>
        <v>0.26695384615384615</v>
      </c>
      <c r="AG100" s="98"/>
      <c r="AH100" s="98"/>
      <c r="AI100" s="98"/>
      <c r="AJ100" s="103"/>
      <c r="AK100" s="24"/>
      <c r="AL100" s="104"/>
      <c r="AM100" s="24"/>
      <c r="AN100" s="24"/>
      <c r="AO100" s="24"/>
    </row>
    <row r="101" spans="1:41">
      <c r="A101" s="3">
        <v>1863</v>
      </c>
      <c r="B101" s="3">
        <v>7.88</v>
      </c>
      <c r="C101" s="38">
        <f t="shared" si="10"/>
        <v>1.724288840262582</v>
      </c>
      <c r="E101" s="31"/>
      <c r="F101" s="100">
        <v>1.724288840262582</v>
      </c>
      <c r="G101" s="45"/>
      <c r="H101" s="48">
        <v>718</v>
      </c>
      <c r="I101" s="31">
        <f t="shared" si="6"/>
        <v>4.7866666666666671</v>
      </c>
      <c r="L101" s="32">
        <f t="shared" si="7"/>
        <v>4.7866666666666671</v>
      </c>
      <c r="M101" s="31">
        <v>0.82646062978606505</v>
      </c>
      <c r="N101" s="24"/>
      <c r="O101" s="32">
        <v>1863</v>
      </c>
      <c r="P101" s="32">
        <v>226.88</v>
      </c>
      <c r="Q101" s="33">
        <v>3010.65</v>
      </c>
      <c r="R101" s="45"/>
      <c r="S101" s="3" t="s">
        <v>119</v>
      </c>
      <c r="T101" s="3" t="s">
        <v>119</v>
      </c>
      <c r="U101" s="3">
        <v>4.0999999999999996</v>
      </c>
      <c r="V101" s="24"/>
      <c r="W101" s="24"/>
      <c r="X101" s="24"/>
      <c r="Y101" s="24"/>
      <c r="Z101" s="24"/>
      <c r="AA101" s="24"/>
      <c r="AB101" s="54">
        <v>1863</v>
      </c>
      <c r="AC101" s="98">
        <v>0.1</v>
      </c>
      <c r="AD101" s="98">
        <v>12.17</v>
      </c>
      <c r="AE101" s="98">
        <f t="shared" si="8"/>
        <v>42.081604426002762</v>
      </c>
      <c r="AF101" s="98">
        <f t="shared" si="9"/>
        <v>0.23763352506162697</v>
      </c>
      <c r="AG101" s="98"/>
      <c r="AH101" s="98"/>
      <c r="AI101" s="98"/>
      <c r="AJ101" s="103"/>
      <c r="AK101" s="24"/>
      <c r="AL101" s="104"/>
      <c r="AM101" s="24"/>
      <c r="AN101" s="24"/>
      <c r="AO101" s="24"/>
    </row>
    <row r="102" spans="1:41">
      <c r="A102" s="3">
        <v>1864</v>
      </c>
      <c r="B102" s="3">
        <v>8.35</v>
      </c>
      <c r="C102" s="38">
        <f t="shared" si="10"/>
        <v>1.8271334792122538</v>
      </c>
      <c r="E102" s="31"/>
      <c r="F102" s="100">
        <v>1.8271334792122538</v>
      </c>
      <c r="G102" s="45"/>
      <c r="H102" s="48">
        <v>819</v>
      </c>
      <c r="I102" s="31">
        <f t="shared" si="6"/>
        <v>5.46</v>
      </c>
      <c r="L102" s="32">
        <f t="shared" si="7"/>
        <v>5.46</v>
      </c>
      <c r="M102" s="31">
        <v>0.94271762645513535</v>
      </c>
      <c r="N102" s="24"/>
      <c r="O102" s="32">
        <v>1864</v>
      </c>
      <c r="P102" s="32">
        <v>275.11</v>
      </c>
      <c r="Q102" s="33">
        <v>2976.69</v>
      </c>
      <c r="R102" s="45"/>
      <c r="S102" s="3" t="s">
        <v>120</v>
      </c>
      <c r="T102" s="3" t="s">
        <v>120</v>
      </c>
      <c r="U102" s="3">
        <v>5.2</v>
      </c>
      <c r="V102" s="24"/>
      <c r="W102" s="24"/>
      <c r="X102" s="24"/>
      <c r="Y102" s="24"/>
      <c r="Z102" s="24"/>
      <c r="AA102" s="24"/>
      <c r="AB102" s="54">
        <v>1864</v>
      </c>
      <c r="AC102" s="98">
        <v>0.11</v>
      </c>
      <c r="AD102" s="98">
        <v>15.23</v>
      </c>
      <c r="AE102" s="98">
        <f t="shared" si="8"/>
        <v>52.6625172890733</v>
      </c>
      <c r="AF102" s="98">
        <f t="shared" si="9"/>
        <v>0.2088772160210112</v>
      </c>
      <c r="AG102" s="98"/>
      <c r="AH102" s="98"/>
      <c r="AI102" s="98"/>
      <c r="AJ102" s="103"/>
      <c r="AK102" s="24"/>
      <c r="AL102" s="104"/>
      <c r="AM102" s="24"/>
      <c r="AN102" s="24"/>
      <c r="AO102" s="24"/>
    </row>
    <row r="103" spans="1:41">
      <c r="A103" s="3">
        <v>1865</v>
      </c>
      <c r="B103" s="3">
        <v>8</v>
      </c>
      <c r="C103" s="38">
        <f t="shared" si="10"/>
        <v>1.7505470459518599</v>
      </c>
      <c r="E103" s="31"/>
      <c r="F103" s="100">
        <v>1.7505470459518599</v>
      </c>
      <c r="G103" s="45"/>
      <c r="H103" s="48">
        <v>762</v>
      </c>
      <c r="I103" s="31">
        <f t="shared" si="6"/>
        <v>5.08</v>
      </c>
      <c r="L103" s="32">
        <f t="shared" si="7"/>
        <v>5.08</v>
      </c>
      <c r="M103" s="31">
        <v>0.87710724219635305</v>
      </c>
      <c r="N103" s="24"/>
      <c r="O103" s="32">
        <v>1865</v>
      </c>
      <c r="P103" s="32">
        <v>280.86</v>
      </c>
      <c r="Q103" s="33">
        <v>2991.78</v>
      </c>
      <c r="R103" s="45"/>
      <c r="S103" s="3" t="s">
        <v>121</v>
      </c>
      <c r="T103" s="3" t="s">
        <v>121</v>
      </c>
      <c r="U103" s="3">
        <v>5.0999999999999996</v>
      </c>
      <c r="V103" s="24"/>
      <c r="W103" s="24"/>
      <c r="X103" s="24"/>
      <c r="Y103" s="24"/>
      <c r="Z103" s="24"/>
      <c r="AA103" s="24"/>
      <c r="AB103" s="54">
        <v>1865</v>
      </c>
      <c r="AC103" s="98">
        <v>0.11</v>
      </c>
      <c r="AD103" s="98">
        <v>15.79</v>
      </c>
      <c r="AE103" s="98">
        <f t="shared" si="8"/>
        <v>54.598893499308431</v>
      </c>
      <c r="AF103" s="98">
        <f t="shared" si="9"/>
        <v>0.20146928435718811</v>
      </c>
      <c r="AG103" s="98"/>
      <c r="AH103" s="98"/>
      <c r="AI103" s="98"/>
      <c r="AJ103" s="103"/>
      <c r="AK103" s="24"/>
      <c r="AL103" s="104"/>
      <c r="AM103" s="24"/>
      <c r="AN103" s="24"/>
      <c r="AO103" s="24"/>
    </row>
    <row r="104" spans="1:41">
      <c r="A104" s="3">
        <v>1866</v>
      </c>
      <c r="B104" s="3">
        <v>9.84</v>
      </c>
      <c r="C104" s="38">
        <f t="shared" si="10"/>
        <v>2.1531728665207877</v>
      </c>
      <c r="E104" s="31"/>
      <c r="F104" s="100">
        <v>2.1531728665207877</v>
      </c>
      <c r="G104" s="45"/>
      <c r="H104" s="48">
        <v>1102</v>
      </c>
      <c r="I104" s="31">
        <f t="shared" si="6"/>
        <v>7.3466666666666667</v>
      </c>
      <c r="L104" s="32">
        <f t="shared" si="7"/>
        <v>7.3466666666666667</v>
      </c>
      <c r="M104" s="31">
        <v>1.2684674290031248</v>
      </c>
      <c r="N104" s="24"/>
      <c r="O104" s="32">
        <v>1866</v>
      </c>
      <c r="P104" s="32">
        <v>249.49</v>
      </c>
      <c r="Q104" s="33">
        <v>2785.64</v>
      </c>
      <c r="R104" s="45"/>
      <c r="S104" s="3" t="s">
        <v>122</v>
      </c>
      <c r="T104" s="3" t="s">
        <v>122</v>
      </c>
      <c r="U104" s="3">
        <v>5.4</v>
      </c>
      <c r="V104" s="24"/>
      <c r="W104" s="24"/>
      <c r="X104" s="24"/>
      <c r="Y104" s="24"/>
      <c r="Z104" s="24"/>
      <c r="AA104" s="24"/>
      <c r="AB104" s="54">
        <v>1866</v>
      </c>
      <c r="AC104" s="98">
        <v>0.11</v>
      </c>
      <c r="AD104" s="98">
        <v>15.39</v>
      </c>
      <c r="AE104" s="98">
        <f t="shared" si="8"/>
        <v>53.215767634854771</v>
      </c>
      <c r="AF104" s="98">
        <f t="shared" si="9"/>
        <v>0.2067056530214425</v>
      </c>
      <c r="AG104" s="98"/>
      <c r="AH104" s="98"/>
      <c r="AI104" s="98"/>
      <c r="AJ104" s="103"/>
      <c r="AK104" s="24"/>
      <c r="AL104" s="104"/>
      <c r="AM104" s="24"/>
      <c r="AN104" s="24"/>
      <c r="AO104" s="24"/>
    </row>
    <row r="105" spans="1:41">
      <c r="A105" s="3">
        <v>1867</v>
      </c>
      <c r="B105" s="3">
        <v>10.3</v>
      </c>
      <c r="C105" s="38">
        <f t="shared" si="10"/>
        <v>2.2538293216630199</v>
      </c>
      <c r="E105" s="31"/>
      <c r="F105" s="100">
        <v>2.2538293216630199</v>
      </c>
      <c r="G105" s="45"/>
      <c r="H105" s="48">
        <v>1560</v>
      </c>
      <c r="I105" s="31">
        <f t="shared" si="6"/>
        <v>10.4</v>
      </c>
      <c r="L105" s="32">
        <f t="shared" si="7"/>
        <v>10.4</v>
      </c>
      <c r="M105" s="31">
        <v>1.7956526218193056</v>
      </c>
      <c r="N105" s="24"/>
      <c r="O105" s="32">
        <v>1867</v>
      </c>
      <c r="P105" s="32">
        <v>225.69</v>
      </c>
      <c r="Q105" s="33">
        <v>2763.06</v>
      </c>
      <c r="R105" s="45"/>
      <c r="S105" s="3" t="s">
        <v>123</v>
      </c>
      <c r="T105" s="3" t="s">
        <v>123</v>
      </c>
      <c r="U105" s="3">
        <v>5.0999999999999996</v>
      </c>
      <c r="V105" s="24"/>
      <c r="W105" s="24"/>
      <c r="X105" s="24"/>
      <c r="Y105" s="24"/>
      <c r="Z105" s="24"/>
      <c r="AA105" s="24"/>
      <c r="AB105" s="54">
        <v>1867</v>
      </c>
      <c r="AC105" s="98">
        <v>0.11</v>
      </c>
      <c r="AD105" s="98">
        <v>14.34</v>
      </c>
      <c r="AE105" s="98">
        <f t="shared" si="8"/>
        <v>49.585062240663895</v>
      </c>
      <c r="AF105" s="98">
        <f t="shared" si="9"/>
        <v>0.22184100418410044</v>
      </c>
      <c r="AG105" s="98"/>
      <c r="AH105" s="98"/>
      <c r="AI105" s="98"/>
      <c r="AJ105" s="103"/>
      <c r="AK105" s="24"/>
      <c r="AL105" s="104"/>
      <c r="AM105" s="24"/>
      <c r="AN105" s="24"/>
      <c r="AO105" s="24"/>
    </row>
    <row r="106" spans="1:41">
      <c r="A106" s="3">
        <v>1868</v>
      </c>
      <c r="B106" s="3">
        <v>10.8</v>
      </c>
      <c r="C106" s="38">
        <f t="shared" si="10"/>
        <v>2.3632385120350108</v>
      </c>
      <c r="E106" s="31"/>
      <c r="F106" s="100">
        <v>2.3632385120350108</v>
      </c>
      <c r="G106" s="45"/>
      <c r="H106" s="48">
        <v>1763</v>
      </c>
      <c r="I106" s="31">
        <f t="shared" si="6"/>
        <v>11.753333333333334</v>
      </c>
      <c r="L106" s="32">
        <f t="shared" si="7"/>
        <v>11.753333333333334</v>
      </c>
      <c r="M106" s="31">
        <v>2.0293176745304078</v>
      </c>
      <c r="N106" s="24"/>
      <c r="O106" s="32">
        <v>1868</v>
      </c>
      <c r="P106" s="32">
        <v>215.01</v>
      </c>
      <c r="Q106" s="33">
        <v>2801.48</v>
      </c>
      <c r="R106" s="45"/>
      <c r="S106" s="3" t="s">
        <v>124</v>
      </c>
      <c r="T106" s="3" t="s">
        <v>124</v>
      </c>
      <c r="U106" s="3">
        <v>5.4</v>
      </c>
      <c r="V106" s="24"/>
      <c r="W106" s="24"/>
      <c r="X106" s="24"/>
      <c r="Y106" s="24"/>
      <c r="Z106" s="24"/>
      <c r="AA106" s="24"/>
      <c r="AB106" s="54">
        <v>1868</v>
      </c>
      <c r="AC106" s="98">
        <v>0.11</v>
      </c>
      <c r="AD106" s="98">
        <v>13.78</v>
      </c>
      <c r="AE106" s="98">
        <f t="shared" si="8"/>
        <v>47.648686030428763</v>
      </c>
      <c r="AF106" s="98">
        <f t="shared" si="9"/>
        <v>0.23085631349782296</v>
      </c>
      <c r="AG106" s="98"/>
      <c r="AH106" s="98"/>
      <c r="AI106" s="98"/>
      <c r="AJ106" s="103"/>
      <c r="AK106" s="24"/>
      <c r="AL106" s="104"/>
      <c r="AM106" s="24"/>
      <c r="AN106" s="24"/>
      <c r="AO106" s="24"/>
    </row>
    <row r="107" spans="1:41">
      <c r="A107" s="3">
        <v>1869</v>
      </c>
      <c r="B107" s="3">
        <v>11.6</v>
      </c>
      <c r="C107" s="38">
        <f t="shared" si="10"/>
        <v>2.5382932166301968</v>
      </c>
      <c r="E107" s="31"/>
      <c r="F107" s="100">
        <v>2.5382932166301968</v>
      </c>
      <c r="G107" s="45"/>
      <c r="H107" s="48">
        <v>2525</v>
      </c>
      <c r="I107" s="31">
        <f t="shared" si="6"/>
        <v>16.833333333333332</v>
      </c>
      <c r="L107" s="32">
        <f t="shared" si="7"/>
        <v>16.833333333333332</v>
      </c>
      <c r="M107" s="31">
        <v>2.9064249167267606</v>
      </c>
      <c r="N107" s="24"/>
      <c r="O107" s="32">
        <v>1869</v>
      </c>
      <c r="P107" s="32">
        <v>201.83</v>
      </c>
      <c r="Q107" s="33">
        <v>2804.78</v>
      </c>
      <c r="R107" s="45"/>
      <c r="S107" s="3" t="s">
        <v>125</v>
      </c>
      <c r="T107" s="3" t="s">
        <v>125</v>
      </c>
      <c r="U107" s="3">
        <v>5</v>
      </c>
      <c r="V107" s="24"/>
      <c r="W107" s="24"/>
      <c r="X107" s="24"/>
      <c r="Y107" s="24"/>
      <c r="Z107" s="24"/>
      <c r="AA107" s="24"/>
      <c r="AB107" s="54">
        <v>1869</v>
      </c>
      <c r="AC107" s="98">
        <v>0.11</v>
      </c>
      <c r="AD107" s="98">
        <v>13.21</v>
      </c>
      <c r="AE107" s="98">
        <f t="shared" si="8"/>
        <v>45.677731673582294</v>
      </c>
      <c r="AF107" s="98">
        <f t="shared" si="9"/>
        <v>0.24081756245268737</v>
      </c>
      <c r="AG107" s="98"/>
      <c r="AH107" s="98"/>
      <c r="AI107" s="98"/>
      <c r="AJ107" s="103"/>
      <c r="AK107" s="24"/>
      <c r="AL107" s="104"/>
      <c r="AM107" s="24"/>
      <c r="AN107" s="24"/>
      <c r="AO107" s="24"/>
    </row>
    <row r="108" spans="1:41">
      <c r="A108" s="3">
        <v>1870</v>
      </c>
      <c r="B108" s="3">
        <v>11.7</v>
      </c>
      <c r="C108" s="38">
        <f t="shared" si="10"/>
        <v>2.5601750547045952</v>
      </c>
      <c r="E108" s="31"/>
      <c r="F108" s="100">
        <v>2.5601750547045952</v>
      </c>
      <c r="G108" s="45"/>
      <c r="H108" s="48">
        <v>3882</v>
      </c>
      <c r="I108" s="31">
        <f t="shared" si="6"/>
        <v>25.88</v>
      </c>
      <c r="L108" s="32">
        <f t="shared" si="7"/>
        <v>25.88</v>
      </c>
      <c r="M108" s="31">
        <v>4.4684124858349641</v>
      </c>
      <c r="N108" s="24"/>
      <c r="O108" s="32">
        <v>1870</v>
      </c>
      <c r="P108" s="32">
        <v>193.89</v>
      </c>
      <c r="Q108" s="33">
        <v>2813.59</v>
      </c>
      <c r="R108" s="45"/>
      <c r="S108" s="3" t="s">
        <v>126</v>
      </c>
      <c r="T108" s="3" t="s">
        <v>126</v>
      </c>
      <c r="U108" s="3">
        <v>5.8</v>
      </c>
      <c r="V108" s="24"/>
      <c r="W108" s="24"/>
      <c r="X108" s="24"/>
      <c r="Y108" s="24"/>
      <c r="Z108" s="24"/>
      <c r="AA108" s="24"/>
      <c r="AB108" s="54">
        <v>1870</v>
      </c>
      <c r="AC108" s="98">
        <v>0.11</v>
      </c>
      <c r="AD108" s="98">
        <v>12.65</v>
      </c>
      <c r="AE108" s="98">
        <f t="shared" si="8"/>
        <v>43.741355463347162</v>
      </c>
      <c r="AF108" s="98">
        <f t="shared" si="9"/>
        <v>0.25147826086956521</v>
      </c>
      <c r="AG108" s="98"/>
      <c r="AH108" s="98"/>
      <c r="AI108" s="98"/>
      <c r="AJ108" s="103"/>
      <c r="AK108" s="24"/>
      <c r="AL108" s="104"/>
      <c r="AM108" s="24"/>
      <c r="AN108" s="24"/>
      <c r="AO108" s="24"/>
    </row>
    <row r="109" spans="1:41">
      <c r="A109" s="3">
        <v>1871</v>
      </c>
      <c r="B109" s="3">
        <v>12.3</v>
      </c>
      <c r="C109" s="38">
        <f t="shared" si="10"/>
        <v>2.6914660831509849</v>
      </c>
      <c r="E109" s="31"/>
      <c r="F109" s="100">
        <v>2.6914660831509849</v>
      </c>
      <c r="G109" s="45"/>
      <c r="H109" s="48">
        <v>3613</v>
      </c>
      <c r="I109" s="31">
        <f t="shared" si="6"/>
        <v>24.086666666666666</v>
      </c>
      <c r="L109" s="32">
        <f t="shared" si="7"/>
        <v>24.086666666666666</v>
      </c>
      <c r="M109" s="31">
        <v>4.1587775145084294</v>
      </c>
      <c r="N109" s="24"/>
      <c r="O109" s="32">
        <v>1871</v>
      </c>
      <c r="P109" s="32">
        <v>185.12</v>
      </c>
      <c r="Q109" s="33">
        <v>2868.02</v>
      </c>
      <c r="R109" s="45"/>
      <c r="S109" s="3" t="s">
        <v>127</v>
      </c>
      <c r="T109" s="3" t="s">
        <v>127</v>
      </c>
      <c r="U109" s="3">
        <v>5.4</v>
      </c>
      <c r="V109" s="24"/>
      <c r="W109" s="24"/>
      <c r="X109" s="24"/>
      <c r="Y109" s="24"/>
      <c r="Z109" s="24"/>
      <c r="AA109" s="24"/>
      <c r="AB109" s="54">
        <v>1871</v>
      </c>
      <c r="AC109" s="98">
        <v>0.12</v>
      </c>
      <c r="AD109" s="98">
        <v>11.84</v>
      </c>
      <c r="AE109" s="98">
        <f t="shared" si="8"/>
        <v>40.940525587828489</v>
      </c>
      <c r="AF109" s="98">
        <f t="shared" si="9"/>
        <v>0.29310810810810811</v>
      </c>
      <c r="AG109" s="98"/>
      <c r="AH109" s="98"/>
      <c r="AI109" s="98"/>
      <c r="AJ109" s="103"/>
      <c r="AK109" s="24"/>
      <c r="AL109" s="104"/>
      <c r="AM109" s="24"/>
      <c r="AN109" s="24"/>
      <c r="AO109" s="24"/>
    </row>
    <row r="110" spans="1:41">
      <c r="A110" s="3">
        <v>1872</v>
      </c>
      <c r="B110" s="3">
        <v>14.6</v>
      </c>
      <c r="C110" s="38">
        <f t="shared" si="10"/>
        <v>3.1947483588621446</v>
      </c>
      <c r="E110" s="31"/>
      <c r="F110" s="100">
        <v>3.1947483588621446</v>
      </c>
      <c r="G110" s="45"/>
      <c r="H110" s="48">
        <v>4219</v>
      </c>
      <c r="I110" s="31">
        <f t="shared" si="6"/>
        <v>28.126666666666665</v>
      </c>
      <c r="L110" s="32">
        <f t="shared" si="7"/>
        <v>28.126666666666665</v>
      </c>
      <c r="M110" s="31">
        <v>4.8563194945228521</v>
      </c>
      <c r="N110" s="24"/>
      <c r="O110" s="32">
        <v>1872</v>
      </c>
      <c r="P110" s="32">
        <v>195.64</v>
      </c>
      <c r="Q110" s="33">
        <v>3030</v>
      </c>
      <c r="R110" s="45"/>
      <c r="S110" s="101" t="s">
        <v>128</v>
      </c>
      <c r="T110" s="48">
        <f>1+T98</f>
        <v>1832</v>
      </c>
      <c r="U110" s="3">
        <v>5.5</v>
      </c>
      <c r="V110" s="24"/>
      <c r="W110" s="24"/>
      <c r="X110" s="24"/>
      <c r="Y110" s="24"/>
      <c r="Z110" s="24"/>
      <c r="AA110" s="24"/>
      <c r="AB110" s="54">
        <v>1872</v>
      </c>
      <c r="AC110" s="98">
        <v>0.12</v>
      </c>
      <c r="AD110" s="98">
        <v>11.84</v>
      </c>
      <c r="AE110" s="98">
        <f t="shared" si="8"/>
        <v>40.940525587828489</v>
      </c>
      <c r="AF110" s="98">
        <f t="shared" si="9"/>
        <v>0.29310810810810811</v>
      </c>
      <c r="AG110" s="98"/>
      <c r="AH110" s="98"/>
      <c r="AI110" s="98"/>
      <c r="AJ110" s="103"/>
      <c r="AK110" s="24"/>
      <c r="AL110" s="104"/>
      <c r="AM110" s="24"/>
      <c r="AN110" s="24"/>
      <c r="AO110" s="24"/>
    </row>
    <row r="111" spans="1:41">
      <c r="A111" s="3">
        <v>1873</v>
      </c>
      <c r="B111" s="3">
        <v>14.4</v>
      </c>
      <c r="C111" s="38">
        <f t="shared" si="10"/>
        <v>3.1509846827133479</v>
      </c>
      <c r="E111" s="31"/>
      <c r="F111" s="100">
        <v>3.1509846827133479</v>
      </c>
      <c r="G111" s="45"/>
      <c r="H111" s="48">
        <v>3774</v>
      </c>
      <c r="I111" s="31">
        <f t="shared" si="6"/>
        <v>25.16</v>
      </c>
      <c r="L111" s="32">
        <f t="shared" si="7"/>
        <v>25.16</v>
      </c>
      <c r="M111" s="31">
        <v>4.3440980735551662</v>
      </c>
      <c r="N111" s="24"/>
      <c r="O111" s="32">
        <v>1873</v>
      </c>
      <c r="P111" s="32">
        <v>202.49</v>
      </c>
      <c r="Q111" s="33">
        <v>3200.3</v>
      </c>
      <c r="R111" s="45"/>
      <c r="S111" s="3" t="s">
        <v>117</v>
      </c>
      <c r="T111" s="3" t="s">
        <v>117</v>
      </c>
      <c r="U111" s="3">
        <v>6.1</v>
      </c>
      <c r="V111" s="24"/>
      <c r="W111" s="24"/>
      <c r="X111" s="24"/>
      <c r="Y111" s="24"/>
      <c r="Z111" s="24"/>
      <c r="AA111" s="24"/>
      <c r="AB111" s="54">
        <v>1873</v>
      </c>
      <c r="AC111" s="98">
        <v>0.12</v>
      </c>
      <c r="AD111" s="98">
        <v>11.6</v>
      </c>
      <c r="AE111" s="98">
        <f t="shared" si="8"/>
        <v>40.110650069156293</v>
      </c>
      <c r="AF111" s="98">
        <f t="shared" si="9"/>
        <v>0.29917241379310344</v>
      </c>
      <c r="AG111" s="98"/>
      <c r="AH111" s="98"/>
      <c r="AI111" s="98"/>
      <c r="AJ111" s="103"/>
      <c r="AK111" s="24"/>
      <c r="AL111" s="104"/>
      <c r="AM111" s="24"/>
      <c r="AN111" s="24"/>
      <c r="AO111" s="24"/>
    </row>
    <row r="112" spans="1:41">
      <c r="A112" s="3">
        <v>1874</v>
      </c>
      <c r="B112" s="3">
        <v>13.9</v>
      </c>
      <c r="C112" s="38">
        <f t="shared" si="10"/>
        <v>3.0415754923413565</v>
      </c>
      <c r="E112" s="31"/>
      <c r="F112" s="100">
        <v>3.0415754923413565</v>
      </c>
      <c r="G112" s="45"/>
      <c r="H112" s="48">
        <v>2951</v>
      </c>
      <c r="I112" s="31">
        <f t="shared" si="6"/>
        <v>19.673333333333332</v>
      </c>
      <c r="L112" s="32">
        <f t="shared" si="7"/>
        <v>19.673333333333332</v>
      </c>
      <c r="M112" s="31">
        <v>3.3967762096081859</v>
      </c>
      <c r="N112" s="24"/>
      <c r="O112" s="32">
        <v>1874</v>
      </c>
      <c r="P112" s="32">
        <v>190.9</v>
      </c>
      <c r="Q112" s="33">
        <v>3170.2</v>
      </c>
      <c r="R112" s="45"/>
      <c r="S112" s="3" t="s">
        <v>118</v>
      </c>
      <c r="T112" s="3" t="s">
        <v>118</v>
      </c>
      <c r="U112" s="3">
        <v>5.0999999999999996</v>
      </c>
      <c r="V112" s="24"/>
      <c r="W112" s="24">
        <v>15.8</v>
      </c>
      <c r="X112" s="24"/>
      <c r="Y112" s="24"/>
      <c r="Z112" s="24"/>
      <c r="AA112" s="24"/>
      <c r="AB112" s="54">
        <v>1874</v>
      </c>
      <c r="AC112" s="98">
        <v>0.12</v>
      </c>
      <c r="AD112" s="98">
        <v>11.04</v>
      </c>
      <c r="AE112" s="98">
        <f t="shared" si="8"/>
        <v>38.174273858921161</v>
      </c>
      <c r="AF112" s="98">
        <f t="shared" si="9"/>
        <v>0.31434782608695655</v>
      </c>
      <c r="AG112" s="98"/>
      <c r="AH112" s="98"/>
      <c r="AI112" s="98"/>
      <c r="AJ112" s="103"/>
      <c r="AK112" s="24"/>
      <c r="AL112" s="104"/>
      <c r="AM112" s="24"/>
      <c r="AN112" s="24"/>
      <c r="AO112" s="24"/>
    </row>
    <row r="113" spans="1:41">
      <c r="A113" s="3">
        <v>1875</v>
      </c>
      <c r="B113" s="3">
        <v>13.5</v>
      </c>
      <c r="C113" s="38">
        <f t="shared" si="10"/>
        <v>2.9540481400437635</v>
      </c>
      <c r="E113" s="31"/>
      <c r="F113" s="100">
        <v>2.9540481400437635</v>
      </c>
      <c r="G113" s="45"/>
      <c r="H113" s="48">
        <v>2548</v>
      </c>
      <c r="I113" s="31">
        <f t="shared" si="6"/>
        <v>16.986666666666668</v>
      </c>
      <c r="L113" s="32">
        <f t="shared" si="7"/>
        <v>16.986666666666668</v>
      </c>
      <c r="M113" s="31">
        <v>2.9328992823048656</v>
      </c>
      <c r="N113" s="24"/>
      <c r="O113" s="32">
        <v>1875</v>
      </c>
      <c r="P113" s="32">
        <v>179.38</v>
      </c>
      <c r="Q113" s="33">
        <v>3090.61</v>
      </c>
      <c r="R113" s="45"/>
      <c r="S113" s="3" t="s">
        <v>119</v>
      </c>
      <c r="T113" s="3" t="s">
        <v>119</v>
      </c>
      <c r="U113" s="3">
        <v>3</v>
      </c>
      <c r="V113" s="24"/>
      <c r="W113" s="24"/>
      <c r="X113" s="24"/>
      <c r="Y113" s="24"/>
      <c r="Z113" s="24"/>
      <c r="AA113" s="24"/>
      <c r="AB113" s="54">
        <v>1875</v>
      </c>
      <c r="AC113" s="98">
        <v>0.12</v>
      </c>
      <c r="AD113" s="98">
        <v>10.64</v>
      </c>
      <c r="AE113" s="98">
        <f t="shared" si="8"/>
        <v>36.791147994467494</v>
      </c>
      <c r="AF113" s="98">
        <f t="shared" si="9"/>
        <v>0.3261654135338346</v>
      </c>
      <c r="AG113" s="98"/>
      <c r="AH113" s="98"/>
      <c r="AI113" s="98"/>
      <c r="AJ113" s="103"/>
      <c r="AK113" s="24"/>
      <c r="AL113" s="104"/>
      <c r="AM113" s="24"/>
      <c r="AN113" s="24"/>
      <c r="AO113" s="24"/>
    </row>
    <row r="114" spans="1:41">
      <c r="A114" s="3">
        <v>1876</v>
      </c>
      <c r="B114" s="3">
        <v>13.4</v>
      </c>
      <c r="C114" s="38">
        <f t="shared" si="10"/>
        <v>2.9321663019693656</v>
      </c>
      <c r="E114" s="31"/>
      <c r="F114" s="100">
        <v>2.9321663019693656</v>
      </c>
      <c r="G114" s="45"/>
      <c r="H114" s="48">
        <v>2668</v>
      </c>
      <c r="I114" s="31">
        <f t="shared" si="6"/>
        <v>17.786666666666665</v>
      </c>
      <c r="L114" s="32">
        <f t="shared" si="7"/>
        <v>17.786666666666665</v>
      </c>
      <c r="M114" s="31">
        <v>3.0710264070601965</v>
      </c>
      <c r="N114" s="24"/>
      <c r="O114" s="32">
        <v>1876</v>
      </c>
      <c r="P114" s="32">
        <v>178.82</v>
      </c>
      <c r="Q114" s="33">
        <v>3151.56</v>
      </c>
      <c r="R114" s="45"/>
      <c r="S114" s="3" t="s">
        <v>120</v>
      </c>
      <c r="T114" s="3" t="s">
        <v>120</v>
      </c>
      <c r="U114" s="3">
        <v>3.4</v>
      </c>
      <c r="V114" s="24"/>
      <c r="W114" s="24"/>
      <c r="X114" s="24"/>
      <c r="Y114" s="24"/>
      <c r="Z114" s="24"/>
      <c r="AA114" s="24"/>
      <c r="AB114" s="54">
        <v>1876</v>
      </c>
      <c r="AC114" s="98">
        <v>0.11</v>
      </c>
      <c r="AD114" s="98">
        <v>10.39</v>
      </c>
      <c r="AE114" s="98">
        <f t="shared" si="8"/>
        <v>35.926694329183952</v>
      </c>
      <c r="AF114" s="98">
        <f t="shared" si="9"/>
        <v>0.30617901828681426</v>
      </c>
      <c r="AG114" s="98"/>
      <c r="AH114" s="98"/>
      <c r="AI114" s="98"/>
      <c r="AJ114" s="103"/>
      <c r="AK114" s="24"/>
      <c r="AL114" s="104"/>
      <c r="AM114" s="24"/>
      <c r="AN114" s="24"/>
      <c r="AO114" s="24"/>
    </row>
    <row r="115" spans="1:41">
      <c r="A115" s="3">
        <v>1877</v>
      </c>
      <c r="B115" s="3">
        <v>14.6</v>
      </c>
      <c r="C115" s="38">
        <f t="shared" si="10"/>
        <v>3.1947483588621446</v>
      </c>
      <c r="E115" s="31"/>
      <c r="F115" s="100">
        <v>3.1947483588621446</v>
      </c>
      <c r="G115" s="45"/>
      <c r="H115" s="48">
        <v>3016</v>
      </c>
      <c r="I115" s="31">
        <f t="shared" si="6"/>
        <v>20.106666666666666</v>
      </c>
      <c r="L115" s="32">
        <f t="shared" si="7"/>
        <v>20.106666666666666</v>
      </c>
      <c r="M115" s="31">
        <v>3.4715950688506569</v>
      </c>
      <c r="N115" s="24"/>
      <c r="O115" s="32">
        <v>1877</v>
      </c>
      <c r="P115" s="32">
        <v>179.77</v>
      </c>
      <c r="Q115" s="33">
        <v>3242.69</v>
      </c>
      <c r="R115" s="45"/>
      <c r="S115" s="3" t="s">
        <v>121</v>
      </c>
      <c r="T115" s="3" t="s">
        <v>121</v>
      </c>
      <c r="U115" s="3">
        <v>4.0999999999999996</v>
      </c>
      <c r="V115" s="24"/>
      <c r="W115" s="24"/>
      <c r="X115" s="24"/>
      <c r="Y115" s="24"/>
      <c r="Z115" s="24"/>
      <c r="AA115" s="24"/>
      <c r="AB115" s="54">
        <v>1877</v>
      </c>
      <c r="AC115" s="98">
        <v>0.11</v>
      </c>
      <c r="AD115" s="98">
        <v>10.15</v>
      </c>
      <c r="AE115" s="98">
        <f t="shared" si="8"/>
        <v>35.096818810511756</v>
      </c>
      <c r="AF115" s="98">
        <f t="shared" si="9"/>
        <v>0.31341871921182268</v>
      </c>
      <c r="AG115" s="98"/>
      <c r="AH115" s="98"/>
      <c r="AI115" s="98"/>
      <c r="AJ115" s="103"/>
      <c r="AK115" s="24"/>
      <c r="AL115" s="104"/>
      <c r="AM115" s="24"/>
      <c r="AN115" s="24"/>
      <c r="AO115" s="24"/>
    </row>
    <row r="116" spans="1:41">
      <c r="A116" s="3">
        <v>1878</v>
      </c>
      <c r="B116" s="3">
        <v>15.5</v>
      </c>
      <c r="C116" s="38">
        <f t="shared" si="10"/>
        <v>3.3916849015317285</v>
      </c>
      <c r="E116" s="31"/>
      <c r="F116" s="100">
        <v>3.3916849015317285</v>
      </c>
      <c r="G116" s="45"/>
      <c r="H116" s="48">
        <v>3832</v>
      </c>
      <c r="I116" s="31">
        <f t="shared" si="6"/>
        <v>25.546666666666667</v>
      </c>
      <c r="L116" s="32">
        <f t="shared" si="7"/>
        <v>25.546666666666667</v>
      </c>
      <c r="M116" s="31">
        <v>4.4108595171869096</v>
      </c>
      <c r="N116" s="24"/>
      <c r="O116" s="32">
        <v>1878</v>
      </c>
      <c r="P116" s="32">
        <v>173.41</v>
      </c>
      <c r="Q116" s="33">
        <v>3283.23</v>
      </c>
      <c r="R116" s="45"/>
      <c r="S116" s="3" t="s">
        <v>122</v>
      </c>
      <c r="T116" s="3" t="s">
        <v>122</v>
      </c>
      <c r="U116" s="3">
        <v>3.1</v>
      </c>
      <c r="V116" s="24"/>
      <c r="W116" s="24"/>
      <c r="X116" s="24"/>
      <c r="Y116" s="24"/>
      <c r="Z116" s="24"/>
      <c r="AA116" s="24"/>
      <c r="AB116" s="54">
        <v>1878</v>
      </c>
      <c r="AC116" s="98">
        <v>0.11</v>
      </c>
      <c r="AD116" s="98">
        <v>9.67</v>
      </c>
      <c r="AE116" s="98">
        <f t="shared" si="8"/>
        <v>33.437067773167357</v>
      </c>
      <c r="AF116" s="98">
        <f t="shared" si="9"/>
        <v>0.32897621509824199</v>
      </c>
      <c r="AG116" s="98"/>
      <c r="AH116" s="98"/>
      <c r="AI116" s="98"/>
      <c r="AJ116" s="103"/>
      <c r="AK116" s="24"/>
      <c r="AL116" s="104"/>
      <c r="AM116" s="24"/>
      <c r="AN116" s="24"/>
      <c r="AO116" s="24"/>
    </row>
    <row r="117" spans="1:41">
      <c r="A117" s="3">
        <v>1879</v>
      </c>
      <c r="B117" s="3">
        <v>17.5</v>
      </c>
      <c r="C117" s="38">
        <f t="shared" si="10"/>
        <v>3.8293216630196936</v>
      </c>
      <c r="E117" s="31"/>
      <c r="F117" s="100">
        <v>3.8293216630196936</v>
      </c>
      <c r="G117" s="45"/>
      <c r="H117" s="48">
        <v>3554</v>
      </c>
      <c r="I117" s="31">
        <f t="shared" si="6"/>
        <v>23.693333333333332</v>
      </c>
      <c r="L117" s="32">
        <f t="shared" si="7"/>
        <v>23.693333333333332</v>
      </c>
      <c r="M117" s="31">
        <v>4.0908650115037251</v>
      </c>
      <c r="N117" s="24"/>
      <c r="O117" s="32">
        <v>1879</v>
      </c>
      <c r="P117" s="32">
        <v>189.98</v>
      </c>
      <c r="Q117" s="33">
        <v>3595.59</v>
      </c>
      <c r="R117" s="45"/>
      <c r="S117" s="3" t="s">
        <v>123</v>
      </c>
      <c r="T117" s="3" t="s">
        <v>123</v>
      </c>
      <c r="U117" s="3">
        <v>2.7</v>
      </c>
      <c r="V117" s="24"/>
      <c r="W117" s="24"/>
      <c r="X117" s="24"/>
      <c r="Y117" s="24"/>
      <c r="Z117" s="24"/>
      <c r="AA117" s="24"/>
      <c r="AB117" s="54">
        <v>1879</v>
      </c>
      <c r="AC117" s="98">
        <v>0.11</v>
      </c>
      <c r="AD117" s="98">
        <v>9.67</v>
      </c>
      <c r="AE117" s="98">
        <f t="shared" si="8"/>
        <v>33.437067773167357</v>
      </c>
      <c r="AF117" s="98">
        <f t="shared" si="9"/>
        <v>0.32897621509824199</v>
      </c>
      <c r="AG117" s="98"/>
      <c r="AH117" s="98"/>
      <c r="AI117" s="98"/>
      <c r="AJ117" s="103"/>
      <c r="AK117" s="24"/>
      <c r="AL117" s="104"/>
      <c r="AM117" s="24"/>
      <c r="AN117" s="24"/>
      <c r="AO117" s="24"/>
    </row>
    <row r="118" spans="1:41">
      <c r="A118" s="3">
        <v>1880</v>
      </c>
      <c r="B118" s="3">
        <v>20.3</v>
      </c>
      <c r="C118" s="38">
        <f t="shared" si="10"/>
        <v>4.4420131291028451</v>
      </c>
      <c r="E118" s="31"/>
      <c r="F118" s="100">
        <v>4.4420131291028451</v>
      </c>
      <c r="G118" s="45"/>
      <c r="H118" s="48">
        <v>4083</v>
      </c>
      <c r="I118" s="31">
        <f t="shared" si="6"/>
        <v>27.22</v>
      </c>
      <c r="L118" s="32">
        <f t="shared" si="7"/>
        <v>27.22</v>
      </c>
      <c r="M118" s="31">
        <v>4.6997754198001438</v>
      </c>
      <c r="N118" s="24"/>
      <c r="O118" s="32">
        <v>1880</v>
      </c>
      <c r="P118" s="32">
        <v>206.16</v>
      </c>
      <c r="Q118" s="33">
        <v>3816.27</v>
      </c>
      <c r="R118" s="45"/>
      <c r="S118" s="3" t="s">
        <v>124</v>
      </c>
      <c r="T118" s="3" t="s">
        <v>124</v>
      </c>
      <c r="U118" s="3">
        <v>4</v>
      </c>
      <c r="V118" s="24"/>
      <c r="W118" s="24"/>
      <c r="X118" s="24"/>
      <c r="Y118" s="24"/>
      <c r="Z118" s="24"/>
      <c r="AA118" s="24"/>
      <c r="AB118" s="54">
        <v>1880</v>
      </c>
      <c r="AC118" s="98">
        <v>0.11</v>
      </c>
      <c r="AD118" s="98">
        <v>9.91</v>
      </c>
      <c r="AE118" s="98">
        <f t="shared" si="8"/>
        <v>34.266943291839553</v>
      </c>
      <c r="AF118" s="98">
        <f t="shared" si="9"/>
        <v>0.32100908173562065</v>
      </c>
      <c r="AG118" s="98"/>
      <c r="AH118" s="98"/>
      <c r="AI118" s="98"/>
      <c r="AJ118" s="103"/>
      <c r="AK118" s="24"/>
      <c r="AL118" s="104"/>
      <c r="AM118" s="24"/>
      <c r="AN118" s="24"/>
      <c r="AO118" s="24"/>
    </row>
    <row r="119" spans="1:41">
      <c r="A119" s="3">
        <v>1881</v>
      </c>
      <c r="B119" s="3">
        <v>22.3</v>
      </c>
      <c r="C119" s="38">
        <f t="shared" si="10"/>
        <v>4.8796498905908097</v>
      </c>
      <c r="E119" s="31"/>
      <c r="F119" s="100">
        <v>4.8796498905908097</v>
      </c>
      <c r="G119" s="45"/>
      <c r="H119" s="48">
        <v>7558</v>
      </c>
      <c r="I119" s="31">
        <f t="shared" si="6"/>
        <v>50.386666666666663</v>
      </c>
      <c r="L119" s="32">
        <f t="shared" si="7"/>
        <v>50.386666666666663</v>
      </c>
      <c r="M119" s="31">
        <v>8.6997067408399413</v>
      </c>
      <c r="N119" s="24"/>
      <c r="O119" s="32">
        <v>1881</v>
      </c>
      <c r="P119" s="32">
        <v>225.93</v>
      </c>
      <c r="Q119" s="33">
        <v>4193.03</v>
      </c>
      <c r="R119" s="45"/>
      <c r="S119" s="3" t="s">
        <v>125</v>
      </c>
      <c r="T119" s="3" t="s">
        <v>125</v>
      </c>
      <c r="U119" s="3">
        <v>3.6</v>
      </c>
      <c r="V119" s="24"/>
      <c r="W119" s="24"/>
      <c r="X119" s="24"/>
      <c r="Y119" s="24"/>
      <c r="Z119" s="24"/>
      <c r="AA119" s="24"/>
      <c r="AB119" s="54">
        <v>1881</v>
      </c>
      <c r="AC119" s="98">
        <v>0.11</v>
      </c>
      <c r="AD119" s="98">
        <v>9.91</v>
      </c>
      <c r="AE119" s="98">
        <f t="shared" si="8"/>
        <v>34.266943291839553</v>
      </c>
      <c r="AF119" s="98">
        <f t="shared" si="9"/>
        <v>0.32100908173562065</v>
      </c>
      <c r="AG119" s="98"/>
      <c r="AH119" s="98"/>
      <c r="AI119" s="98"/>
      <c r="AJ119" s="103"/>
      <c r="AK119" s="24"/>
      <c r="AL119" s="104"/>
      <c r="AM119" s="24"/>
      <c r="AN119" s="24"/>
      <c r="AO119" s="24"/>
    </row>
    <row r="120" spans="1:41">
      <c r="A120" s="3">
        <v>1882</v>
      </c>
      <c r="B120" s="3">
        <v>23.9</v>
      </c>
      <c r="C120" s="38">
        <f t="shared" si="10"/>
        <v>5.2297592997811817</v>
      </c>
      <c r="E120" s="31"/>
      <c r="F120" s="100">
        <v>5.2297592997811817</v>
      </c>
      <c r="G120" s="45"/>
      <c r="H120" s="48">
        <v>7378</v>
      </c>
      <c r="I120" s="31">
        <f t="shared" si="6"/>
        <v>49.186666666666667</v>
      </c>
      <c r="L120" s="32">
        <f t="shared" si="7"/>
        <v>49.186666666666667</v>
      </c>
      <c r="M120" s="31">
        <v>8.4925160537069466</v>
      </c>
      <c r="N120" s="24"/>
      <c r="O120" s="32">
        <v>1882</v>
      </c>
      <c r="P120" s="32">
        <v>230.91</v>
      </c>
      <c r="Q120" s="33">
        <v>4296.41</v>
      </c>
      <c r="R120" s="45"/>
      <c r="S120" s="3" t="s">
        <v>126</v>
      </c>
      <c r="T120" s="3" t="s">
        <v>126</v>
      </c>
      <c r="U120" s="3">
        <v>5.9</v>
      </c>
      <c r="V120" s="24"/>
      <c r="W120" s="24"/>
      <c r="X120" s="24"/>
      <c r="Y120" s="24"/>
      <c r="Z120" s="24"/>
      <c r="AA120" s="24"/>
      <c r="AB120" s="54">
        <v>1882</v>
      </c>
      <c r="AC120" s="98">
        <v>0.11</v>
      </c>
      <c r="AD120" s="98">
        <v>9.91</v>
      </c>
      <c r="AE120" s="98">
        <f t="shared" si="8"/>
        <v>34.266943291839553</v>
      </c>
      <c r="AF120" s="98">
        <f t="shared" si="9"/>
        <v>0.32100908173562065</v>
      </c>
      <c r="AG120" s="98"/>
      <c r="AH120" s="98"/>
      <c r="AI120" s="98"/>
      <c r="AJ120" s="103"/>
      <c r="AK120" s="24"/>
      <c r="AL120" s="104"/>
      <c r="AM120" s="24"/>
      <c r="AN120" s="24"/>
      <c r="AO120" s="24"/>
    </row>
    <row r="121" spans="1:41">
      <c r="A121" s="3">
        <v>1883</v>
      </c>
      <c r="B121" s="3">
        <v>24.4</v>
      </c>
      <c r="C121" s="38">
        <f t="shared" si="10"/>
        <v>5.3391684901531731</v>
      </c>
      <c r="E121" s="31"/>
      <c r="F121" s="100">
        <v>5.3391684901531731</v>
      </c>
      <c r="G121" s="45"/>
      <c r="H121" s="48">
        <v>6156</v>
      </c>
      <c r="I121" s="31">
        <f t="shared" si="6"/>
        <v>41.04</v>
      </c>
      <c r="L121" s="32">
        <f t="shared" si="7"/>
        <v>41.04</v>
      </c>
      <c r="M121" s="31">
        <v>7.0859214999484905</v>
      </c>
      <c r="N121" s="24"/>
      <c r="O121" s="32">
        <v>1883</v>
      </c>
      <c r="P121" s="32">
        <v>226.25</v>
      </c>
      <c r="Q121" s="33">
        <v>4290.16</v>
      </c>
      <c r="R121" s="45"/>
      <c r="S121" s="3" t="s">
        <v>127</v>
      </c>
      <c r="T121" s="3" t="s">
        <v>127</v>
      </c>
      <c r="U121" s="3">
        <v>4.3</v>
      </c>
      <c r="V121" s="24"/>
      <c r="W121" s="24"/>
      <c r="X121" s="24"/>
      <c r="Y121" s="24"/>
      <c r="Z121" s="24"/>
      <c r="AA121" s="24"/>
      <c r="AB121" s="54">
        <v>1883</v>
      </c>
      <c r="AC121" s="98">
        <v>0.11</v>
      </c>
      <c r="AD121" s="98">
        <v>9.7100000000000009</v>
      </c>
      <c r="AE121" s="98">
        <f t="shared" si="8"/>
        <v>33.57538035961273</v>
      </c>
      <c r="AF121" s="98">
        <f t="shared" si="9"/>
        <v>0.327621009268795</v>
      </c>
      <c r="AG121" s="98"/>
      <c r="AH121" s="98"/>
      <c r="AI121" s="98"/>
      <c r="AJ121" s="103"/>
      <c r="AK121" s="24"/>
      <c r="AL121" s="104"/>
      <c r="AM121" s="24"/>
      <c r="AN121" s="24"/>
      <c r="AO121" s="24"/>
    </row>
    <row r="122" spans="1:41">
      <c r="A122" s="3">
        <v>1884</v>
      </c>
      <c r="B122" s="3">
        <v>23.1</v>
      </c>
      <c r="C122" s="38">
        <f t="shared" si="10"/>
        <v>5.0547045951859957</v>
      </c>
      <c r="E122" s="31"/>
      <c r="F122" s="100">
        <v>5.0547045951859957</v>
      </c>
      <c r="G122" s="45"/>
      <c r="H122" s="48">
        <v>5741</v>
      </c>
      <c r="I122" s="31">
        <f t="shared" si="6"/>
        <v>38.273333333333333</v>
      </c>
      <c r="L122" s="32">
        <f t="shared" si="7"/>
        <v>38.273333333333333</v>
      </c>
      <c r="M122" s="31">
        <v>6.6082318601696368</v>
      </c>
      <c r="N122" s="24"/>
      <c r="O122" s="32">
        <v>1884</v>
      </c>
      <c r="P122" s="32">
        <v>211.05</v>
      </c>
      <c r="Q122" s="33">
        <v>4114.3</v>
      </c>
      <c r="R122" s="45"/>
      <c r="S122" s="101" t="s">
        <v>129</v>
      </c>
      <c r="T122" s="48">
        <f>1+T110</f>
        <v>1833</v>
      </c>
      <c r="U122" s="3">
        <v>5.0999999999999996</v>
      </c>
      <c r="V122" s="24"/>
      <c r="W122" s="24">
        <v>23.9</v>
      </c>
      <c r="X122" s="24"/>
      <c r="Y122" s="24"/>
      <c r="Z122" s="24"/>
      <c r="AA122" s="24"/>
      <c r="AB122" s="54">
        <v>1884</v>
      </c>
      <c r="AC122" s="98">
        <v>0.12</v>
      </c>
      <c r="AD122" s="98">
        <v>9.51</v>
      </c>
      <c r="AE122" s="98">
        <f t="shared" si="8"/>
        <v>32.883817427385893</v>
      </c>
      <c r="AF122" s="98">
        <f t="shared" si="9"/>
        <v>0.36492113564668771</v>
      </c>
      <c r="AG122" s="98"/>
      <c r="AH122" s="98"/>
      <c r="AI122" s="98"/>
      <c r="AJ122" s="103"/>
      <c r="AK122" s="24"/>
      <c r="AL122" s="104"/>
      <c r="AM122" s="24"/>
      <c r="AN122" s="24"/>
      <c r="AO122" s="24"/>
    </row>
    <row r="123" spans="1:41">
      <c r="A123" s="3">
        <v>1885</v>
      </c>
      <c r="B123" s="3">
        <v>23.2</v>
      </c>
      <c r="C123" s="38">
        <f t="shared" si="10"/>
        <v>5.0765864332603936</v>
      </c>
      <c r="E123" s="31"/>
      <c r="F123" s="100">
        <v>5.0765864332603936</v>
      </c>
      <c r="G123" s="45"/>
      <c r="H123" s="48">
        <v>4627</v>
      </c>
      <c r="I123" s="31">
        <f t="shared" si="6"/>
        <v>30.846666666666668</v>
      </c>
      <c r="L123" s="32">
        <f t="shared" si="7"/>
        <v>30.846666666666668</v>
      </c>
      <c r="M123" s="31">
        <v>5.3259517186909795</v>
      </c>
      <c r="N123" s="24"/>
      <c r="O123" s="32">
        <v>1885</v>
      </c>
      <c r="P123" s="32">
        <v>202.92</v>
      </c>
      <c r="Q123" s="33">
        <v>4034.45</v>
      </c>
      <c r="R123" s="45"/>
      <c r="S123" s="3" t="s">
        <v>117</v>
      </c>
      <c r="T123" s="3" t="s">
        <v>117</v>
      </c>
      <c r="U123" s="3">
        <v>2.5</v>
      </c>
      <c r="V123" s="24"/>
      <c r="W123" s="24"/>
      <c r="X123" s="24"/>
      <c r="Y123" s="24"/>
      <c r="Z123" s="24"/>
      <c r="AA123" s="24"/>
      <c r="AB123" s="54">
        <v>1885</v>
      </c>
      <c r="AC123" s="98">
        <v>0.12</v>
      </c>
      <c r="AD123" s="98">
        <v>9.32</v>
      </c>
      <c r="AE123" s="98">
        <f t="shared" si="8"/>
        <v>32.2268326417704</v>
      </c>
      <c r="AF123" s="98">
        <f t="shared" si="9"/>
        <v>0.37236051502145923</v>
      </c>
      <c r="AG123" s="98"/>
      <c r="AH123" s="98"/>
      <c r="AI123" s="98"/>
      <c r="AJ123" s="103"/>
      <c r="AK123" s="24"/>
      <c r="AL123" s="104"/>
      <c r="AM123" s="24"/>
      <c r="AN123" s="24"/>
      <c r="AO123" s="24"/>
    </row>
    <row r="124" spans="1:41">
      <c r="A124" s="3">
        <v>1886</v>
      </c>
      <c r="B124" s="3">
        <v>27.9</v>
      </c>
      <c r="C124" s="38">
        <f t="shared" si="10"/>
        <v>6.1050328227571118</v>
      </c>
      <c r="E124" s="31"/>
      <c r="F124" s="100">
        <v>6.1050328227571118</v>
      </c>
      <c r="G124" s="45"/>
      <c r="H124" s="3">
        <v>4617</v>
      </c>
      <c r="I124" s="31">
        <f t="shared" si="6"/>
        <v>30.78</v>
      </c>
      <c r="L124" s="32">
        <f t="shared" si="7"/>
        <v>30.78</v>
      </c>
      <c r="M124" s="31">
        <v>5.3144411249613679</v>
      </c>
      <c r="N124" s="24"/>
      <c r="O124" s="32">
        <v>1886</v>
      </c>
      <c r="P124" s="32">
        <v>209.07</v>
      </c>
      <c r="Q124" s="33">
        <v>4277.96</v>
      </c>
      <c r="R124" s="45"/>
      <c r="S124" s="3" t="s">
        <v>118</v>
      </c>
      <c r="T124" s="3" t="s">
        <v>118</v>
      </c>
      <c r="U124" s="3">
        <v>2.2000000000000002</v>
      </c>
      <c r="V124" s="24"/>
      <c r="W124" s="24"/>
      <c r="X124" s="24"/>
      <c r="Y124" s="24"/>
      <c r="Z124" s="24"/>
      <c r="AA124" s="24"/>
      <c r="AB124" s="54">
        <v>1886</v>
      </c>
      <c r="AC124" s="98">
        <v>0.12</v>
      </c>
      <c r="AD124" s="98">
        <v>9.1199999999999992</v>
      </c>
      <c r="AE124" s="98">
        <f t="shared" si="8"/>
        <v>31.535269709543563</v>
      </c>
      <c r="AF124" s="98">
        <f t="shared" si="9"/>
        <v>0.38052631578947377</v>
      </c>
      <c r="AG124" s="98"/>
      <c r="AH124" s="98"/>
      <c r="AI124" s="98"/>
      <c r="AJ124" s="103"/>
      <c r="AK124" s="24"/>
      <c r="AL124" s="104"/>
      <c r="AM124" s="24"/>
      <c r="AN124" s="24"/>
      <c r="AO124" s="24"/>
    </row>
    <row r="125" spans="1:41">
      <c r="A125" s="3">
        <v>1887</v>
      </c>
      <c r="B125" s="3">
        <v>29.5</v>
      </c>
      <c r="C125" s="38">
        <f t="shared" si="10"/>
        <v>6.4551422319474838</v>
      </c>
      <c r="E125" s="31"/>
      <c r="F125" s="100">
        <v>6.4551422319474838</v>
      </c>
      <c r="G125" s="45"/>
      <c r="H125" s="48">
        <v>7882</v>
      </c>
      <c r="I125" s="31">
        <f t="shared" si="6"/>
        <v>52.546666666666667</v>
      </c>
      <c r="L125" s="32">
        <f t="shared" si="7"/>
        <v>52.546666666666667</v>
      </c>
      <c r="M125" s="31">
        <v>9.0726499776793386</v>
      </c>
      <c r="N125" s="24"/>
      <c r="O125" s="29">
        <v>1887</v>
      </c>
      <c r="P125" s="29">
        <v>221.48</v>
      </c>
      <c r="Q125" s="30">
        <v>4503.7700000000004</v>
      </c>
      <c r="R125" s="45"/>
      <c r="S125" s="3" t="s">
        <v>119</v>
      </c>
      <c r="T125" s="3" t="s">
        <v>119</v>
      </c>
      <c r="U125" s="3">
        <v>3.3</v>
      </c>
      <c r="V125" s="24"/>
      <c r="W125" s="24"/>
      <c r="X125" s="24"/>
      <c r="Y125" s="24"/>
      <c r="Z125" s="24"/>
      <c r="AA125" s="24"/>
      <c r="AB125" s="54">
        <v>1887</v>
      </c>
      <c r="AC125" s="98">
        <v>0.13</v>
      </c>
      <c r="AD125" s="98">
        <v>9.2200000000000006</v>
      </c>
      <c r="AE125" s="98">
        <f t="shared" si="8"/>
        <v>31.881051175656985</v>
      </c>
      <c r="AF125" s="98">
        <f t="shared" si="9"/>
        <v>0.40776572668112798</v>
      </c>
      <c r="AG125" s="98"/>
      <c r="AH125" s="98"/>
      <c r="AI125" s="98"/>
      <c r="AJ125" s="103"/>
      <c r="AK125" s="24"/>
      <c r="AL125" s="104"/>
      <c r="AM125" s="24"/>
      <c r="AN125" s="24"/>
      <c r="AO125" s="24"/>
    </row>
    <row r="126" spans="1:41">
      <c r="A126" s="3">
        <v>1888</v>
      </c>
      <c r="B126" s="3">
        <v>30.6</v>
      </c>
      <c r="C126" s="38">
        <f t="shared" si="10"/>
        <v>6.6958424507658645</v>
      </c>
      <c r="E126" s="31"/>
      <c r="F126" s="100">
        <v>6.6958424507658645</v>
      </c>
      <c r="G126" s="45"/>
      <c r="H126" s="48">
        <v>7810</v>
      </c>
      <c r="I126" s="31">
        <f t="shared" si="6"/>
        <v>52.06666666666667</v>
      </c>
      <c r="L126" s="32">
        <f t="shared" si="7"/>
        <v>52.06666666666667</v>
      </c>
      <c r="M126" s="31">
        <v>8.9897737028261382</v>
      </c>
      <c r="N126" s="24"/>
      <c r="O126" s="29">
        <v>1888</v>
      </c>
      <c r="P126" s="29">
        <v>228.76</v>
      </c>
      <c r="Q126" s="30">
        <v>4663.95</v>
      </c>
      <c r="R126" s="45"/>
      <c r="S126" s="3" t="s">
        <v>120</v>
      </c>
      <c r="T126" s="3" t="s">
        <v>120</v>
      </c>
      <c r="U126" s="3">
        <v>3.6</v>
      </c>
      <c r="V126" s="24"/>
      <c r="W126" s="24"/>
      <c r="X126" s="24"/>
      <c r="Y126" s="24"/>
      <c r="Z126" s="24"/>
      <c r="AA126" s="24"/>
      <c r="AB126" s="54">
        <v>1888</v>
      </c>
      <c r="AC126" s="98">
        <v>0.13</v>
      </c>
      <c r="AD126" s="98">
        <v>9.2200000000000006</v>
      </c>
      <c r="AE126" s="98">
        <f t="shared" si="8"/>
        <v>31.881051175656985</v>
      </c>
      <c r="AF126" s="98">
        <f t="shared" si="9"/>
        <v>0.40776572668112798</v>
      </c>
      <c r="AG126" s="98"/>
      <c r="AH126" s="98"/>
      <c r="AI126" s="98"/>
      <c r="AJ126" s="103"/>
      <c r="AK126" s="24"/>
      <c r="AL126" s="104"/>
      <c r="AM126" s="24"/>
      <c r="AN126" s="104"/>
      <c r="AO126" s="24"/>
    </row>
    <row r="127" spans="1:41" ht="13">
      <c r="A127" s="3">
        <v>1889</v>
      </c>
      <c r="B127" s="3">
        <v>32.6</v>
      </c>
      <c r="C127" s="38">
        <f t="shared" si="10"/>
        <v>7.1334792122538291</v>
      </c>
      <c r="E127" s="31"/>
      <c r="F127" s="100">
        <v>7.1334792122538291</v>
      </c>
      <c r="G127" s="45"/>
      <c r="H127" s="48">
        <v>8324</v>
      </c>
      <c r="I127" s="31">
        <f t="shared" si="6"/>
        <v>55.493333333333332</v>
      </c>
      <c r="L127" s="32">
        <f t="shared" si="7"/>
        <v>55.493333333333332</v>
      </c>
      <c r="M127" s="31">
        <v>9.5814182205281408</v>
      </c>
      <c r="N127" s="24"/>
      <c r="O127" s="34">
        <v>1889</v>
      </c>
      <c r="P127" s="35">
        <v>223.82</v>
      </c>
      <c r="Q127" s="30">
        <v>4698.82</v>
      </c>
      <c r="R127" s="45"/>
      <c r="S127" s="3" t="s">
        <v>121</v>
      </c>
      <c r="T127" s="3" t="s">
        <v>121</v>
      </c>
      <c r="U127" s="3">
        <v>3.5</v>
      </c>
      <c r="V127" s="24"/>
      <c r="W127" s="24">
        <v>22.2</v>
      </c>
      <c r="X127" s="24"/>
      <c r="Y127" s="24"/>
      <c r="Z127" s="24">
        <f>W127*($Y$188/$W$188)</f>
        <v>22.959427207637233</v>
      </c>
      <c r="AA127" s="24">
        <f>Z127*100/$Z$127</f>
        <v>99.999999999999986</v>
      </c>
      <c r="AB127" s="54">
        <v>1889</v>
      </c>
      <c r="AC127" s="98">
        <v>0.13</v>
      </c>
      <c r="AD127" s="98">
        <v>8.92</v>
      </c>
      <c r="AE127" s="98">
        <f t="shared" si="8"/>
        <v>30.843706777316733</v>
      </c>
      <c r="AF127" s="98">
        <f t="shared" si="9"/>
        <v>0.42147982062780276</v>
      </c>
      <c r="AG127" s="98">
        <f>AF127*100/$AF$127</f>
        <v>99.999999999999986</v>
      </c>
      <c r="AH127" s="98">
        <f t="shared" ref="AH127:AH190" si="11">100*(AG127/AA127)/($AG$127/$AA$127)</f>
        <v>100</v>
      </c>
      <c r="AI127" s="98">
        <v>95.4446317272144</v>
      </c>
      <c r="AJ127" s="103"/>
      <c r="AK127" s="24"/>
      <c r="AL127" s="104"/>
      <c r="AM127" s="24"/>
      <c r="AN127" s="24"/>
      <c r="AO127" s="24"/>
    </row>
    <row r="128" spans="1:41" ht="13">
      <c r="A128" s="3">
        <v>1890</v>
      </c>
      <c r="B128" s="3">
        <v>35</v>
      </c>
      <c r="C128" s="38">
        <f t="shared" si="10"/>
        <v>7.6586433260393871</v>
      </c>
      <c r="E128" s="31"/>
      <c r="F128" s="100">
        <v>7.6586433260393871</v>
      </c>
      <c r="G128" s="45"/>
      <c r="H128" s="48">
        <v>10549</v>
      </c>
      <c r="I128" s="31">
        <f t="shared" si="6"/>
        <v>70.326666666666668</v>
      </c>
      <c r="L128" s="32">
        <f t="shared" si="7"/>
        <v>70.326666666666668</v>
      </c>
      <c r="M128" s="31">
        <v>12.142525325366574</v>
      </c>
      <c r="N128" s="24"/>
      <c r="O128" s="34">
        <v>1890</v>
      </c>
      <c r="P128" s="36">
        <v>239.11</v>
      </c>
      <c r="Q128" s="30">
        <v>5060.21</v>
      </c>
      <c r="R128" s="45"/>
      <c r="S128" s="3" t="s">
        <v>122</v>
      </c>
      <c r="T128" s="3" t="s">
        <v>122</v>
      </c>
      <c r="U128" s="3">
        <v>3.3</v>
      </c>
      <c r="V128" s="24"/>
      <c r="W128" s="24">
        <v>23.9</v>
      </c>
      <c r="X128" s="24"/>
      <c r="Y128" s="24"/>
      <c r="Z128" s="24">
        <f t="shared" ref="Z128:Z187" si="12">W128*($Y$188/$W$188)</f>
        <v>24.717581543357202</v>
      </c>
      <c r="AA128" s="24">
        <f t="shared" ref="AA128:AA191" si="13">Z128*100/$Z$127</f>
        <v>107.65765765765765</v>
      </c>
      <c r="AB128" s="54">
        <v>1890</v>
      </c>
      <c r="AC128" s="98">
        <v>0.13</v>
      </c>
      <c r="AD128" s="98">
        <v>8.82</v>
      </c>
      <c r="AE128" s="98">
        <f t="shared" si="8"/>
        <v>30.497925311203318</v>
      </c>
      <c r="AF128" s="98">
        <f t="shared" si="9"/>
        <v>0.42625850340136057</v>
      </c>
      <c r="AG128" s="98">
        <f t="shared" ref="AG128:AG191" si="14">AF128*100/$AF$127</f>
        <v>101.13378684807255</v>
      </c>
      <c r="AH128" s="98">
        <f t="shared" si="11"/>
        <v>93.940170210343538</v>
      </c>
      <c r="AI128" s="98">
        <v>94.434033227371302</v>
      </c>
      <c r="AJ128" s="103"/>
      <c r="AK128" s="24"/>
      <c r="AL128" s="104">
        <v>4</v>
      </c>
      <c r="AM128" s="24"/>
      <c r="AN128" s="104">
        <f>+AL128</f>
        <v>4</v>
      </c>
      <c r="AO128" s="24"/>
    </row>
    <row r="129" spans="1:41" ht="13">
      <c r="A129" s="3">
        <v>1891</v>
      </c>
      <c r="B129" s="3">
        <v>36</v>
      </c>
      <c r="C129" s="38">
        <f t="shared" si="10"/>
        <v>7.8774617067833699</v>
      </c>
      <c r="E129" s="31"/>
      <c r="F129" s="100">
        <v>7.8774617067833699</v>
      </c>
      <c r="G129" s="45"/>
      <c r="H129" s="48">
        <v>9943</v>
      </c>
      <c r="I129" s="31">
        <f t="shared" si="6"/>
        <v>66.286666666666662</v>
      </c>
      <c r="L129" s="32">
        <f t="shared" si="7"/>
        <v>66.286666666666662</v>
      </c>
      <c r="M129" s="31">
        <v>11.444983345352149</v>
      </c>
      <c r="N129" s="24"/>
      <c r="O129" s="34">
        <v>1891</v>
      </c>
      <c r="P129" s="36">
        <v>239.16</v>
      </c>
      <c r="Q129" s="30">
        <v>5010.71</v>
      </c>
      <c r="R129" s="45"/>
      <c r="S129" s="3" t="s">
        <v>123</v>
      </c>
      <c r="T129" s="3" t="s">
        <v>123</v>
      </c>
      <c r="U129" s="3">
        <v>3.2</v>
      </c>
      <c r="V129" s="24"/>
      <c r="W129" s="24">
        <v>24.3</v>
      </c>
      <c r="X129" s="24"/>
      <c r="Y129" s="24"/>
      <c r="Z129" s="24">
        <f t="shared" si="12"/>
        <v>25.131264916467785</v>
      </c>
      <c r="AA129" s="24">
        <f t="shared" si="13"/>
        <v>109.45945945945947</v>
      </c>
      <c r="AB129" s="54">
        <v>1891</v>
      </c>
      <c r="AC129" s="98">
        <v>0.13</v>
      </c>
      <c r="AD129" s="98">
        <v>8.82</v>
      </c>
      <c r="AE129" s="98">
        <f t="shared" si="8"/>
        <v>30.497925311203318</v>
      </c>
      <c r="AF129" s="98">
        <f t="shared" si="9"/>
        <v>0.42625850340136057</v>
      </c>
      <c r="AG129" s="98">
        <f t="shared" si="14"/>
        <v>101.13378684807255</v>
      </c>
      <c r="AH129" s="98">
        <f t="shared" si="11"/>
        <v>92.393829959967505</v>
      </c>
      <c r="AI129" s="98">
        <v>93.468988410256202</v>
      </c>
      <c r="AJ129" s="103"/>
      <c r="AK129" s="24"/>
      <c r="AL129" s="104">
        <v>5.4</v>
      </c>
      <c r="AM129" s="24"/>
      <c r="AN129" s="104">
        <f t="shared" ref="AN129:AN185" si="15">+AL129</f>
        <v>5.4</v>
      </c>
      <c r="AO129" s="24"/>
    </row>
    <row r="130" spans="1:41" ht="13">
      <c r="A130" s="3">
        <v>1892</v>
      </c>
      <c r="B130" s="3">
        <v>38.799999999999997</v>
      </c>
      <c r="C130" s="38">
        <f t="shared" si="10"/>
        <v>8.4901531728665205</v>
      </c>
      <c r="E130" s="31"/>
      <c r="F130" s="100">
        <v>8.4901531728665205</v>
      </c>
      <c r="G130" s="45"/>
      <c r="H130" s="48">
        <v>9992</v>
      </c>
      <c r="I130" s="31">
        <f t="shared" si="6"/>
        <v>66.61333333333333</v>
      </c>
      <c r="L130" s="32">
        <f t="shared" si="7"/>
        <v>66.61333333333333</v>
      </c>
      <c r="M130" s="31">
        <v>11.501385254627243</v>
      </c>
      <c r="N130" s="24"/>
      <c r="O130" s="34">
        <v>1892</v>
      </c>
      <c r="P130" s="36">
        <v>248.13</v>
      </c>
      <c r="Q130" s="30">
        <v>5147.16</v>
      </c>
      <c r="R130" s="45"/>
      <c r="S130" s="3" t="s">
        <v>124</v>
      </c>
      <c r="T130" s="3" t="s">
        <v>124</v>
      </c>
      <c r="U130" s="3">
        <v>3.7</v>
      </c>
      <c r="V130" s="24"/>
      <c r="W130" s="24">
        <v>26.7</v>
      </c>
      <c r="X130" s="24"/>
      <c r="Y130" s="24"/>
      <c r="Z130" s="24">
        <f t="shared" si="12"/>
        <v>27.61336515513127</v>
      </c>
      <c r="AA130" s="24">
        <f t="shared" si="13"/>
        <v>120.27027027027027</v>
      </c>
      <c r="AB130" s="54">
        <v>1892</v>
      </c>
      <c r="AC130" s="98">
        <v>0.13</v>
      </c>
      <c r="AD130" s="98">
        <v>8.82</v>
      </c>
      <c r="AE130" s="98">
        <f t="shared" si="8"/>
        <v>30.497925311203318</v>
      </c>
      <c r="AF130" s="98">
        <f t="shared" si="9"/>
        <v>0.42625850340136057</v>
      </c>
      <c r="AG130" s="98">
        <f t="shared" si="14"/>
        <v>101.13378684807255</v>
      </c>
      <c r="AH130" s="98">
        <f t="shared" si="11"/>
        <v>84.088766592779422</v>
      </c>
      <c r="AI130" s="98">
        <v>92.590110626323195</v>
      </c>
      <c r="AJ130" s="103"/>
      <c r="AK130" s="24"/>
      <c r="AL130" s="104">
        <v>3</v>
      </c>
      <c r="AM130" s="24"/>
      <c r="AN130" s="104">
        <f t="shared" si="15"/>
        <v>3</v>
      </c>
      <c r="AO130" s="24"/>
    </row>
    <row r="131" spans="1:41" ht="13">
      <c r="A131" s="3">
        <v>1893</v>
      </c>
      <c r="B131" s="3">
        <v>34.700000000000003</v>
      </c>
      <c r="C131" s="38">
        <f t="shared" si="10"/>
        <v>7.5929978118161934</v>
      </c>
      <c r="E131" s="31"/>
      <c r="F131" s="100">
        <v>7.5929978118161934</v>
      </c>
      <c r="G131" s="45"/>
      <c r="H131" s="48">
        <v>10372</v>
      </c>
      <c r="I131" s="31">
        <f t="shared" si="6"/>
        <v>69.146666666666661</v>
      </c>
      <c r="L131" s="32">
        <f t="shared" si="7"/>
        <v>69.146666666666661</v>
      </c>
      <c r="M131" s="31">
        <v>11.938787816352459</v>
      </c>
      <c r="N131" s="24"/>
      <c r="O131" s="34">
        <v>1893</v>
      </c>
      <c r="P131" s="36">
        <v>228.5</v>
      </c>
      <c r="Q131" s="30">
        <v>4737.01</v>
      </c>
      <c r="R131" s="45"/>
      <c r="S131" s="3" t="s">
        <v>125</v>
      </c>
      <c r="T131" s="3" t="s">
        <v>125</v>
      </c>
      <c r="U131" s="3">
        <v>4</v>
      </c>
      <c r="V131" s="24"/>
      <c r="W131" s="24">
        <v>25.5</v>
      </c>
      <c r="X131" s="24"/>
      <c r="Y131" s="24"/>
      <c r="Z131" s="24">
        <f t="shared" si="12"/>
        <v>26.372315035799527</v>
      </c>
      <c r="AA131" s="24">
        <f t="shared" si="13"/>
        <v>114.86486486486488</v>
      </c>
      <c r="AB131" s="54">
        <v>1893</v>
      </c>
      <c r="AC131" s="98">
        <v>0.14000000000000001</v>
      </c>
      <c r="AD131" s="98">
        <v>8.7200000000000006</v>
      </c>
      <c r="AE131" s="98">
        <f t="shared" si="8"/>
        <v>30.152143845089906</v>
      </c>
      <c r="AF131" s="98">
        <f t="shared" si="9"/>
        <v>0.46431192660550458</v>
      </c>
      <c r="AG131" s="98">
        <f t="shared" si="14"/>
        <v>110.1623147494707</v>
      </c>
      <c r="AH131" s="98">
        <f t="shared" si="11"/>
        <v>95.906015193656827</v>
      </c>
      <c r="AI131" s="98">
        <v>91.827223341923897</v>
      </c>
      <c r="AJ131" s="103"/>
      <c r="AK131" s="24"/>
      <c r="AL131" s="104">
        <v>11.7</v>
      </c>
      <c r="AM131" s="24"/>
      <c r="AN131" s="104">
        <f t="shared" si="15"/>
        <v>11.7</v>
      </c>
      <c r="AO131" s="24"/>
    </row>
    <row r="132" spans="1:41" ht="13">
      <c r="A132" s="3">
        <v>1894</v>
      </c>
      <c r="B132" s="3">
        <v>33.700000000000003</v>
      </c>
      <c r="C132" s="38">
        <f t="shared" si="10"/>
        <v>7.3741794310722106</v>
      </c>
      <c r="E132" s="31"/>
      <c r="F132" s="100">
        <v>7.3741794310722106</v>
      </c>
      <c r="G132" s="45"/>
      <c r="H132" s="48">
        <v>9202</v>
      </c>
      <c r="I132" s="31">
        <f t="shared" si="6"/>
        <v>61.346666666666664</v>
      </c>
      <c r="L132" s="32">
        <f t="shared" si="7"/>
        <v>61.346666666666664</v>
      </c>
      <c r="M132" s="31">
        <v>10.59204834998798</v>
      </c>
      <c r="N132" s="24"/>
      <c r="O132" s="34">
        <v>1894</v>
      </c>
      <c r="P132" s="36">
        <v>205.24</v>
      </c>
      <c r="Q132" s="30">
        <v>4418.2</v>
      </c>
      <c r="R132" s="45"/>
      <c r="S132" s="3" t="s">
        <v>126</v>
      </c>
      <c r="T132" s="3" t="s">
        <v>126</v>
      </c>
      <c r="U132" s="3">
        <v>3</v>
      </c>
      <c r="V132" s="24"/>
      <c r="W132" s="24">
        <v>25.8</v>
      </c>
      <c r="X132" s="24"/>
      <c r="Y132" s="24"/>
      <c r="Z132" s="24">
        <f t="shared" si="12"/>
        <v>26.682577565632464</v>
      </c>
      <c r="AA132" s="24">
        <f t="shared" si="13"/>
        <v>116.21621621621622</v>
      </c>
      <c r="AB132" s="54">
        <v>1894</v>
      </c>
      <c r="AC132" s="98">
        <v>0.13</v>
      </c>
      <c r="AD132" s="98">
        <v>8.34</v>
      </c>
      <c r="AE132" s="98">
        <f t="shared" si="8"/>
        <v>28.838174273858918</v>
      </c>
      <c r="AF132" s="98">
        <f t="shared" si="9"/>
        <v>0.45079136690647487</v>
      </c>
      <c r="AG132" s="98">
        <f t="shared" si="14"/>
        <v>106.95443645083932</v>
      </c>
      <c r="AH132" s="98">
        <f t="shared" si="11"/>
        <v>92.030561597233827</v>
      </c>
      <c r="AI132" s="98">
        <v>91.125148917146703</v>
      </c>
      <c r="AJ132" s="103"/>
      <c r="AK132" s="24"/>
      <c r="AL132" s="104">
        <v>18.399999999999999</v>
      </c>
      <c r="AM132" s="24"/>
      <c r="AN132" s="104">
        <f t="shared" si="15"/>
        <v>18.399999999999999</v>
      </c>
      <c r="AO132" s="24"/>
    </row>
    <row r="133" spans="1:41" ht="13">
      <c r="A133" s="3">
        <v>1895</v>
      </c>
      <c r="B133" s="3">
        <v>39.700000000000003</v>
      </c>
      <c r="C133" s="38">
        <f t="shared" si="10"/>
        <v>8.6870897155361053</v>
      </c>
      <c r="E133" s="31"/>
      <c r="F133" s="100">
        <v>8.6870897155361053</v>
      </c>
      <c r="G133" s="45"/>
      <c r="H133" s="48">
        <v>9914</v>
      </c>
      <c r="I133" s="31">
        <f t="shared" si="6"/>
        <v>66.093333333333334</v>
      </c>
      <c r="L133" s="32">
        <f t="shared" si="7"/>
        <v>66.093333333333334</v>
      </c>
      <c r="M133" s="31">
        <v>11.411602623536279</v>
      </c>
      <c r="N133" s="24"/>
      <c r="O133" s="34">
        <v>1895</v>
      </c>
      <c r="P133" s="36">
        <v>222.66</v>
      </c>
      <c r="Q133" s="30">
        <v>4841.13</v>
      </c>
      <c r="R133" s="45"/>
      <c r="S133" s="3" t="s">
        <v>127</v>
      </c>
      <c r="T133" s="3" t="s">
        <v>127</v>
      </c>
      <c r="U133" s="3">
        <v>2.5</v>
      </c>
      <c r="V133" s="24"/>
      <c r="W133" s="24">
        <v>27.4</v>
      </c>
      <c r="X133" s="24"/>
      <c r="Y133" s="24"/>
      <c r="Z133" s="24">
        <f t="shared" si="12"/>
        <v>28.337311058074786</v>
      </c>
      <c r="AA133" s="24">
        <f t="shared" si="13"/>
        <v>123.42342342342343</v>
      </c>
      <c r="AB133" s="54">
        <v>1895</v>
      </c>
      <c r="AC133" s="98">
        <v>0.13</v>
      </c>
      <c r="AD133" s="98">
        <v>8.14</v>
      </c>
      <c r="AE133" s="98">
        <f t="shared" si="8"/>
        <v>28.146611341632088</v>
      </c>
      <c r="AF133" s="98">
        <f t="shared" si="9"/>
        <v>0.46186732186732188</v>
      </c>
      <c r="AG133" s="98">
        <f t="shared" si="14"/>
        <v>109.58230958230956</v>
      </c>
      <c r="AH133" s="98">
        <f t="shared" si="11"/>
        <v>88.78566688785665</v>
      </c>
      <c r="AI133" s="98">
        <v>90.469537478660897</v>
      </c>
      <c r="AJ133" s="103"/>
      <c r="AK133" s="24"/>
      <c r="AL133" s="104">
        <v>13.7</v>
      </c>
      <c r="AM133" s="24"/>
      <c r="AN133" s="104">
        <f t="shared" si="15"/>
        <v>13.7</v>
      </c>
      <c r="AO133" s="24"/>
    </row>
    <row r="134" spans="1:41" ht="13">
      <c r="A134" s="3">
        <v>1896</v>
      </c>
      <c r="B134" s="3">
        <v>36.9</v>
      </c>
      <c r="C134" s="38">
        <f t="shared" si="10"/>
        <v>8.0743982494529547</v>
      </c>
      <c r="E134" s="31"/>
      <c r="F134" s="100">
        <v>8.0743982494529547</v>
      </c>
      <c r="G134" s="45"/>
      <c r="H134" s="48">
        <v>12348</v>
      </c>
      <c r="I134" s="31">
        <f t="shared" ref="I134:I165" si="16">H134*100/$H$139</f>
        <v>82.32</v>
      </c>
      <c r="L134" s="32">
        <f t="shared" si="7"/>
        <v>82.32</v>
      </c>
      <c r="M134" s="31">
        <v>14.21328113732358</v>
      </c>
      <c r="N134" s="24"/>
      <c r="O134" s="34">
        <v>1896</v>
      </c>
      <c r="P134" s="36">
        <v>217.64</v>
      </c>
      <c r="Q134" s="30">
        <v>4686.7700000000004</v>
      </c>
      <c r="R134" s="45"/>
      <c r="S134" s="101" t="s">
        <v>130</v>
      </c>
      <c r="T134" s="48">
        <f>1+T122</f>
        <v>1834</v>
      </c>
      <c r="U134" s="3">
        <v>-1.7</v>
      </c>
      <c r="V134" s="24"/>
      <c r="W134" s="24">
        <v>25.9</v>
      </c>
      <c r="X134" s="24"/>
      <c r="Y134" s="24"/>
      <c r="Z134" s="24">
        <f t="shared" si="12"/>
        <v>26.785998408910107</v>
      </c>
      <c r="AA134" s="24">
        <f t="shared" si="13"/>
        <v>116.66666666666669</v>
      </c>
      <c r="AB134" s="54">
        <v>1896</v>
      </c>
      <c r="AC134" s="98">
        <v>0.13</v>
      </c>
      <c r="AD134" s="98">
        <v>8.14</v>
      </c>
      <c r="AE134" s="98">
        <f t="shared" si="8"/>
        <v>28.146611341632088</v>
      </c>
      <c r="AF134" s="98">
        <f t="shared" si="9"/>
        <v>0.46186732186732188</v>
      </c>
      <c r="AG134" s="98">
        <f t="shared" si="14"/>
        <v>109.58230958230956</v>
      </c>
      <c r="AH134" s="98">
        <f t="shared" si="11"/>
        <v>93.927693927693895</v>
      </c>
      <c r="AI134" s="98">
        <v>89.855087663964298</v>
      </c>
      <c r="AJ134" s="103"/>
      <c r="AK134" s="24"/>
      <c r="AL134" s="104">
        <v>14.4</v>
      </c>
      <c r="AM134" s="24"/>
      <c r="AN134" s="104">
        <f t="shared" si="15"/>
        <v>14.4</v>
      </c>
      <c r="AO134" s="24"/>
    </row>
    <row r="135" spans="1:41" ht="13">
      <c r="A135" s="3">
        <v>1897</v>
      </c>
      <c r="B135" s="3">
        <v>39.700000000000003</v>
      </c>
      <c r="C135" s="38">
        <f t="shared" si="10"/>
        <v>8.6870897155361053</v>
      </c>
      <c r="E135" s="31"/>
      <c r="F135" s="100">
        <v>8.6870897155361053</v>
      </c>
      <c r="G135" s="45"/>
      <c r="H135" s="48">
        <v>12417</v>
      </c>
      <c r="I135" s="31">
        <f t="shared" si="16"/>
        <v>82.78</v>
      </c>
      <c r="L135" s="32">
        <f>I135</f>
        <v>82.78</v>
      </c>
      <c r="M135" s="31">
        <v>14.292704234057895</v>
      </c>
      <c r="N135" s="24"/>
      <c r="O135" s="34">
        <v>1897</v>
      </c>
      <c r="P135" s="36">
        <v>222.98</v>
      </c>
      <c r="Q135" s="30">
        <v>4804.22</v>
      </c>
      <c r="R135" s="45"/>
      <c r="S135" s="3" t="s">
        <v>117</v>
      </c>
      <c r="T135" s="3" t="s">
        <v>117</v>
      </c>
      <c r="U135" s="3">
        <v>-2</v>
      </c>
      <c r="V135" s="24"/>
      <c r="W135" s="24">
        <v>27.7</v>
      </c>
      <c r="X135" s="24"/>
      <c r="Y135" s="24"/>
      <c r="Z135" s="24">
        <f t="shared" si="12"/>
        <v>28.647573587907722</v>
      </c>
      <c r="AA135" s="24">
        <f t="shared" si="13"/>
        <v>124.77477477477478</v>
      </c>
      <c r="AB135" s="54">
        <v>1897</v>
      </c>
      <c r="AC135" s="98">
        <v>0.13</v>
      </c>
      <c r="AD135" s="98">
        <v>8.0399999999999991</v>
      </c>
      <c r="AE135" s="98">
        <f t="shared" si="8"/>
        <v>27.800829875518666</v>
      </c>
      <c r="AF135" s="98">
        <f t="shared" si="9"/>
        <v>0.46761194029850756</v>
      </c>
      <c r="AG135" s="98">
        <f t="shared" si="14"/>
        <v>110.94527363184081</v>
      </c>
      <c r="AH135" s="98">
        <f t="shared" si="11"/>
        <v>88.916428686890455</v>
      </c>
      <c r="AI135" s="98">
        <v>89.259702735767902</v>
      </c>
      <c r="AJ135" s="103"/>
      <c r="AK135" s="24"/>
      <c r="AL135" s="104">
        <v>14.5</v>
      </c>
      <c r="AM135" s="24"/>
      <c r="AN135" s="104">
        <f t="shared" si="15"/>
        <v>14.5</v>
      </c>
      <c r="AO135" s="24"/>
    </row>
    <row r="136" spans="1:41" ht="13">
      <c r="A136" s="3">
        <v>1898</v>
      </c>
      <c r="B136" s="3">
        <v>44.7</v>
      </c>
      <c r="C136" s="38">
        <f t="shared" si="10"/>
        <v>9.7811816192560173</v>
      </c>
      <c r="E136" s="31"/>
      <c r="F136" s="100">
        <v>9.7811816192560173</v>
      </c>
      <c r="G136" s="45"/>
      <c r="H136" s="48">
        <v>11867</v>
      </c>
      <c r="I136" s="31">
        <f t="shared" si="16"/>
        <v>79.11333333333333</v>
      </c>
      <c r="L136" s="32">
        <f>I136</f>
        <v>79.11333333333333</v>
      </c>
      <c r="M136" s="31">
        <v>13.659621578929293</v>
      </c>
      <c r="N136" s="24"/>
      <c r="O136" s="34">
        <v>1898</v>
      </c>
      <c r="P136" s="36">
        <v>245.76</v>
      </c>
      <c r="Q136" s="30">
        <v>5245.57</v>
      </c>
      <c r="R136" s="45"/>
      <c r="S136" s="3" t="s">
        <v>118</v>
      </c>
      <c r="T136" s="3" t="s">
        <v>118</v>
      </c>
      <c r="U136" s="3">
        <v>-5</v>
      </c>
      <c r="V136" s="24"/>
      <c r="W136" s="24">
        <v>27.9</v>
      </c>
      <c r="X136" s="24"/>
      <c r="Y136" s="24"/>
      <c r="Z136" s="24">
        <f t="shared" si="12"/>
        <v>28.854415274463008</v>
      </c>
      <c r="AA136" s="24">
        <f t="shared" si="13"/>
        <v>125.67567567567566</v>
      </c>
      <c r="AB136" s="54">
        <v>1898</v>
      </c>
      <c r="AC136" s="98">
        <v>0.13</v>
      </c>
      <c r="AD136" s="98">
        <v>8.0399999999999991</v>
      </c>
      <c r="AE136" s="98">
        <f t="shared" si="8"/>
        <v>27.800829875518666</v>
      </c>
      <c r="AF136" s="98">
        <f t="shared" si="9"/>
        <v>0.46761194029850756</v>
      </c>
      <c r="AG136" s="98">
        <f t="shared" si="14"/>
        <v>110.94527363184081</v>
      </c>
      <c r="AH136" s="98">
        <f t="shared" si="11"/>
        <v>88.279034932862587</v>
      </c>
      <c r="AI136" s="98">
        <v>88.702035080143503</v>
      </c>
      <c r="AJ136" s="103"/>
      <c r="AK136" s="24"/>
      <c r="AL136" s="104">
        <v>12.4</v>
      </c>
      <c r="AM136" s="24"/>
      <c r="AN136" s="104">
        <f t="shared" si="15"/>
        <v>12.4</v>
      </c>
      <c r="AO136" s="24"/>
    </row>
    <row r="137" spans="1:41" ht="13">
      <c r="A137" s="3">
        <v>1899</v>
      </c>
      <c r="B137" s="3">
        <v>49.2</v>
      </c>
      <c r="C137" s="38">
        <f t="shared" si="10"/>
        <v>10.76586433260394</v>
      </c>
      <c r="E137" s="31"/>
      <c r="F137" s="100">
        <v>10.76586433260394</v>
      </c>
      <c r="G137" s="45"/>
      <c r="H137" s="48">
        <v>13322</v>
      </c>
      <c r="I137" s="31">
        <f t="shared" si="16"/>
        <v>88.813333333333333</v>
      </c>
      <c r="L137" s="32">
        <f>I137</f>
        <v>88.813333333333333</v>
      </c>
      <c r="M137" s="31">
        <v>15.334412966587685</v>
      </c>
      <c r="N137" s="24"/>
      <c r="O137" s="34">
        <v>1899</v>
      </c>
      <c r="P137" s="36">
        <v>260.79000000000002</v>
      </c>
      <c r="Q137" s="30">
        <v>5514.89</v>
      </c>
      <c r="R137" s="45"/>
      <c r="S137" s="3" t="s">
        <v>119</v>
      </c>
      <c r="T137" s="3" t="s">
        <v>119</v>
      </c>
      <c r="U137" s="3">
        <v>-6.2</v>
      </c>
      <c r="V137" s="24"/>
      <c r="W137" s="24">
        <v>28.6</v>
      </c>
      <c r="X137" s="24"/>
      <c r="Y137" s="24"/>
      <c r="Z137" s="24">
        <f t="shared" si="12"/>
        <v>29.578361177406528</v>
      </c>
      <c r="AA137" s="24">
        <f t="shared" si="13"/>
        <v>128.82882882882885</v>
      </c>
      <c r="AB137" s="54">
        <v>1899</v>
      </c>
      <c r="AC137" s="98">
        <v>0.13</v>
      </c>
      <c r="AD137" s="98">
        <v>8.0399999999999991</v>
      </c>
      <c r="AE137" s="98">
        <f t="shared" si="8"/>
        <v>27.800829875518666</v>
      </c>
      <c r="AF137" s="98">
        <f t="shared" si="9"/>
        <v>0.46761194029850756</v>
      </c>
      <c r="AG137" s="98">
        <f t="shared" si="14"/>
        <v>110.94527363184081</v>
      </c>
      <c r="AH137" s="98">
        <f t="shared" si="11"/>
        <v>86.118359252687611</v>
      </c>
      <c r="AI137" s="98">
        <v>88.197340055804801</v>
      </c>
      <c r="AJ137" s="103"/>
      <c r="AK137" s="24"/>
      <c r="AL137" s="104">
        <v>6.5</v>
      </c>
      <c r="AM137" s="24"/>
      <c r="AN137" s="104">
        <f t="shared" si="15"/>
        <v>6.5</v>
      </c>
      <c r="AO137" s="24"/>
    </row>
    <row r="138" spans="1:41" ht="13">
      <c r="A138" s="3">
        <v>1900</v>
      </c>
      <c r="B138" s="3">
        <v>50.6</v>
      </c>
      <c r="C138" s="38">
        <f t="shared" si="10"/>
        <v>11.072210065645514</v>
      </c>
      <c r="E138" s="31"/>
      <c r="F138" s="100">
        <v>11.072210065645514</v>
      </c>
      <c r="G138" s="45"/>
      <c r="H138" s="48">
        <v>14471</v>
      </c>
      <c r="I138" s="31">
        <f t="shared" si="16"/>
        <v>96.473333333333329</v>
      </c>
      <c r="L138" s="32">
        <f>I138</f>
        <v>96.473333333333329</v>
      </c>
      <c r="M138" s="31">
        <v>16.656980186119977</v>
      </c>
      <c r="N138" s="24"/>
      <c r="O138" s="34">
        <v>1900</v>
      </c>
      <c r="P138" s="36">
        <v>270.29000000000002</v>
      </c>
      <c r="Q138" s="30">
        <v>5556.85</v>
      </c>
      <c r="R138" s="45"/>
      <c r="S138" s="3" t="s">
        <v>120</v>
      </c>
      <c r="T138" s="3" t="s">
        <v>120</v>
      </c>
      <c r="U138" s="3">
        <v>-6.4</v>
      </c>
      <c r="V138" s="24"/>
      <c r="W138" s="24">
        <v>29</v>
      </c>
      <c r="X138" s="24"/>
      <c r="Y138" s="24"/>
      <c r="Z138" s="24">
        <f t="shared" si="12"/>
        <v>29.992044550517107</v>
      </c>
      <c r="AA138" s="24">
        <f t="shared" si="13"/>
        <v>130.63063063063063</v>
      </c>
      <c r="AB138" s="54">
        <v>1900</v>
      </c>
      <c r="AC138" s="98">
        <v>0.14000000000000001</v>
      </c>
      <c r="AD138" s="98">
        <v>8.14</v>
      </c>
      <c r="AE138" s="98">
        <f t="shared" si="8"/>
        <v>28.146611341632088</v>
      </c>
      <c r="AF138" s="98">
        <f t="shared" si="9"/>
        <v>0.49739557739557749</v>
      </c>
      <c r="AG138" s="98">
        <f t="shared" si="14"/>
        <v>118.011718011718</v>
      </c>
      <c r="AH138" s="98">
        <f t="shared" si="11"/>
        <v>90.340004822763433</v>
      </c>
      <c r="AI138" s="98">
        <v>87.756652670664195</v>
      </c>
      <c r="AJ138" s="103"/>
      <c r="AK138" s="24"/>
      <c r="AL138" s="104">
        <v>5</v>
      </c>
      <c r="AM138" s="24"/>
      <c r="AN138" s="104">
        <f t="shared" si="15"/>
        <v>5</v>
      </c>
      <c r="AO138" s="24"/>
    </row>
    <row r="139" spans="1:41" ht="13">
      <c r="A139" s="3">
        <v>1901</v>
      </c>
      <c r="B139" s="3">
        <v>56.7</v>
      </c>
      <c r="C139" s="38">
        <f t="shared" si="10"/>
        <v>12.407002188183807</v>
      </c>
      <c r="E139" s="31"/>
      <c r="F139" s="100">
        <v>12.407002188183807</v>
      </c>
      <c r="G139" s="45"/>
      <c r="H139" s="48">
        <v>15000</v>
      </c>
      <c r="I139" s="31">
        <f t="shared" si="16"/>
        <v>100</v>
      </c>
      <c r="J139" s="107">
        <v>1.6759999999999999</v>
      </c>
      <c r="K139" s="108">
        <f t="shared" ref="K139:K202" si="17">J139*100/$J$139</f>
        <v>100</v>
      </c>
      <c r="L139" s="109">
        <f>K139</f>
        <v>100</v>
      </c>
      <c r="M139" s="31">
        <v>17.265890594416398</v>
      </c>
      <c r="N139" s="24"/>
      <c r="O139" s="34">
        <v>1901</v>
      </c>
      <c r="P139" s="36">
        <v>287.02999999999997</v>
      </c>
      <c r="Q139" s="30">
        <v>5739.42</v>
      </c>
      <c r="R139" s="45"/>
      <c r="S139" s="3" t="s">
        <v>121</v>
      </c>
      <c r="T139" s="3" t="s">
        <v>121</v>
      </c>
      <c r="U139" s="3">
        <v>-7</v>
      </c>
      <c r="V139" s="24"/>
      <c r="W139" s="24">
        <v>31.6</v>
      </c>
      <c r="X139" s="24"/>
      <c r="Y139" s="24"/>
      <c r="Z139" s="24">
        <f t="shared" si="12"/>
        <v>32.680986475735885</v>
      </c>
      <c r="AA139" s="24">
        <f t="shared" si="13"/>
        <v>142.34234234234236</v>
      </c>
      <c r="AB139" s="54">
        <v>1901</v>
      </c>
      <c r="AC139" s="98">
        <v>0.14000000000000001</v>
      </c>
      <c r="AD139" s="98">
        <v>8.24</v>
      </c>
      <c r="AE139" s="98">
        <f t="shared" si="8"/>
        <v>28.492392807745503</v>
      </c>
      <c r="AF139" s="98">
        <f t="shared" si="9"/>
        <v>0.49135922330097098</v>
      </c>
      <c r="AG139" s="98">
        <f t="shared" si="14"/>
        <v>116.57953696788648</v>
      </c>
      <c r="AH139" s="98">
        <f t="shared" si="11"/>
        <v>81.900813945793658</v>
      </c>
      <c r="AI139" s="98">
        <v>87.370234532076097</v>
      </c>
      <c r="AJ139" s="103"/>
      <c r="AK139" s="24"/>
      <c r="AL139" s="104">
        <v>4</v>
      </c>
      <c r="AM139" s="24"/>
      <c r="AN139" s="104">
        <f t="shared" si="15"/>
        <v>4</v>
      </c>
      <c r="AO139" s="24"/>
    </row>
    <row r="140" spans="1:41" ht="13">
      <c r="A140" s="3">
        <v>1902</v>
      </c>
      <c r="B140" s="3">
        <v>63.2</v>
      </c>
      <c r="C140" s="38">
        <f t="shared" si="10"/>
        <v>13.829321663019694</v>
      </c>
      <c r="E140" s="31"/>
      <c r="F140" s="100">
        <v>13.829321663019694</v>
      </c>
      <c r="G140" s="45"/>
      <c r="H140" s="48">
        <v>18456</v>
      </c>
      <c r="I140" s="31">
        <f t="shared" si="16"/>
        <v>123.04</v>
      </c>
      <c r="J140" s="107">
        <v>2.0459999999999998</v>
      </c>
      <c r="K140" s="108">
        <f t="shared" si="17"/>
        <v>122.0763723150358</v>
      </c>
      <c r="L140" s="109">
        <f t="shared" ref="L140:L203" si="18">K140</f>
        <v>122.0763723150358</v>
      </c>
      <c r="M140" s="31">
        <v>21.077572885546513</v>
      </c>
      <c r="N140" s="24"/>
      <c r="O140" s="34">
        <v>1902</v>
      </c>
      <c r="P140" s="36">
        <v>303.95</v>
      </c>
      <c r="Q140" s="30">
        <v>5913.87</v>
      </c>
      <c r="R140" s="45"/>
      <c r="S140" s="3" t="s">
        <v>122</v>
      </c>
      <c r="T140" s="3" t="s">
        <v>122</v>
      </c>
      <c r="U140" s="3">
        <v>-7.5</v>
      </c>
      <c r="V140" s="24"/>
      <c r="W140" s="24">
        <v>30.1</v>
      </c>
      <c r="X140" s="24"/>
      <c r="Y140" s="24"/>
      <c r="Z140" s="24">
        <f t="shared" si="12"/>
        <v>31.129673826571207</v>
      </c>
      <c r="AA140" s="24">
        <f t="shared" si="13"/>
        <v>135.58558558558559</v>
      </c>
      <c r="AB140" s="54">
        <v>1902</v>
      </c>
      <c r="AC140" s="98">
        <v>0.15</v>
      </c>
      <c r="AD140" s="98">
        <v>8.34</v>
      </c>
      <c r="AE140" s="98">
        <f t="shared" si="8"/>
        <v>28.838174273858918</v>
      </c>
      <c r="AF140" s="98">
        <f t="shared" si="9"/>
        <v>0.52014388489208641</v>
      </c>
      <c r="AG140" s="98">
        <f t="shared" si="14"/>
        <v>123.40896513558384</v>
      </c>
      <c r="AH140" s="98">
        <f t="shared" si="11"/>
        <v>91.019236744516988</v>
      </c>
      <c r="AI140" s="98">
        <v>87.054180720688294</v>
      </c>
      <c r="AJ140" s="103"/>
      <c r="AK140" s="24"/>
      <c r="AL140" s="104">
        <v>3.7</v>
      </c>
      <c r="AM140" s="24"/>
      <c r="AN140" s="104">
        <f t="shared" si="15"/>
        <v>3.7</v>
      </c>
      <c r="AO140" s="24"/>
    </row>
    <row r="141" spans="1:41" ht="13">
      <c r="A141" s="3">
        <v>1903</v>
      </c>
      <c r="B141" s="3">
        <v>65.400000000000006</v>
      </c>
      <c r="C141" s="38">
        <f t="shared" si="10"/>
        <v>14.310722100656458</v>
      </c>
      <c r="E141" s="31"/>
      <c r="F141" s="100">
        <v>14.310722100656458</v>
      </c>
      <c r="G141" s="45"/>
      <c r="H141" s="48">
        <v>19966</v>
      </c>
      <c r="I141" s="31">
        <f t="shared" si="16"/>
        <v>133.10666666666665</v>
      </c>
      <c r="J141" s="107">
        <v>2.1909999999999998</v>
      </c>
      <c r="K141" s="108">
        <f t="shared" si="17"/>
        <v>130.72792362768496</v>
      </c>
      <c r="L141" s="109">
        <f t="shared" si="18"/>
        <v>130.72792362768496</v>
      </c>
      <c r="M141" s="31">
        <v>22.571340269908312</v>
      </c>
      <c r="N141" s="24"/>
      <c r="O141" s="34">
        <v>1903</v>
      </c>
      <c r="P141" s="36">
        <v>321.58</v>
      </c>
      <c r="Q141" s="30">
        <v>5975.56</v>
      </c>
      <c r="R141" s="45"/>
      <c r="S141" s="3" t="s">
        <v>123</v>
      </c>
      <c r="T141" s="3" t="s">
        <v>123</v>
      </c>
      <c r="U141" s="3">
        <v>-7.3</v>
      </c>
      <c r="V141" s="24"/>
      <c r="W141" s="24">
        <v>30.6</v>
      </c>
      <c r="X141" s="24"/>
      <c r="Y141" s="24"/>
      <c r="Z141" s="24">
        <f t="shared" si="12"/>
        <v>31.646778042959433</v>
      </c>
      <c r="AA141" s="24">
        <f t="shared" si="13"/>
        <v>137.83783783783784</v>
      </c>
      <c r="AB141" s="54">
        <v>1903</v>
      </c>
      <c r="AC141" s="98">
        <v>0.15</v>
      </c>
      <c r="AD141" s="98">
        <v>8.5299999999999994</v>
      </c>
      <c r="AE141" s="98">
        <f t="shared" si="8"/>
        <v>29.495159059474407</v>
      </c>
      <c r="AF141" s="98">
        <f t="shared" si="9"/>
        <v>0.50855803048065662</v>
      </c>
      <c r="AG141" s="98">
        <f t="shared" si="14"/>
        <v>120.66011362611597</v>
      </c>
      <c r="AH141" s="98">
        <f t="shared" si="11"/>
        <v>87.537729493456681</v>
      </c>
      <c r="AI141" s="98">
        <v>86.769883971827795</v>
      </c>
      <c r="AJ141" s="103"/>
      <c r="AK141" s="24"/>
      <c r="AL141" s="104">
        <v>3.9</v>
      </c>
      <c r="AM141" s="24"/>
      <c r="AN141" s="104">
        <f t="shared" si="15"/>
        <v>3.9</v>
      </c>
      <c r="AO141" s="24"/>
    </row>
    <row r="142" spans="1:41" ht="13">
      <c r="A142" s="3">
        <v>1904</v>
      </c>
      <c r="B142" s="3">
        <v>62.3</v>
      </c>
      <c r="C142" s="38">
        <f t="shared" si="10"/>
        <v>13.63238512035011</v>
      </c>
      <c r="E142" s="31"/>
      <c r="F142" s="100">
        <v>13.63238512035011</v>
      </c>
      <c r="G142" s="45"/>
      <c r="H142" s="48">
        <v>17078</v>
      </c>
      <c r="I142" s="31">
        <f t="shared" si="16"/>
        <v>113.85333333333334</v>
      </c>
      <c r="J142" s="107">
        <v>1.9490000000000001</v>
      </c>
      <c r="K142" s="108">
        <f t="shared" si="17"/>
        <v>116.28878281622913</v>
      </c>
      <c r="L142" s="109">
        <f t="shared" si="18"/>
        <v>116.28878281622913</v>
      </c>
      <c r="M142" s="31">
        <v>20.078294014628618</v>
      </c>
      <c r="N142" s="24"/>
      <c r="O142" s="34">
        <v>1904</v>
      </c>
      <c r="P142" s="36">
        <v>312.54000000000002</v>
      </c>
      <c r="Q142" s="30">
        <v>5656.37</v>
      </c>
      <c r="R142" s="45"/>
      <c r="S142" s="3" t="s">
        <v>124</v>
      </c>
      <c r="T142" s="3" t="s">
        <v>124</v>
      </c>
      <c r="U142" s="3">
        <v>-7</v>
      </c>
      <c r="V142" s="24"/>
      <c r="W142" s="24">
        <v>30.6</v>
      </c>
      <c r="X142" s="24"/>
      <c r="Y142" s="24"/>
      <c r="Z142" s="24">
        <f t="shared" si="12"/>
        <v>31.646778042959433</v>
      </c>
      <c r="AA142" s="24">
        <f t="shared" si="13"/>
        <v>137.83783783783784</v>
      </c>
      <c r="AB142" s="54">
        <v>1904</v>
      </c>
      <c r="AC142" s="98">
        <v>0.15</v>
      </c>
      <c r="AD142" s="98">
        <v>8.6300000000000008</v>
      </c>
      <c r="AE142" s="98">
        <f t="shared" si="8"/>
        <v>29.840940525587829</v>
      </c>
      <c r="AF142" s="98">
        <f t="shared" si="9"/>
        <v>0.50266512166859789</v>
      </c>
      <c r="AG142" s="98">
        <f t="shared" si="14"/>
        <v>119.26196630715748</v>
      </c>
      <c r="AH142" s="98">
        <f t="shared" si="11"/>
        <v>86.523387320878953</v>
      </c>
      <c r="AI142" s="98">
        <v>86.518395213614795</v>
      </c>
      <c r="AJ142" s="103"/>
      <c r="AK142" s="24"/>
      <c r="AL142" s="104">
        <v>5.4</v>
      </c>
      <c r="AM142" s="24"/>
      <c r="AN142" s="104">
        <f t="shared" si="15"/>
        <v>5.4</v>
      </c>
      <c r="AO142" s="24"/>
    </row>
    <row r="143" spans="1:41" ht="13">
      <c r="A143" s="3">
        <v>1905</v>
      </c>
      <c r="B143" s="3">
        <v>73.599999999999994</v>
      </c>
      <c r="C143" s="38">
        <f t="shared" si="10"/>
        <v>16.10503282275711</v>
      </c>
      <c r="E143" s="31"/>
      <c r="F143" s="100">
        <v>16.10503282275711</v>
      </c>
      <c r="G143" s="45"/>
      <c r="H143" s="48">
        <v>17537</v>
      </c>
      <c r="I143" s="31">
        <f t="shared" si="16"/>
        <v>116.91333333333333</v>
      </c>
      <c r="J143" s="107">
        <v>2</v>
      </c>
      <c r="K143" s="108">
        <f t="shared" si="17"/>
        <v>119.33174224343676</v>
      </c>
      <c r="L143" s="109">
        <f t="shared" si="18"/>
        <v>119.33174224343676</v>
      </c>
      <c r="M143" s="31">
        <v>20.603688060162771</v>
      </c>
      <c r="N143" s="24"/>
      <c r="O143" s="34">
        <v>1905</v>
      </c>
      <c r="P143" s="36">
        <v>343.44</v>
      </c>
      <c r="Q143" s="30">
        <v>6170.23</v>
      </c>
      <c r="R143" s="45"/>
      <c r="S143" s="3" t="s">
        <v>125</v>
      </c>
      <c r="T143" s="3" t="s">
        <v>125</v>
      </c>
      <c r="U143" s="3">
        <v>-7.4</v>
      </c>
      <c r="V143" s="24"/>
      <c r="W143" s="24">
        <v>31.3</v>
      </c>
      <c r="X143" s="24"/>
      <c r="Y143" s="24"/>
      <c r="Z143" s="24">
        <f t="shared" si="12"/>
        <v>32.370723945902952</v>
      </c>
      <c r="AA143" s="24">
        <f t="shared" si="13"/>
        <v>140.99099099099101</v>
      </c>
      <c r="AB143" s="54">
        <v>1905</v>
      </c>
      <c r="AC143" s="98">
        <v>0.16</v>
      </c>
      <c r="AD143" s="98">
        <v>8.5299999999999994</v>
      </c>
      <c r="AE143" s="98">
        <f t="shared" si="8"/>
        <v>29.495159059474407</v>
      </c>
      <c r="AF143" s="98">
        <f t="shared" si="9"/>
        <v>0.54246189917936705</v>
      </c>
      <c r="AG143" s="98">
        <f t="shared" si="14"/>
        <v>128.70412120119036</v>
      </c>
      <c r="AH143" s="98">
        <f t="shared" si="11"/>
        <v>91.28535113950241</v>
      </c>
      <c r="AI143" s="98">
        <v>86.308466534451</v>
      </c>
      <c r="AJ143" s="103"/>
      <c r="AK143" s="24"/>
      <c r="AL143" s="104">
        <v>4.3</v>
      </c>
      <c r="AM143" s="24"/>
      <c r="AN143" s="104">
        <f t="shared" si="15"/>
        <v>4.3</v>
      </c>
      <c r="AO143" s="24"/>
    </row>
    <row r="144" spans="1:41" ht="13">
      <c r="A144" s="3">
        <v>1906</v>
      </c>
      <c r="B144" s="3">
        <v>78.900000000000006</v>
      </c>
      <c r="C144" s="38">
        <f t="shared" si="10"/>
        <v>17.264770240700219</v>
      </c>
      <c r="E144" s="31"/>
      <c r="F144" s="100">
        <v>17.264770240700219</v>
      </c>
      <c r="G144" s="45"/>
      <c r="H144" s="48">
        <v>20528</v>
      </c>
      <c r="I144" s="31">
        <f t="shared" si="16"/>
        <v>136.85333333333332</v>
      </c>
      <c r="J144" s="107">
        <v>2.3220000000000001</v>
      </c>
      <c r="K144" s="108">
        <f t="shared" si="17"/>
        <v>138.54415274463008</v>
      </c>
      <c r="L144" s="109">
        <f t="shared" si="18"/>
        <v>138.54415274463008</v>
      </c>
      <c r="M144" s="31">
        <v>23.920881837848974</v>
      </c>
      <c r="N144" s="24"/>
      <c r="O144" s="34">
        <v>1906</v>
      </c>
      <c r="P144" s="36">
        <v>363.21</v>
      </c>
      <c r="Q144" s="30">
        <v>6300.18</v>
      </c>
      <c r="R144" s="45"/>
      <c r="S144" s="3" t="s">
        <v>126</v>
      </c>
      <c r="T144" s="3" t="s">
        <v>126</v>
      </c>
      <c r="U144" s="3">
        <v>-7</v>
      </c>
      <c r="V144" s="24"/>
      <c r="W144" s="24">
        <v>33.700000000000003</v>
      </c>
      <c r="X144" s="24"/>
      <c r="Y144" s="24"/>
      <c r="Z144" s="24">
        <f t="shared" si="12"/>
        <v>34.852824184566437</v>
      </c>
      <c r="AA144" s="24">
        <f t="shared" si="13"/>
        <v>151.80180180180184</v>
      </c>
      <c r="AB144" s="54">
        <v>1906</v>
      </c>
      <c r="AC144" s="98">
        <v>0.16</v>
      </c>
      <c r="AD144" s="98">
        <v>8.7200000000000006</v>
      </c>
      <c r="AE144" s="98">
        <f t="shared" si="8"/>
        <v>30.152143845089906</v>
      </c>
      <c r="AF144" s="98">
        <f t="shared" si="9"/>
        <v>0.53064220183486233</v>
      </c>
      <c r="AG144" s="98">
        <f t="shared" si="14"/>
        <v>125.89978828510935</v>
      </c>
      <c r="AH144" s="98">
        <f t="shared" si="11"/>
        <v>82.936952520161029</v>
      </c>
      <c r="AI144" s="98">
        <v>86.148866070602196</v>
      </c>
      <c r="AJ144" s="103"/>
      <c r="AK144" s="24"/>
      <c r="AL144" s="104">
        <v>1.7</v>
      </c>
      <c r="AM144" s="24"/>
      <c r="AN144" s="104">
        <f t="shared" si="15"/>
        <v>1.7</v>
      </c>
      <c r="AO144" s="24"/>
    </row>
    <row r="145" spans="1:41" ht="13">
      <c r="A145" s="3">
        <v>1907</v>
      </c>
      <c r="B145" s="3">
        <v>80.599999999999994</v>
      </c>
      <c r="C145" s="38">
        <f t="shared" si="10"/>
        <v>17.636761487964986</v>
      </c>
      <c r="E145" s="31"/>
      <c r="F145" s="100">
        <v>17.636761487964986</v>
      </c>
      <c r="G145" s="45"/>
      <c r="H145" s="48">
        <v>22290</v>
      </c>
      <c r="I145" s="31">
        <f t="shared" si="16"/>
        <v>148.6</v>
      </c>
      <c r="J145" s="107">
        <v>2.5840000000000001</v>
      </c>
      <c r="K145" s="108">
        <f t="shared" si="17"/>
        <v>154.1766109785203</v>
      </c>
      <c r="L145" s="109">
        <f t="shared" si="18"/>
        <v>154.1766109785203</v>
      </c>
      <c r="M145" s="31">
        <v>26.619964973730298</v>
      </c>
      <c r="N145" s="24"/>
      <c r="O145" s="34">
        <v>1907</v>
      </c>
      <c r="P145" s="36">
        <v>389.06</v>
      </c>
      <c r="Q145" s="30">
        <v>6346.36</v>
      </c>
      <c r="R145" s="45"/>
      <c r="S145" s="3" t="s">
        <v>127</v>
      </c>
      <c r="T145" s="3" t="s">
        <v>127</v>
      </c>
      <c r="U145" s="3">
        <v>-6.8</v>
      </c>
      <c r="V145" s="24"/>
      <c r="W145" s="3">
        <v>33.9</v>
      </c>
      <c r="Z145" s="24">
        <f t="shared" si="12"/>
        <v>35.059665871121723</v>
      </c>
      <c r="AA145" s="24">
        <f t="shared" si="13"/>
        <v>152.70270270270271</v>
      </c>
      <c r="AB145" s="54">
        <v>1907</v>
      </c>
      <c r="AC145" s="98">
        <v>0.17</v>
      </c>
      <c r="AD145" s="98">
        <v>9.11</v>
      </c>
      <c r="AE145" s="98">
        <f t="shared" si="8"/>
        <v>31.500691562932225</v>
      </c>
      <c r="AF145" s="98">
        <f t="shared" si="9"/>
        <v>0.53967069154774971</v>
      </c>
      <c r="AG145" s="98">
        <f t="shared" si="14"/>
        <v>128.04188128008104</v>
      </c>
      <c r="AH145" s="98">
        <f t="shared" si="11"/>
        <v>83.850435528548644</v>
      </c>
      <c r="AI145" s="98">
        <v>86.098177292989405</v>
      </c>
      <c r="AJ145" s="103"/>
      <c r="AK145" s="24"/>
      <c r="AL145" s="104">
        <v>2.8</v>
      </c>
      <c r="AM145" s="24"/>
      <c r="AN145" s="104">
        <f t="shared" si="15"/>
        <v>2.8</v>
      </c>
      <c r="AO145" s="24"/>
    </row>
    <row r="146" spans="1:41" ht="13">
      <c r="A146" s="3">
        <v>1908</v>
      </c>
      <c r="B146" s="3">
        <v>68</v>
      </c>
      <c r="C146" s="38">
        <f t="shared" si="10"/>
        <v>14.879649890590809</v>
      </c>
      <c r="E146" s="31"/>
      <c r="F146" s="100">
        <v>14.879649890590809</v>
      </c>
      <c r="G146" s="45"/>
      <c r="H146" s="48">
        <v>17809</v>
      </c>
      <c r="I146" s="31">
        <f t="shared" si="16"/>
        <v>118.72666666666667</v>
      </c>
      <c r="J146" s="107">
        <v>2.0129999999999999</v>
      </c>
      <c r="K146" s="108">
        <f t="shared" si="17"/>
        <v>120.10739856801909</v>
      </c>
      <c r="L146" s="109">
        <f t="shared" si="18"/>
        <v>120.10739856801909</v>
      </c>
      <c r="M146" s="31">
        <v>20.737612032553823</v>
      </c>
      <c r="N146" s="24"/>
      <c r="O146" s="34">
        <v>1908</v>
      </c>
      <c r="P146" s="36">
        <v>339.68</v>
      </c>
      <c r="Q146" s="30">
        <v>5551.62</v>
      </c>
      <c r="R146" s="45"/>
      <c r="S146" s="101" t="s">
        <v>131</v>
      </c>
      <c r="T146" s="48">
        <f>1+T134</f>
        <v>1835</v>
      </c>
      <c r="U146" s="3">
        <v>-6.4</v>
      </c>
      <c r="V146" s="24"/>
      <c r="W146" s="24">
        <v>32.1</v>
      </c>
      <c r="X146" s="24"/>
      <c r="Y146" s="24"/>
      <c r="Z146" s="24">
        <f t="shared" si="12"/>
        <v>33.198090692124111</v>
      </c>
      <c r="AA146" s="24">
        <f t="shared" si="13"/>
        <v>144.59459459459461</v>
      </c>
      <c r="AB146" s="54">
        <v>1908</v>
      </c>
      <c r="AC146" s="98">
        <v>0.16</v>
      </c>
      <c r="AD146" s="98">
        <v>8.92</v>
      </c>
      <c r="AE146" s="98">
        <f t="shared" si="8"/>
        <v>30.843706777316733</v>
      </c>
      <c r="AF146" s="98">
        <f t="shared" si="9"/>
        <v>0.51874439461883415</v>
      </c>
      <c r="AG146" s="98">
        <f t="shared" si="14"/>
        <v>123.07692307692307</v>
      </c>
      <c r="AH146" s="98">
        <f t="shared" si="11"/>
        <v>85.118619698058922</v>
      </c>
      <c r="AI146" s="98">
        <v>86.182895011827796</v>
      </c>
      <c r="AJ146" s="103"/>
      <c r="AK146" s="24"/>
      <c r="AL146" s="104">
        <v>8</v>
      </c>
      <c r="AM146" s="24"/>
      <c r="AN146" s="104">
        <f t="shared" si="15"/>
        <v>8</v>
      </c>
      <c r="AO146" s="24"/>
    </row>
    <row r="147" spans="1:41" ht="13">
      <c r="A147" s="3">
        <v>1909</v>
      </c>
      <c r="B147" s="3">
        <v>80.2</v>
      </c>
      <c r="C147" s="38">
        <f t="shared" si="10"/>
        <v>17.549234135667398</v>
      </c>
      <c r="E147" s="31"/>
      <c r="F147" s="100">
        <v>17.549234135667398</v>
      </c>
      <c r="G147" s="45"/>
      <c r="H147" s="48">
        <v>19664</v>
      </c>
      <c r="I147" s="31">
        <f t="shared" si="16"/>
        <v>131.09333333333333</v>
      </c>
      <c r="J147" s="107">
        <v>2.3180000000000001</v>
      </c>
      <c r="K147" s="108">
        <f t="shared" si="17"/>
        <v>138.30548926014322</v>
      </c>
      <c r="L147" s="109">
        <f t="shared" si="18"/>
        <v>138.30548926014322</v>
      </c>
      <c r="M147" s="31">
        <v>23.879674461728651</v>
      </c>
      <c r="N147" s="24"/>
      <c r="O147" s="34">
        <v>1909</v>
      </c>
      <c r="P147" s="36">
        <v>356.16</v>
      </c>
      <c r="Q147" s="30">
        <v>5835.8</v>
      </c>
      <c r="R147" s="45"/>
      <c r="S147" s="3" t="s">
        <v>117</v>
      </c>
      <c r="T147" s="3" t="s">
        <v>117</v>
      </c>
      <c r="U147" s="3">
        <v>-6</v>
      </c>
      <c r="V147" s="24"/>
      <c r="W147" s="24">
        <v>35</v>
      </c>
      <c r="X147" s="24"/>
      <c r="Y147" s="24"/>
      <c r="Z147" s="24">
        <f t="shared" si="12"/>
        <v>36.197295147175822</v>
      </c>
      <c r="AA147" s="24">
        <f t="shared" si="13"/>
        <v>157.65765765765767</v>
      </c>
      <c r="AB147" s="54">
        <v>1909</v>
      </c>
      <c r="AC147" s="98">
        <v>0.17</v>
      </c>
      <c r="AD147" s="98">
        <v>8.82</v>
      </c>
      <c r="AE147" s="98">
        <f t="shared" si="8"/>
        <v>30.497925311203318</v>
      </c>
      <c r="AF147" s="98">
        <f t="shared" si="9"/>
        <v>0.55741496598639462</v>
      </c>
      <c r="AG147" s="98">
        <f t="shared" si="14"/>
        <v>132.25187510901796</v>
      </c>
      <c r="AH147" s="98">
        <f t="shared" si="11"/>
        <v>83.885475069148526</v>
      </c>
      <c r="AI147" s="98">
        <v>86.407032264402403</v>
      </c>
      <c r="AJ147" s="103"/>
      <c r="AK147" s="24"/>
      <c r="AL147" s="104">
        <v>5.0999999999999996</v>
      </c>
      <c r="AM147" s="24"/>
      <c r="AN147" s="104">
        <f t="shared" si="15"/>
        <v>5.0999999999999996</v>
      </c>
      <c r="AO147" s="24"/>
    </row>
    <row r="148" spans="1:41" ht="13">
      <c r="A148" s="3">
        <v>1910</v>
      </c>
      <c r="B148" s="3">
        <v>85.3</v>
      </c>
      <c r="C148" s="38">
        <f t="shared" si="10"/>
        <v>18.665207877461707</v>
      </c>
      <c r="E148" s="31"/>
      <c r="F148" s="100">
        <v>18.665207877461707</v>
      </c>
      <c r="G148" s="45"/>
      <c r="H148" s="48">
        <v>22819</v>
      </c>
      <c r="I148" s="31">
        <f t="shared" si="16"/>
        <v>152.12666666666667</v>
      </c>
      <c r="J148" s="107">
        <v>2.62</v>
      </c>
      <c r="K148" s="108">
        <f t="shared" si="17"/>
        <v>156.32458233890216</v>
      </c>
      <c r="L148" s="109">
        <f t="shared" si="18"/>
        <v>156.32458233890216</v>
      </c>
      <c r="M148" s="31">
        <v>26.990831358813228</v>
      </c>
      <c r="N148" s="24"/>
      <c r="O148" s="34">
        <v>1910</v>
      </c>
      <c r="P148" s="36">
        <v>361.7</v>
      </c>
      <c r="Q148" s="30">
        <v>5776.26</v>
      </c>
      <c r="R148" s="45"/>
      <c r="S148" s="3" t="s">
        <v>118</v>
      </c>
      <c r="T148" s="3" t="s">
        <v>118</v>
      </c>
      <c r="U148" s="3">
        <v>-5</v>
      </c>
      <c r="V148" s="24"/>
      <c r="W148" s="24">
        <v>33.9</v>
      </c>
      <c r="X148" s="24"/>
      <c r="Y148" s="24"/>
      <c r="Z148" s="24">
        <f t="shared" si="12"/>
        <v>35.059665871121723</v>
      </c>
      <c r="AA148" s="24">
        <f t="shared" si="13"/>
        <v>152.70270270270271</v>
      </c>
      <c r="AB148" s="54">
        <v>1910</v>
      </c>
      <c r="AC148" s="98">
        <v>0.18</v>
      </c>
      <c r="AD148" s="98">
        <v>9.2100000000000009</v>
      </c>
      <c r="AE148" s="98">
        <f t="shared" si="8"/>
        <v>31.846473029045644</v>
      </c>
      <c r="AF148" s="98">
        <f t="shared" si="9"/>
        <v>0.56521172638436479</v>
      </c>
      <c r="AG148" s="98">
        <f t="shared" si="14"/>
        <v>134.10172889000248</v>
      </c>
      <c r="AH148" s="98">
        <f t="shared" si="11"/>
        <v>87.818831308497195</v>
      </c>
      <c r="AI148" s="98">
        <v>86.763973137880399</v>
      </c>
      <c r="AJ148" s="103"/>
      <c r="AK148" s="24"/>
      <c r="AL148" s="104">
        <v>5.9</v>
      </c>
      <c r="AM148" s="24"/>
      <c r="AN148" s="104">
        <f t="shared" si="15"/>
        <v>5.9</v>
      </c>
      <c r="AO148" s="24"/>
    </row>
    <row r="149" spans="1:41" ht="13">
      <c r="A149" s="3">
        <v>1911</v>
      </c>
      <c r="B149" s="3">
        <v>82.2</v>
      </c>
      <c r="C149" s="38">
        <f t="shared" si="10"/>
        <v>17.986870897155359</v>
      </c>
      <c r="E149" s="31"/>
      <c r="F149" s="100">
        <v>17.986870897155359</v>
      </c>
      <c r="G149" s="45"/>
      <c r="H149" s="48">
        <v>21298</v>
      </c>
      <c r="I149" s="31">
        <f t="shared" si="16"/>
        <v>141.98666666666668</v>
      </c>
      <c r="J149" s="107">
        <v>2.4500000000000002</v>
      </c>
      <c r="K149" s="108">
        <f t="shared" si="17"/>
        <v>146.18138424821004</v>
      </c>
      <c r="L149" s="109">
        <f t="shared" si="18"/>
        <v>146.18138424821004</v>
      </c>
      <c r="M149" s="31">
        <v>25.239517873699391</v>
      </c>
      <c r="N149" s="24"/>
      <c r="O149" s="34">
        <v>1911</v>
      </c>
      <c r="P149" s="36">
        <v>365.89</v>
      </c>
      <c r="Q149" s="30">
        <v>5870.91</v>
      </c>
      <c r="R149" s="45"/>
      <c r="S149" s="3" t="s">
        <v>119</v>
      </c>
      <c r="T149" s="3" t="s">
        <v>119</v>
      </c>
      <c r="U149" s="3">
        <v>-1.5</v>
      </c>
      <c r="V149" s="24"/>
      <c r="W149" s="24">
        <v>35.299999999999997</v>
      </c>
      <c r="X149" s="24"/>
      <c r="Y149" s="24"/>
      <c r="Z149" s="24">
        <f t="shared" si="12"/>
        <v>36.507557677008755</v>
      </c>
      <c r="AA149" s="24">
        <f t="shared" si="13"/>
        <v>159.00900900900902</v>
      </c>
      <c r="AB149" s="54">
        <v>1911</v>
      </c>
      <c r="AC149" s="98">
        <v>0.18</v>
      </c>
      <c r="AD149" s="98">
        <v>9.2100000000000009</v>
      </c>
      <c r="AE149" s="98">
        <f t="shared" si="8"/>
        <v>31.846473029045644</v>
      </c>
      <c r="AF149" s="98">
        <f t="shared" si="9"/>
        <v>0.56521172638436479</v>
      </c>
      <c r="AG149" s="98">
        <f t="shared" si="14"/>
        <v>134.10172889000248</v>
      </c>
      <c r="AH149" s="98">
        <f t="shared" si="11"/>
        <v>84.335931483231008</v>
      </c>
      <c r="AI149" s="98">
        <v>87.221931396784399</v>
      </c>
      <c r="AJ149" s="103"/>
      <c r="AK149" s="24"/>
      <c r="AL149" s="104">
        <v>6.7</v>
      </c>
      <c r="AM149" s="24"/>
      <c r="AN149" s="104">
        <f t="shared" si="15"/>
        <v>6.7</v>
      </c>
      <c r="AO149" s="24"/>
    </row>
    <row r="150" spans="1:41" ht="13">
      <c r="A150" s="3">
        <v>1912</v>
      </c>
      <c r="B150" s="3">
        <v>93.7</v>
      </c>
      <c r="C150" s="38">
        <f t="shared" si="10"/>
        <v>20.503282275711161</v>
      </c>
      <c r="E150" s="31"/>
      <c r="F150" s="100">
        <v>20.503282275711161</v>
      </c>
      <c r="G150" s="45"/>
      <c r="H150" s="48">
        <v>23872</v>
      </c>
      <c r="I150" s="31">
        <f t="shared" si="16"/>
        <v>159.14666666666668</v>
      </c>
      <c r="J150" s="107">
        <v>2.7869999999999999</v>
      </c>
      <c r="K150" s="108">
        <f t="shared" si="17"/>
        <v>166.28878281622912</v>
      </c>
      <c r="L150" s="109">
        <f t="shared" si="18"/>
        <v>166.28878281622912</v>
      </c>
      <c r="M150" s="31">
        <v>28.711239311836813</v>
      </c>
      <c r="N150" s="24"/>
      <c r="O150" s="34">
        <v>1912</v>
      </c>
      <c r="P150" s="36">
        <v>392.14</v>
      </c>
      <c r="Q150" s="30">
        <v>6051.07</v>
      </c>
      <c r="R150" s="45"/>
      <c r="S150" s="3" t="s">
        <v>120</v>
      </c>
      <c r="T150" s="3" t="s">
        <v>120</v>
      </c>
      <c r="U150" s="3">
        <v>1.5</v>
      </c>
      <c r="V150" s="24"/>
      <c r="W150" s="24">
        <v>34.799999999999997</v>
      </c>
      <c r="X150" s="24"/>
      <c r="Y150" s="24"/>
      <c r="Z150" s="24">
        <f t="shared" si="12"/>
        <v>35.990453460620529</v>
      </c>
      <c r="AA150" s="24">
        <f t="shared" si="13"/>
        <v>156.75675675675677</v>
      </c>
      <c r="AB150" s="54">
        <v>1912</v>
      </c>
      <c r="AC150" s="98">
        <v>0.19</v>
      </c>
      <c r="AD150" s="98">
        <v>9.4</v>
      </c>
      <c r="AE150" s="98">
        <f t="shared" si="8"/>
        <v>32.503457814661132</v>
      </c>
      <c r="AF150" s="98">
        <f t="shared" si="9"/>
        <v>0.58455319148936169</v>
      </c>
      <c r="AG150" s="98">
        <f t="shared" si="14"/>
        <v>138.69067103109654</v>
      </c>
      <c r="AH150" s="98">
        <f t="shared" si="11"/>
        <v>88.475083243975376</v>
      </c>
      <c r="AI150" s="98">
        <v>87.759681074258793</v>
      </c>
      <c r="AJ150" s="103"/>
      <c r="AK150" s="24"/>
      <c r="AL150" s="104">
        <v>4.5999999999999996</v>
      </c>
      <c r="AM150" s="24"/>
      <c r="AN150" s="104">
        <f t="shared" si="15"/>
        <v>4.5999999999999996</v>
      </c>
      <c r="AO150" s="24"/>
    </row>
    <row r="151" spans="1:41" ht="13">
      <c r="A151" s="3">
        <v>1913</v>
      </c>
      <c r="B151" s="3">
        <v>100</v>
      </c>
      <c r="C151" s="38">
        <f t="shared" si="10"/>
        <v>21.881838074398249</v>
      </c>
      <c r="E151" s="31"/>
      <c r="F151" s="100">
        <v>21.881838074398249</v>
      </c>
      <c r="G151" s="45"/>
      <c r="H151" s="48">
        <v>24296</v>
      </c>
      <c r="I151" s="31">
        <f t="shared" si="16"/>
        <v>161.97333333333333</v>
      </c>
      <c r="J151" s="107">
        <v>2.9039999999999999</v>
      </c>
      <c r="K151" s="108">
        <f t="shared" si="17"/>
        <v>173.26968973747017</v>
      </c>
      <c r="L151" s="109">
        <f t="shared" si="18"/>
        <v>173.26968973747017</v>
      </c>
      <c r="M151" s="31">
        <v>29.916555063356341</v>
      </c>
      <c r="N151" s="24"/>
      <c r="O151" s="34">
        <v>1913</v>
      </c>
      <c r="P151" s="37">
        <v>402.57</v>
      </c>
      <c r="Q151" s="30">
        <v>6167.66</v>
      </c>
      <c r="R151" s="45"/>
      <c r="S151" s="3" t="s">
        <v>121</v>
      </c>
      <c r="T151" s="3" t="s">
        <v>121</v>
      </c>
      <c r="U151" s="3">
        <v>4.3</v>
      </c>
      <c r="V151" s="24"/>
      <c r="W151" s="24">
        <v>37.1</v>
      </c>
      <c r="X151" s="24"/>
      <c r="Y151" s="24"/>
      <c r="Z151" s="24">
        <f t="shared" si="12"/>
        <v>38.369132856006374</v>
      </c>
      <c r="AA151" s="24">
        <f t="shared" si="13"/>
        <v>167.11711711711715</v>
      </c>
      <c r="AB151" s="54">
        <v>1913</v>
      </c>
      <c r="AC151" s="98">
        <v>0.2</v>
      </c>
      <c r="AD151" s="98">
        <v>9.6</v>
      </c>
      <c r="AE151" s="98">
        <f t="shared" si="8"/>
        <v>33.195020746887963</v>
      </c>
      <c r="AF151" s="98">
        <f t="shared" si="9"/>
        <v>0.60250000000000004</v>
      </c>
      <c r="AG151" s="98">
        <f t="shared" si="14"/>
        <v>142.94871794871793</v>
      </c>
      <c r="AH151" s="98">
        <f t="shared" si="11"/>
        <v>85.53804685880155</v>
      </c>
      <c r="AI151" s="98">
        <v>88.327176889479702</v>
      </c>
      <c r="AJ151" s="103"/>
      <c r="AK151" s="24"/>
      <c r="AL151" s="104">
        <v>4.3</v>
      </c>
      <c r="AM151" s="24"/>
      <c r="AN151" s="104">
        <f t="shared" si="15"/>
        <v>4.3</v>
      </c>
      <c r="AO151" s="24"/>
    </row>
    <row r="152" spans="1:41" ht="13">
      <c r="A152" s="3">
        <v>1914</v>
      </c>
      <c r="B152" s="3">
        <v>94.1</v>
      </c>
      <c r="C152" s="38">
        <f t="shared" si="10"/>
        <v>20.590809628008753</v>
      </c>
      <c r="E152" s="31"/>
      <c r="F152" s="100">
        <v>20.590809628008753</v>
      </c>
      <c r="G152" s="45"/>
      <c r="H152" s="48">
        <v>18633</v>
      </c>
      <c r="I152" s="31">
        <f t="shared" si="16"/>
        <v>124.22</v>
      </c>
      <c r="J152" s="107">
        <v>2.3610000000000002</v>
      </c>
      <c r="K152" s="108">
        <f t="shared" si="17"/>
        <v>140.87112171837711</v>
      </c>
      <c r="L152" s="109">
        <f t="shared" si="18"/>
        <v>140.87112171837711</v>
      </c>
      <c r="M152" s="31">
        <v>24.322653755022152</v>
      </c>
      <c r="N152" s="24"/>
      <c r="O152" s="34">
        <v>1914</v>
      </c>
      <c r="P152" s="37">
        <v>368.06</v>
      </c>
      <c r="Q152" s="30">
        <v>5587.06</v>
      </c>
      <c r="R152" s="45"/>
      <c r="S152" s="3" t="s">
        <v>122</v>
      </c>
      <c r="T152" s="3" t="s">
        <v>122</v>
      </c>
      <c r="U152" s="3">
        <v>5.8</v>
      </c>
      <c r="V152" s="24"/>
      <c r="W152" s="24">
        <v>33.9</v>
      </c>
      <c r="X152" s="24"/>
      <c r="Y152" s="24"/>
      <c r="Z152" s="24">
        <f t="shared" si="12"/>
        <v>35.059665871121723</v>
      </c>
      <c r="AA152" s="24">
        <f t="shared" si="13"/>
        <v>152.70270270270271</v>
      </c>
      <c r="AB152" s="54">
        <v>1914</v>
      </c>
      <c r="AC152" s="98">
        <v>0.2</v>
      </c>
      <c r="AD152" s="98">
        <v>9.69</v>
      </c>
      <c r="AE152" s="98">
        <f t="shared" si="8"/>
        <v>33.50622406639004</v>
      </c>
      <c r="AF152" s="98">
        <f t="shared" si="9"/>
        <v>0.59690402476780191</v>
      </c>
      <c r="AG152" s="98">
        <f t="shared" si="14"/>
        <v>141.62102087798681</v>
      </c>
      <c r="AH152" s="98">
        <f t="shared" si="11"/>
        <v>92.742969424522329</v>
      </c>
      <c r="AI152" s="98">
        <v>88.881576750880797</v>
      </c>
      <c r="AJ152" s="103"/>
      <c r="AK152" s="24"/>
      <c r="AL152" s="104">
        <v>7.9</v>
      </c>
      <c r="AM152" s="24"/>
      <c r="AN152" s="104">
        <f t="shared" si="15"/>
        <v>7.9</v>
      </c>
      <c r="AO152" s="24"/>
    </row>
    <row r="153" spans="1:41" ht="13">
      <c r="A153" s="3">
        <v>1915</v>
      </c>
      <c r="B153" s="3">
        <v>109.3</v>
      </c>
      <c r="C153" s="38">
        <f t="shared" si="10"/>
        <v>23.916849015317286</v>
      </c>
      <c r="E153" s="31"/>
      <c r="F153" s="100">
        <v>23.916849015317286</v>
      </c>
      <c r="G153" s="45"/>
      <c r="H153" s="48">
        <v>16211</v>
      </c>
      <c r="I153" s="31">
        <f t="shared" si="16"/>
        <v>108.07333333333334</v>
      </c>
      <c r="J153" s="107">
        <v>2.1949999999999998</v>
      </c>
      <c r="K153" s="108">
        <f t="shared" si="17"/>
        <v>130.96658711217182</v>
      </c>
      <c r="L153" s="109">
        <f t="shared" si="18"/>
        <v>130.96658711217182</v>
      </c>
      <c r="M153" s="31">
        <v>22.612547646028634</v>
      </c>
      <c r="N153" s="24"/>
      <c r="O153" s="34">
        <v>1915</v>
      </c>
      <c r="P153" s="37">
        <v>384.65</v>
      </c>
      <c r="Q153" s="30">
        <v>5657.46</v>
      </c>
      <c r="R153" s="45"/>
      <c r="S153" s="3" t="s">
        <v>123</v>
      </c>
      <c r="T153" s="3" t="s">
        <v>123</v>
      </c>
      <c r="U153" s="3">
        <v>6.1</v>
      </c>
      <c r="V153" s="24"/>
      <c r="W153" s="24">
        <v>34.799999999999997</v>
      </c>
      <c r="X153" s="24"/>
      <c r="Y153" s="24"/>
      <c r="Z153" s="24">
        <f t="shared" si="12"/>
        <v>35.990453460620529</v>
      </c>
      <c r="AA153" s="24">
        <f t="shared" si="13"/>
        <v>156.75675675675677</v>
      </c>
      <c r="AB153" s="54">
        <v>1915</v>
      </c>
      <c r="AC153" s="98">
        <v>0.2</v>
      </c>
      <c r="AD153" s="98">
        <v>9.74</v>
      </c>
      <c r="AE153" s="98">
        <f t="shared" si="8"/>
        <v>33.679114799446751</v>
      </c>
      <c r="AF153" s="98">
        <f t="shared" si="9"/>
        <v>0.59383983572895271</v>
      </c>
      <c r="AG153" s="98">
        <f t="shared" si="14"/>
        <v>140.89401358395196</v>
      </c>
      <c r="AH153" s="98">
        <f t="shared" si="11"/>
        <v>89.880663838038316</v>
      </c>
      <c r="AI153" s="98">
        <v>89.352166798000994</v>
      </c>
      <c r="AJ153" s="103"/>
      <c r="AK153" s="24"/>
      <c r="AL153" s="104">
        <v>8.5</v>
      </c>
      <c r="AM153" s="24"/>
      <c r="AN153" s="104">
        <f t="shared" si="15"/>
        <v>8.5</v>
      </c>
      <c r="AO153" s="24"/>
    </row>
    <row r="154" spans="1:41" ht="13">
      <c r="A154" s="3">
        <v>1916</v>
      </c>
      <c r="B154" s="3">
        <v>129.6</v>
      </c>
      <c r="C154" s="38">
        <f t="shared" si="10"/>
        <v>28.358862144420133</v>
      </c>
      <c r="E154" s="31"/>
      <c r="F154" s="100">
        <v>28.358862144420133</v>
      </c>
      <c r="G154" s="45"/>
      <c r="H154" s="48">
        <v>21013</v>
      </c>
      <c r="I154" s="31">
        <f t="shared" si="16"/>
        <v>140.08666666666667</v>
      </c>
      <c r="J154" s="107">
        <v>2.8260000000000001</v>
      </c>
      <c r="K154" s="108">
        <f t="shared" si="17"/>
        <v>168.61575178997614</v>
      </c>
      <c r="L154" s="109">
        <f t="shared" si="18"/>
        <v>168.61575178997614</v>
      </c>
      <c r="M154" s="31">
        <v>29.113011229009992</v>
      </c>
      <c r="N154" s="24"/>
      <c r="O154" s="34">
        <v>1916</v>
      </c>
      <c r="P154" s="37">
        <v>486.83</v>
      </c>
      <c r="Q154" s="30">
        <v>6352.56</v>
      </c>
      <c r="R154" s="45"/>
      <c r="S154" s="3" t="s">
        <v>124</v>
      </c>
      <c r="T154" s="3" t="s">
        <v>124</v>
      </c>
      <c r="U154" s="3">
        <v>5.9</v>
      </c>
      <c r="V154" s="24"/>
      <c r="W154" s="24">
        <v>38.6</v>
      </c>
      <c r="X154" s="24"/>
      <c r="Y154" s="24"/>
      <c r="Z154" s="24">
        <f t="shared" si="12"/>
        <v>39.920445505171053</v>
      </c>
      <c r="AA154" s="24">
        <f t="shared" si="13"/>
        <v>173.87387387387389</v>
      </c>
      <c r="AB154" s="54">
        <v>1916</v>
      </c>
      <c r="AC154" s="98">
        <v>0.24</v>
      </c>
      <c r="AD154" s="98">
        <v>10.64</v>
      </c>
      <c r="AE154" s="98">
        <f t="shared" si="8"/>
        <v>36.791147994467494</v>
      </c>
      <c r="AF154" s="98">
        <f t="shared" si="9"/>
        <v>0.65233082706766921</v>
      </c>
      <c r="AG154" s="98">
        <f t="shared" si="14"/>
        <v>154.77154424522845</v>
      </c>
      <c r="AH154" s="98">
        <f t="shared" si="11"/>
        <v>89.013686068499254</v>
      </c>
      <c r="AI154" s="98">
        <v>89.706817402870399</v>
      </c>
      <c r="AJ154" s="103"/>
      <c r="AK154" s="24"/>
      <c r="AL154" s="104">
        <v>5.0999999999999996</v>
      </c>
      <c r="AM154" s="24"/>
      <c r="AN154" s="104">
        <f t="shared" si="15"/>
        <v>5.0999999999999996</v>
      </c>
      <c r="AO154" s="24"/>
    </row>
    <row r="155" spans="1:41" ht="13">
      <c r="A155" s="3">
        <v>1917</v>
      </c>
      <c r="B155" s="3">
        <v>129.69999999999999</v>
      </c>
      <c r="C155" s="38">
        <f t="shared" si="10"/>
        <v>28.380743982494526</v>
      </c>
      <c r="E155" s="31"/>
      <c r="F155" s="100">
        <v>28.380743982494526</v>
      </c>
      <c r="G155" s="45"/>
      <c r="H155" s="48">
        <v>22563</v>
      </c>
      <c r="I155" s="31">
        <f t="shared" si="16"/>
        <v>150.41999999999999</v>
      </c>
      <c r="J155" s="107">
        <v>3.194</v>
      </c>
      <c r="K155" s="108">
        <f t="shared" si="17"/>
        <v>190.5727923627685</v>
      </c>
      <c r="L155" s="109">
        <f t="shared" si="18"/>
        <v>190.5727923627685</v>
      </c>
      <c r="M155" s="31">
        <v>32.90408983207994</v>
      </c>
      <c r="N155" s="24"/>
      <c r="O155" s="34">
        <v>1917</v>
      </c>
      <c r="P155" s="37">
        <v>577.30999999999995</v>
      </c>
      <c r="Q155" s="30">
        <v>6108.39</v>
      </c>
      <c r="R155" s="45"/>
      <c r="S155" s="3" t="s">
        <v>125</v>
      </c>
      <c r="T155" s="3" t="s">
        <v>125</v>
      </c>
      <c r="U155" s="3">
        <v>6</v>
      </c>
      <c r="V155" s="24"/>
      <c r="W155" s="24">
        <v>35.700000000000003</v>
      </c>
      <c r="X155" s="24"/>
      <c r="Y155" s="24"/>
      <c r="Z155" s="24">
        <f t="shared" si="12"/>
        <v>36.921241050119342</v>
      </c>
      <c r="AA155" s="24">
        <f t="shared" si="13"/>
        <v>160.81081081081084</v>
      </c>
      <c r="AB155" s="54">
        <v>1917</v>
      </c>
      <c r="AC155" s="98">
        <v>0.28999999999999998</v>
      </c>
      <c r="AD155" s="98">
        <v>12.82</v>
      </c>
      <c r="AE155" s="98">
        <f t="shared" si="8"/>
        <v>44.329183955739971</v>
      </c>
      <c r="AF155" s="98">
        <f t="shared" si="9"/>
        <v>0.65419656786271441</v>
      </c>
      <c r="AG155" s="98">
        <f t="shared" si="14"/>
        <v>155.21420856834268</v>
      </c>
      <c r="AH155" s="98">
        <f t="shared" si="11"/>
        <v>96.519759950061825</v>
      </c>
      <c r="AI155" s="98">
        <v>89.918677269539003</v>
      </c>
      <c r="AJ155" s="103"/>
      <c r="AK155" s="24"/>
      <c r="AL155" s="104">
        <v>4.5999999999999996</v>
      </c>
      <c r="AM155" s="24"/>
      <c r="AN155" s="104">
        <f t="shared" si="15"/>
        <v>4.5999999999999996</v>
      </c>
      <c r="AO155" s="24"/>
    </row>
    <row r="156" spans="1:41" ht="13">
      <c r="A156" s="3">
        <v>1918</v>
      </c>
      <c r="B156" s="3">
        <v>128.80000000000001</v>
      </c>
      <c r="C156" s="38">
        <f t="shared" si="10"/>
        <v>28.18380743982495</v>
      </c>
      <c r="E156" s="31"/>
      <c r="F156" s="100">
        <v>28.18380743982495</v>
      </c>
      <c r="G156" s="45"/>
      <c r="H156" s="48">
        <v>20273</v>
      </c>
      <c r="I156" s="31">
        <f t="shared" si="16"/>
        <v>135.15333333333334</v>
      </c>
      <c r="J156" s="107">
        <v>3.35</v>
      </c>
      <c r="K156" s="108">
        <f t="shared" si="17"/>
        <v>199.88066825775658</v>
      </c>
      <c r="L156" s="109">
        <f t="shared" si="18"/>
        <v>199.88066825775658</v>
      </c>
      <c r="M156" s="31">
        <v>34.511177500772639</v>
      </c>
      <c r="N156" s="24"/>
      <c r="O156" s="34">
        <v>1918</v>
      </c>
      <c r="P156" s="37">
        <v>725.35</v>
      </c>
      <c r="Q156" s="30">
        <v>6586.95</v>
      </c>
      <c r="R156" s="45"/>
      <c r="S156" s="3" t="s">
        <v>126</v>
      </c>
      <c r="T156" s="3" t="s">
        <v>126</v>
      </c>
      <c r="U156" s="3">
        <v>7.2</v>
      </c>
      <c r="V156" s="24"/>
      <c r="W156" s="24">
        <v>40.1</v>
      </c>
      <c r="X156" s="24"/>
      <c r="Y156" s="24"/>
      <c r="Z156" s="24">
        <f t="shared" si="12"/>
        <v>41.471758154335731</v>
      </c>
      <c r="AA156" s="24">
        <f t="shared" si="13"/>
        <v>180.63063063063066</v>
      </c>
      <c r="AB156" s="54">
        <v>1918</v>
      </c>
      <c r="AC156" s="98">
        <v>0.36</v>
      </c>
      <c r="AD156" s="98">
        <v>15.06</v>
      </c>
      <c r="AE156" s="98">
        <f t="shared" si="8"/>
        <v>52.074688796680498</v>
      </c>
      <c r="AF156" s="98">
        <f t="shared" si="9"/>
        <v>0.69131474103585655</v>
      </c>
      <c r="AG156" s="98">
        <f t="shared" si="14"/>
        <v>164.02083971805087</v>
      </c>
      <c r="AH156" s="98">
        <f t="shared" si="11"/>
        <v>90.804554656876022</v>
      </c>
      <c r="AI156" s="98">
        <v>89.953926928028096</v>
      </c>
      <c r="AJ156" s="103"/>
      <c r="AK156" s="24"/>
      <c r="AL156" s="104">
        <v>1.4</v>
      </c>
      <c r="AM156" s="24"/>
      <c r="AN156" s="104">
        <f t="shared" si="15"/>
        <v>1.4</v>
      </c>
      <c r="AO156" s="24"/>
    </row>
    <row r="157" spans="1:41" ht="13">
      <c r="A157" s="3">
        <v>1919</v>
      </c>
      <c r="B157" s="3">
        <v>113.2</v>
      </c>
      <c r="C157" s="38">
        <f t="shared" si="10"/>
        <v>24.770240700218817</v>
      </c>
      <c r="D157" s="3">
        <v>4.9172000000000002</v>
      </c>
      <c r="E157" s="31">
        <f>D157*100/$D$196</f>
        <v>24.310020492360479</v>
      </c>
      <c r="F157" s="100">
        <v>24.310020492360479</v>
      </c>
      <c r="G157" s="45"/>
      <c r="H157" s="48">
        <v>20392</v>
      </c>
      <c r="I157" s="31">
        <f t="shared" si="16"/>
        <v>135.94666666666666</v>
      </c>
      <c r="J157" s="107">
        <v>3.4769999999999999</v>
      </c>
      <c r="K157" s="108">
        <f t="shared" si="17"/>
        <v>207.45823389021479</v>
      </c>
      <c r="L157" s="109">
        <f t="shared" si="18"/>
        <v>207.45823389021479</v>
      </c>
      <c r="M157" s="31">
        <v>35.819511692592968</v>
      </c>
      <c r="N157" s="24"/>
      <c r="O157" s="34">
        <v>1919</v>
      </c>
      <c r="P157" s="37">
        <v>745.59</v>
      </c>
      <c r="Q157" s="30">
        <v>6607.38</v>
      </c>
      <c r="R157" s="45"/>
      <c r="S157" s="3" t="s">
        <v>127</v>
      </c>
      <c r="T157" s="3" t="s">
        <v>127</v>
      </c>
      <c r="U157" s="3">
        <v>8.8000000000000007</v>
      </c>
      <c r="V157" s="24"/>
      <c r="W157" s="24">
        <v>43.1</v>
      </c>
      <c r="X157" s="24"/>
      <c r="Y157" s="24"/>
      <c r="Z157" s="24">
        <f t="shared" si="12"/>
        <v>44.574383452665082</v>
      </c>
      <c r="AA157" s="24">
        <f t="shared" si="13"/>
        <v>194.14414414414415</v>
      </c>
      <c r="AB157" s="54">
        <v>1919</v>
      </c>
      <c r="AC157" s="98">
        <v>0.43</v>
      </c>
      <c r="AD157" s="98">
        <v>17.3</v>
      </c>
      <c r="AE157" s="98">
        <f t="shared" ref="AE157:AE220" si="19">AD157*100/$AD$196</f>
        <v>59.820193637621017</v>
      </c>
      <c r="AF157" s="98">
        <f t="shared" ref="AF157:AF220" si="20">AC157*100/AE157</f>
        <v>0.71882080924855496</v>
      </c>
      <c r="AG157" s="98">
        <f t="shared" si="14"/>
        <v>170.54690973766117</v>
      </c>
      <c r="AH157" s="98">
        <f t="shared" si="11"/>
        <v>87.845508031927551</v>
      </c>
      <c r="AI157" s="98">
        <v>89.844760135663606</v>
      </c>
      <c r="AJ157" s="103"/>
      <c r="AK157" s="24"/>
      <c r="AL157" s="104">
        <v>1.4</v>
      </c>
      <c r="AM157" s="24"/>
      <c r="AN157" s="104">
        <f t="shared" si="15"/>
        <v>1.4</v>
      </c>
      <c r="AO157" s="24"/>
    </row>
    <row r="158" spans="1:41" ht="13">
      <c r="A158" s="3">
        <v>1920</v>
      </c>
      <c r="B158" s="3">
        <v>124</v>
      </c>
      <c r="C158" s="38">
        <f t="shared" si="10"/>
        <v>27.133479212253828</v>
      </c>
      <c r="D158" s="3">
        <v>5.1494499999999999</v>
      </c>
      <c r="E158" s="31">
        <f t="shared" ref="E158:E221" si="21">D158*100/$D$196</f>
        <v>25.458235382816575</v>
      </c>
      <c r="F158" s="100">
        <v>25.458235382816575</v>
      </c>
      <c r="G158" s="45"/>
      <c r="H158" s="48">
        <v>24025</v>
      </c>
      <c r="I158" s="31">
        <f t="shared" si="16"/>
        <v>160.16666666666666</v>
      </c>
      <c r="J158" s="107">
        <v>4.1050000000000004</v>
      </c>
      <c r="K158" s="108">
        <f t="shared" si="17"/>
        <v>244.92840095465399</v>
      </c>
      <c r="L158" s="109">
        <f t="shared" si="18"/>
        <v>244.92840095465399</v>
      </c>
      <c r="M158" s="31">
        <v>42.289069743484092</v>
      </c>
      <c r="N158" s="24"/>
      <c r="O158" s="34">
        <v>1920</v>
      </c>
      <c r="P158" s="37">
        <v>830.29</v>
      </c>
      <c r="Q158" s="30">
        <v>6459.68</v>
      </c>
      <c r="R158" s="45"/>
      <c r="S158" s="101" t="s">
        <v>132</v>
      </c>
      <c r="T158" s="48">
        <f>1+T146</f>
        <v>1836</v>
      </c>
      <c r="U158" s="3">
        <v>9.9</v>
      </c>
      <c r="V158" s="24"/>
      <c r="W158" s="24">
        <v>43</v>
      </c>
      <c r="X158" s="24"/>
      <c r="Y158" s="24"/>
      <c r="Z158" s="24">
        <f t="shared" si="12"/>
        <v>44.470962609387435</v>
      </c>
      <c r="AA158" s="24">
        <f t="shared" si="13"/>
        <v>193.69369369369369</v>
      </c>
      <c r="AB158" s="54">
        <v>1920</v>
      </c>
      <c r="AC158" s="98">
        <v>0.54</v>
      </c>
      <c r="AD158" s="98">
        <v>20.04</v>
      </c>
      <c r="AE158" s="98">
        <f t="shared" si="19"/>
        <v>69.294605809128626</v>
      </c>
      <c r="AF158" s="98">
        <f t="shared" si="20"/>
        <v>0.7792814371257486</v>
      </c>
      <c r="AG158" s="98">
        <f t="shared" si="14"/>
        <v>184.89175495163519</v>
      </c>
      <c r="AH158" s="98">
        <f t="shared" si="11"/>
        <v>95.455743254100028</v>
      </c>
      <c r="AI158" s="98">
        <v>89.631831380491207</v>
      </c>
      <c r="AJ158" s="103"/>
      <c r="AK158" s="24"/>
      <c r="AL158" s="104">
        <v>5.2</v>
      </c>
      <c r="AM158" s="24"/>
      <c r="AN158" s="104">
        <f t="shared" si="15"/>
        <v>5.2</v>
      </c>
      <c r="AO158" s="24"/>
    </row>
    <row r="159" spans="1:41" ht="13">
      <c r="A159" s="3">
        <v>1921</v>
      </c>
      <c r="B159" s="3">
        <v>100.1</v>
      </c>
      <c r="C159" s="38">
        <f t="shared" si="10"/>
        <v>21.903719912472649</v>
      </c>
      <c r="D159" s="3">
        <v>3.959225</v>
      </c>
      <c r="E159" s="31">
        <f t="shared" si="21"/>
        <v>19.573912162178868</v>
      </c>
      <c r="F159" s="100">
        <v>19.573912162178868</v>
      </c>
      <c r="G159" s="45"/>
      <c r="H159" s="48">
        <v>18838</v>
      </c>
      <c r="I159" s="31">
        <f t="shared" si="16"/>
        <v>125.58666666666667</v>
      </c>
      <c r="J159" s="107">
        <v>3.1520000000000001</v>
      </c>
      <c r="K159" s="108">
        <f t="shared" si="17"/>
        <v>188.06682577565633</v>
      </c>
      <c r="L159" s="109">
        <f t="shared" si="18"/>
        <v>188.06682577565633</v>
      </c>
      <c r="M159" s="31">
        <v>32.471412382816524</v>
      </c>
      <c r="N159" s="24"/>
      <c r="O159" s="34">
        <v>1921</v>
      </c>
      <c r="P159" s="37">
        <v>678.13</v>
      </c>
      <c r="Q159" s="30">
        <v>6190.81</v>
      </c>
      <c r="R159" s="45"/>
      <c r="S159" s="3" t="s">
        <v>117</v>
      </c>
      <c r="T159" s="3" t="s">
        <v>117</v>
      </c>
      <c r="U159" s="3">
        <v>11.1</v>
      </c>
      <c r="V159" s="24"/>
      <c r="W159" s="24">
        <v>46.6</v>
      </c>
      <c r="X159" s="24"/>
      <c r="Y159" s="24"/>
      <c r="Z159" s="24">
        <f t="shared" si="12"/>
        <v>48.194112967382665</v>
      </c>
      <c r="AA159" s="24">
        <f t="shared" si="13"/>
        <v>209.90990990990991</v>
      </c>
      <c r="AB159" s="54">
        <v>1921</v>
      </c>
      <c r="AC159" s="98">
        <v>0.48</v>
      </c>
      <c r="AD159" s="98">
        <v>17.899999999999999</v>
      </c>
      <c r="AE159" s="98">
        <f t="shared" si="19"/>
        <v>61.894882434301508</v>
      </c>
      <c r="AF159" s="98">
        <f t="shared" si="20"/>
        <v>0.77550837988826837</v>
      </c>
      <c r="AG159" s="98">
        <f t="shared" si="14"/>
        <v>183.9965620971208</v>
      </c>
      <c r="AH159" s="98">
        <f t="shared" si="11"/>
        <v>87.655014561289306</v>
      </c>
      <c r="AI159" s="98">
        <v>89.335847549199997</v>
      </c>
      <c r="AJ159" s="103"/>
      <c r="AK159" s="24"/>
      <c r="AL159" s="104">
        <v>11.7</v>
      </c>
      <c r="AM159" s="24"/>
      <c r="AN159" s="104">
        <f t="shared" si="15"/>
        <v>11.7</v>
      </c>
      <c r="AO159" s="24"/>
    </row>
    <row r="160" spans="1:41" ht="13">
      <c r="A160" s="3">
        <v>1922</v>
      </c>
      <c r="B160" s="3">
        <v>125.9</v>
      </c>
      <c r="C160" s="38">
        <f t="shared" si="10"/>
        <v>27.549234135667398</v>
      </c>
      <c r="D160" s="3">
        <v>5.04</v>
      </c>
      <c r="E160" s="31">
        <f t="shared" si="21"/>
        <v>24.917128300963316</v>
      </c>
      <c r="F160" s="100">
        <v>24.917128300963316</v>
      </c>
      <c r="G160" s="45"/>
      <c r="H160" s="48">
        <v>22741</v>
      </c>
      <c r="I160" s="31">
        <f t="shared" si="16"/>
        <v>151.60666666666665</v>
      </c>
      <c r="J160" s="107">
        <v>3.6789999999999998</v>
      </c>
      <c r="K160" s="108">
        <f t="shared" si="17"/>
        <v>219.51073985680191</v>
      </c>
      <c r="L160" s="109">
        <f t="shared" si="18"/>
        <v>219.51073985680191</v>
      </c>
      <c r="M160" s="31">
        <v>37.900484186669409</v>
      </c>
      <c r="N160" s="24"/>
      <c r="O160" s="34">
        <v>1922</v>
      </c>
      <c r="P160" s="37">
        <v>667.26</v>
      </c>
      <c r="Q160" s="30">
        <v>6444.86</v>
      </c>
      <c r="R160" s="45"/>
      <c r="S160" s="3" t="s">
        <v>118</v>
      </c>
      <c r="T160" s="3" t="s">
        <v>118</v>
      </c>
      <c r="U160" s="3">
        <v>14.4</v>
      </c>
      <c r="V160" s="24"/>
      <c r="W160" s="24">
        <v>45.4</v>
      </c>
      <c r="X160" s="24"/>
      <c r="Y160" s="24"/>
      <c r="Z160" s="24">
        <f t="shared" si="12"/>
        <v>46.953062848050919</v>
      </c>
      <c r="AA160" s="24">
        <f t="shared" si="13"/>
        <v>204.50450450450452</v>
      </c>
      <c r="AB160" s="54">
        <v>1922</v>
      </c>
      <c r="AC160" s="98">
        <v>0.44</v>
      </c>
      <c r="AD160" s="98">
        <v>16.77</v>
      </c>
      <c r="AE160" s="98">
        <f t="shared" si="19"/>
        <v>57.987551867219914</v>
      </c>
      <c r="AF160" s="98">
        <f t="shared" si="20"/>
        <v>0.75878354203935605</v>
      </c>
      <c r="AG160" s="98">
        <f t="shared" si="14"/>
        <v>180.0284390624283</v>
      </c>
      <c r="AH160" s="98">
        <f t="shared" si="11"/>
        <v>88.031527471055242</v>
      </c>
      <c r="AI160" s="98">
        <v>89.035797214674204</v>
      </c>
      <c r="AJ160" s="103"/>
      <c r="AK160" s="24"/>
      <c r="AL160" s="104">
        <v>6.7</v>
      </c>
      <c r="AM160" s="24"/>
      <c r="AN160" s="104">
        <f t="shared" si="15"/>
        <v>6.7</v>
      </c>
      <c r="AO160" s="24"/>
    </row>
    <row r="161" spans="1:41" ht="13">
      <c r="A161" s="3">
        <v>1923</v>
      </c>
      <c r="B161" s="3">
        <v>144.4</v>
      </c>
      <c r="C161" s="38">
        <f t="shared" si="10"/>
        <v>31.597374179431071</v>
      </c>
      <c r="D161" s="3">
        <v>6.0069249999999998</v>
      </c>
      <c r="E161" s="31">
        <f t="shared" si="21"/>
        <v>29.697484309377792</v>
      </c>
      <c r="F161" s="100">
        <v>29.697484309377792</v>
      </c>
      <c r="G161" s="45"/>
      <c r="H161" s="48">
        <v>28621</v>
      </c>
      <c r="I161" s="31">
        <f t="shared" si="16"/>
        <v>190.80666666666667</v>
      </c>
      <c r="J161" s="107">
        <v>4.8810000000000002</v>
      </c>
      <c r="K161" s="108">
        <f t="shared" si="17"/>
        <v>291.22911694510742</v>
      </c>
      <c r="L161" s="109">
        <f t="shared" si="18"/>
        <v>291.22911694510742</v>
      </c>
      <c r="M161" s="31">
        <v>50.283300710827234</v>
      </c>
      <c r="N161" s="24"/>
      <c r="O161" s="34">
        <v>1923</v>
      </c>
      <c r="P161" s="37">
        <v>762.98</v>
      </c>
      <c r="Q161" s="30">
        <v>7169.82</v>
      </c>
      <c r="R161" s="45"/>
      <c r="S161" s="3" t="s">
        <v>119</v>
      </c>
      <c r="T161" s="3" t="s">
        <v>119</v>
      </c>
      <c r="U161" s="3">
        <v>17.399999999999999</v>
      </c>
      <c r="V161" s="24"/>
      <c r="W161" s="24">
        <v>47.5</v>
      </c>
      <c r="X161" s="24"/>
      <c r="Y161" s="24"/>
      <c r="Z161" s="24">
        <f t="shared" si="12"/>
        <v>49.124900556881471</v>
      </c>
      <c r="AA161" s="24">
        <f t="shared" si="13"/>
        <v>213.96396396396401</v>
      </c>
      <c r="AB161" s="54">
        <v>1923</v>
      </c>
      <c r="AC161" s="98">
        <v>0.48</v>
      </c>
      <c r="AD161" s="98">
        <v>17.07</v>
      </c>
      <c r="AE161" s="98">
        <f t="shared" si="19"/>
        <v>59.024896265560166</v>
      </c>
      <c r="AF161" s="98">
        <f t="shared" si="20"/>
        <v>0.81321616871704749</v>
      </c>
      <c r="AG161" s="98">
        <f t="shared" si="14"/>
        <v>192.9430850344734</v>
      </c>
      <c r="AH161" s="98">
        <f t="shared" si="11"/>
        <v>90.17550500558545</v>
      </c>
      <c r="AI161" s="98">
        <v>88.793910474305903</v>
      </c>
      <c r="AJ161" s="103"/>
      <c r="AK161" s="24"/>
      <c r="AL161" s="104">
        <v>2.4</v>
      </c>
      <c r="AM161" s="24"/>
      <c r="AN161" s="104">
        <f t="shared" si="15"/>
        <v>2.4</v>
      </c>
      <c r="AO161" s="24"/>
    </row>
    <row r="162" spans="1:41" ht="13">
      <c r="A162" s="3">
        <v>1924</v>
      </c>
      <c r="B162" s="3">
        <v>137.69999999999999</v>
      </c>
      <c r="C162" s="38">
        <f t="shared" si="10"/>
        <v>30.131291028446384</v>
      </c>
      <c r="D162" s="3">
        <v>5.6273</v>
      </c>
      <c r="E162" s="31">
        <f t="shared" si="21"/>
        <v>27.820665890478349</v>
      </c>
      <c r="F162" s="100">
        <v>27.820665890478349</v>
      </c>
      <c r="G162" s="45"/>
      <c r="H162" s="48">
        <v>26922</v>
      </c>
      <c r="I162" s="31">
        <f t="shared" si="16"/>
        <v>179.48</v>
      </c>
      <c r="J162" s="107">
        <v>4.4059999999999997</v>
      </c>
      <c r="K162" s="108">
        <f t="shared" si="17"/>
        <v>262.88782816229116</v>
      </c>
      <c r="L162" s="109">
        <f t="shared" si="18"/>
        <v>262.88782816229116</v>
      </c>
      <c r="M162" s="31">
        <v>45.389924796538573</v>
      </c>
      <c r="N162" s="24"/>
      <c r="O162" s="34">
        <v>1924</v>
      </c>
      <c r="P162" s="37">
        <v>761.96</v>
      </c>
      <c r="Q162" s="30">
        <v>7250.57</v>
      </c>
      <c r="R162" s="45"/>
      <c r="S162" s="3" t="s">
        <v>120</v>
      </c>
      <c r="T162" s="3" t="s">
        <v>120</v>
      </c>
      <c r="U162" s="3">
        <v>17.3</v>
      </c>
      <c r="V162" s="24"/>
      <c r="W162" s="24">
        <v>50.5</v>
      </c>
      <c r="X162" s="24"/>
      <c r="Y162" s="24"/>
      <c r="Z162" s="24">
        <f t="shared" si="12"/>
        <v>52.227525855210828</v>
      </c>
      <c r="AA162" s="24">
        <f t="shared" si="13"/>
        <v>227.47747747747749</v>
      </c>
      <c r="AB162" s="54">
        <v>1924</v>
      </c>
      <c r="AC162" s="98">
        <v>0.51</v>
      </c>
      <c r="AD162" s="98">
        <v>17.100000000000001</v>
      </c>
      <c r="AE162" s="98">
        <f t="shared" si="19"/>
        <v>59.128630705394194</v>
      </c>
      <c r="AF162" s="98">
        <f t="shared" si="20"/>
        <v>0.86252631578947359</v>
      </c>
      <c r="AG162" s="98">
        <f t="shared" si="14"/>
        <v>204.6423751686909</v>
      </c>
      <c r="AH162" s="98">
        <f t="shared" si="11"/>
        <v>89.961598589008673</v>
      </c>
      <c r="AI162" s="98">
        <v>88.662359453340699</v>
      </c>
      <c r="AJ162" s="103"/>
      <c r="AK162" s="24"/>
      <c r="AL162" s="104">
        <v>5</v>
      </c>
      <c r="AM162" s="24"/>
      <c r="AN162" s="104">
        <f t="shared" si="15"/>
        <v>5</v>
      </c>
      <c r="AO162" s="24"/>
    </row>
    <row r="163" spans="1:41" ht="13">
      <c r="A163" s="3">
        <v>1925</v>
      </c>
      <c r="B163" s="3">
        <v>153</v>
      </c>
      <c r="C163" s="38">
        <f t="shared" ref="C163:C197" si="22">B163*100/$B$196</f>
        <v>33.479212253829324</v>
      </c>
      <c r="D163" s="3">
        <v>6.1989999999999998</v>
      </c>
      <c r="E163" s="31">
        <f t="shared" si="21"/>
        <v>30.6470790352523</v>
      </c>
      <c r="F163" s="100">
        <v>30.6470790352523</v>
      </c>
      <c r="G163" s="45"/>
      <c r="H163" s="48">
        <v>29956</v>
      </c>
      <c r="I163" s="31">
        <f t="shared" si="16"/>
        <v>199.70666666666668</v>
      </c>
      <c r="J163" s="107">
        <v>5.3490000000000002</v>
      </c>
      <c r="K163" s="108">
        <f t="shared" si="17"/>
        <v>319.1527446300716</v>
      </c>
      <c r="L163" s="109">
        <f t="shared" si="18"/>
        <v>319.1527446300716</v>
      </c>
      <c r="M163" s="31">
        <v>55.104563716905325</v>
      </c>
      <c r="N163" s="24"/>
      <c r="O163" s="34">
        <v>1925</v>
      </c>
      <c r="P163" s="37">
        <v>781.97</v>
      </c>
      <c r="Q163" s="30">
        <v>7310.68</v>
      </c>
      <c r="R163" s="45"/>
      <c r="S163" s="3" t="s">
        <v>121</v>
      </c>
      <c r="T163" s="3" t="s">
        <v>121</v>
      </c>
      <c r="U163" s="3">
        <v>16.5</v>
      </c>
      <c r="V163" s="24"/>
      <c r="W163" s="24">
        <v>50.1</v>
      </c>
      <c r="X163" s="24"/>
      <c r="Y163" s="24"/>
      <c r="Z163" s="24">
        <f t="shared" si="12"/>
        <v>51.813842482100249</v>
      </c>
      <c r="AA163" s="24">
        <f t="shared" si="13"/>
        <v>225.67567567567568</v>
      </c>
      <c r="AB163" s="54">
        <v>1925</v>
      </c>
      <c r="AC163" s="98">
        <v>0.5</v>
      </c>
      <c r="AD163" s="98">
        <v>17.53</v>
      </c>
      <c r="AE163" s="98">
        <f t="shared" si="19"/>
        <v>60.615491009681875</v>
      </c>
      <c r="AF163" s="98">
        <f t="shared" si="20"/>
        <v>0.82487164860239592</v>
      </c>
      <c r="AG163" s="98">
        <f t="shared" si="14"/>
        <v>195.70845583395496</v>
      </c>
      <c r="AH163" s="98">
        <f t="shared" si="11"/>
        <v>86.72111216594412</v>
      </c>
      <c r="AI163" s="98">
        <v>88.707177172280893</v>
      </c>
      <c r="AJ163" s="103"/>
      <c r="AK163" s="24"/>
      <c r="AL163" s="104">
        <v>3.2</v>
      </c>
      <c r="AM163" s="24"/>
      <c r="AN163" s="104">
        <f t="shared" si="15"/>
        <v>3.2</v>
      </c>
      <c r="AO163" s="24"/>
    </row>
    <row r="164" spans="1:41" ht="13">
      <c r="A164" s="3">
        <v>1926</v>
      </c>
      <c r="B164" s="3">
        <v>163.1</v>
      </c>
      <c r="C164" s="38">
        <f t="shared" si="22"/>
        <v>35.689277899343544</v>
      </c>
      <c r="D164" s="3">
        <v>6.5585000000000004</v>
      </c>
      <c r="E164" s="31">
        <f t="shared" si="21"/>
        <v>32.424401976561093</v>
      </c>
      <c r="F164" s="100">
        <v>32.424401976561093</v>
      </c>
      <c r="G164" s="45"/>
      <c r="H164" s="48">
        <v>32949</v>
      </c>
      <c r="I164" s="31">
        <f t="shared" si="16"/>
        <v>219.66</v>
      </c>
      <c r="J164" s="107">
        <v>5.38</v>
      </c>
      <c r="K164" s="108">
        <f t="shared" si="17"/>
        <v>321.00238663484487</v>
      </c>
      <c r="L164" s="109">
        <f t="shared" si="18"/>
        <v>321.00238663484487</v>
      </c>
      <c r="M164" s="31">
        <v>55.423920881837844</v>
      </c>
      <c r="N164" s="24"/>
      <c r="O164" s="34">
        <v>1926</v>
      </c>
      <c r="P164" s="37">
        <v>825.82</v>
      </c>
      <c r="Q164" s="30">
        <v>7684.37</v>
      </c>
      <c r="R164" s="45"/>
      <c r="S164" s="3" t="s">
        <v>122</v>
      </c>
      <c r="T164" s="3" t="s">
        <v>122</v>
      </c>
      <c r="U164" s="3">
        <v>16.5</v>
      </c>
      <c r="V164" s="24"/>
      <c r="W164" s="24">
        <v>51.4</v>
      </c>
      <c r="X164" s="24"/>
      <c r="Y164" s="24"/>
      <c r="Z164" s="24">
        <f t="shared" si="12"/>
        <v>53.158313444709634</v>
      </c>
      <c r="AA164" s="24">
        <f t="shared" si="13"/>
        <v>231.53153153153156</v>
      </c>
      <c r="AB164" s="54">
        <v>1926</v>
      </c>
      <c r="AC164" s="98">
        <v>0.51</v>
      </c>
      <c r="AD164" s="98">
        <v>17.7</v>
      </c>
      <c r="AE164" s="98">
        <f t="shared" si="19"/>
        <v>61.203319502074685</v>
      </c>
      <c r="AF164" s="98">
        <f t="shared" si="20"/>
        <v>0.83328813559322035</v>
      </c>
      <c r="AG164" s="98">
        <f t="shared" si="14"/>
        <v>197.70534550195563</v>
      </c>
      <c r="AH164" s="98">
        <f t="shared" si="11"/>
        <v>85.39024650084464</v>
      </c>
      <c r="AI164" s="98">
        <v>89.007373057095606</v>
      </c>
      <c r="AJ164" s="103"/>
      <c r="AK164" s="24"/>
      <c r="AL164" s="104">
        <v>1.8</v>
      </c>
      <c r="AM164" s="24"/>
      <c r="AN164" s="104">
        <f t="shared" si="15"/>
        <v>1.8</v>
      </c>
      <c r="AO164" s="24"/>
    </row>
    <row r="165" spans="1:41" ht="13">
      <c r="A165" s="3">
        <v>1927</v>
      </c>
      <c r="B165" s="3">
        <v>164.5</v>
      </c>
      <c r="C165" s="38">
        <f t="shared" si="22"/>
        <v>35.995623632385119</v>
      </c>
      <c r="D165" s="3">
        <v>6.5540500000000002</v>
      </c>
      <c r="E165" s="31">
        <f t="shared" si="21"/>
        <v>32.402401734311233</v>
      </c>
      <c r="F165" s="100">
        <v>32.402401734311233</v>
      </c>
      <c r="G165" s="45"/>
      <c r="H165" s="48">
        <v>31811</v>
      </c>
      <c r="I165" s="31">
        <f t="shared" si="16"/>
        <v>212.07333333333332</v>
      </c>
      <c r="J165" s="107">
        <v>5.1609999999999996</v>
      </c>
      <c r="K165" s="108">
        <f t="shared" si="17"/>
        <v>307.93556085918851</v>
      </c>
      <c r="L165" s="109">
        <f t="shared" si="18"/>
        <v>307.93556085918851</v>
      </c>
      <c r="M165" s="31">
        <v>53.167817039250018</v>
      </c>
      <c r="N165" s="24"/>
      <c r="O165" s="34">
        <v>1927</v>
      </c>
      <c r="P165" s="37">
        <v>802.66</v>
      </c>
      <c r="Q165" s="30">
        <v>7651.82</v>
      </c>
      <c r="R165" s="45"/>
      <c r="S165" s="3" t="s">
        <v>123</v>
      </c>
      <c r="T165" s="3" t="s">
        <v>123</v>
      </c>
      <c r="U165" s="3">
        <v>16.2</v>
      </c>
      <c r="V165" s="24"/>
      <c r="W165" s="24">
        <v>51.6</v>
      </c>
      <c r="X165" s="24"/>
      <c r="Y165" s="24"/>
      <c r="Z165" s="24">
        <f t="shared" si="12"/>
        <v>53.365155131264927</v>
      </c>
      <c r="AA165" s="24">
        <f t="shared" si="13"/>
        <v>232.43243243243245</v>
      </c>
      <c r="AB165" s="54">
        <v>1927</v>
      </c>
      <c r="AC165" s="98">
        <v>0.52</v>
      </c>
      <c r="AD165" s="98">
        <v>17.37</v>
      </c>
      <c r="AE165" s="98">
        <f t="shared" si="19"/>
        <v>60.062240663900411</v>
      </c>
      <c r="AF165" s="98">
        <f t="shared" si="20"/>
        <v>0.86576856649395517</v>
      </c>
      <c r="AG165" s="98">
        <f t="shared" si="14"/>
        <v>205.41162924582613</v>
      </c>
      <c r="AH165" s="98">
        <f t="shared" si="11"/>
        <v>88.374770722041475</v>
      </c>
      <c r="AI165" s="98">
        <v>89.622084762031093</v>
      </c>
      <c r="AJ165" s="103"/>
      <c r="AK165" s="24"/>
      <c r="AL165" s="104">
        <v>3.3</v>
      </c>
      <c r="AM165" s="24"/>
      <c r="AN165" s="104">
        <f t="shared" si="15"/>
        <v>3.3</v>
      </c>
      <c r="AO165" s="24"/>
    </row>
    <row r="166" spans="1:41" ht="13">
      <c r="A166" s="3">
        <v>1928</v>
      </c>
      <c r="B166" s="3">
        <v>171.8</v>
      </c>
      <c r="C166" s="38">
        <f t="shared" si="22"/>
        <v>37.59299781181619</v>
      </c>
      <c r="D166" s="3">
        <v>6.8242500000000001</v>
      </c>
      <c r="E166" s="31">
        <f t="shared" si="21"/>
        <v>33.73823666822399</v>
      </c>
      <c r="F166" s="100">
        <v>33.73823666822399</v>
      </c>
      <c r="G166" s="45"/>
      <c r="H166" s="48">
        <v>31974</v>
      </c>
      <c r="I166" s="31">
        <f>H166*100/$H$139</f>
        <v>213.16</v>
      </c>
      <c r="J166" s="107">
        <v>5.2409999999999997</v>
      </c>
      <c r="K166" s="108">
        <f t="shared" si="17"/>
        <v>312.70883054892596</v>
      </c>
      <c r="L166" s="109">
        <f t="shared" si="18"/>
        <v>312.70883054892596</v>
      </c>
      <c r="M166" s="31">
        <v>53.991964561656523</v>
      </c>
      <c r="N166" s="24"/>
      <c r="O166" s="34">
        <v>1928</v>
      </c>
      <c r="P166" s="37">
        <v>807.95</v>
      </c>
      <c r="Q166" s="30">
        <v>7644.85</v>
      </c>
      <c r="R166" s="45"/>
      <c r="S166" s="3" t="s">
        <v>124</v>
      </c>
      <c r="T166" s="3" t="s">
        <v>124</v>
      </c>
      <c r="U166" s="3">
        <v>17.100000000000001</v>
      </c>
      <c r="V166" s="24"/>
      <c r="W166" s="24">
        <v>52</v>
      </c>
      <c r="X166" s="24"/>
      <c r="Y166" s="24"/>
      <c r="Z166" s="24">
        <f t="shared" si="12"/>
        <v>53.778838504375507</v>
      </c>
      <c r="AA166" s="24">
        <f t="shared" si="13"/>
        <v>234.23423423423426</v>
      </c>
      <c r="AB166" s="54">
        <v>1928</v>
      </c>
      <c r="AC166" s="98">
        <v>0.52</v>
      </c>
      <c r="AD166" s="98">
        <v>17.13</v>
      </c>
      <c r="AE166" s="98">
        <f t="shared" si="19"/>
        <v>59.232365145228215</v>
      </c>
      <c r="AF166" s="98">
        <f t="shared" si="20"/>
        <v>0.87789842381786343</v>
      </c>
      <c r="AG166" s="98">
        <f t="shared" si="14"/>
        <v>208.28955049620546</v>
      </c>
      <c r="AH166" s="98">
        <f t="shared" si="11"/>
        <v>88.923615788764636</v>
      </c>
      <c r="AI166" s="98">
        <v>90.574276210762605</v>
      </c>
      <c r="AJ166" s="103"/>
      <c r="AK166" s="24"/>
      <c r="AL166" s="104">
        <v>4.2</v>
      </c>
      <c r="AM166" s="24"/>
      <c r="AN166" s="104">
        <f t="shared" si="15"/>
        <v>4.2</v>
      </c>
      <c r="AO166" s="24"/>
    </row>
    <row r="167" spans="1:41" ht="13">
      <c r="A167" s="3">
        <v>1929</v>
      </c>
      <c r="B167" s="3">
        <v>188.3</v>
      </c>
      <c r="C167" s="38">
        <f t="shared" si="22"/>
        <v>41.203501094091905</v>
      </c>
      <c r="D167" s="3">
        <v>7.5745750000000003</v>
      </c>
      <c r="E167" s="31">
        <f t="shared" si="21"/>
        <v>37.447749424656585</v>
      </c>
      <c r="F167" s="100">
        <v>37.447749424656585</v>
      </c>
      <c r="G167" s="45"/>
      <c r="H167" s="48">
        <v>34994</v>
      </c>
      <c r="I167" s="31">
        <f>H167*100/$H$139</f>
        <v>233.29333333333332</v>
      </c>
      <c r="J167" s="107">
        <v>5.6929999999999996</v>
      </c>
      <c r="K167" s="108">
        <f t="shared" si="17"/>
        <v>339.67780429594274</v>
      </c>
      <c r="L167" s="109">
        <f t="shared" si="18"/>
        <v>339.67780429594274</v>
      </c>
      <c r="M167" s="31">
        <v>58.648398063253325</v>
      </c>
      <c r="N167" s="24"/>
      <c r="O167" s="39">
        <v>1929</v>
      </c>
      <c r="P167" s="40">
        <v>850.03</v>
      </c>
      <c r="Q167" s="30">
        <v>8016.21</v>
      </c>
      <c r="R167" s="45"/>
      <c r="S167" s="3" t="s">
        <v>125</v>
      </c>
      <c r="T167" s="3" t="s">
        <v>125</v>
      </c>
      <c r="U167" s="3">
        <v>18.100000000000001</v>
      </c>
      <c r="V167" s="24"/>
      <c r="W167" s="24">
        <v>54.1</v>
      </c>
      <c r="X167" s="24"/>
      <c r="Y167" s="24"/>
      <c r="Z167" s="24">
        <f t="shared" si="12"/>
        <v>55.950676213206059</v>
      </c>
      <c r="AA167" s="24">
        <f t="shared" si="13"/>
        <v>243.69369369369375</v>
      </c>
      <c r="AB167" s="54">
        <v>1929</v>
      </c>
      <c r="AC167" s="98">
        <v>0.52</v>
      </c>
      <c r="AD167" s="98">
        <v>17.13</v>
      </c>
      <c r="AE167" s="98">
        <f t="shared" si="19"/>
        <v>59.232365145228215</v>
      </c>
      <c r="AF167" s="98">
        <f t="shared" si="20"/>
        <v>0.87789842381786343</v>
      </c>
      <c r="AG167" s="98">
        <f t="shared" si="14"/>
        <v>208.28955049620546</v>
      </c>
      <c r="AH167" s="98">
        <f t="shared" si="11"/>
        <v>85.47186730158522</v>
      </c>
      <c r="AI167" s="98">
        <v>91.874390479345195</v>
      </c>
      <c r="AJ167" s="103"/>
      <c r="AK167" s="24"/>
      <c r="AL167" s="104">
        <v>3.2</v>
      </c>
      <c r="AM167" s="24"/>
      <c r="AN167" s="104">
        <f t="shared" si="15"/>
        <v>3.2</v>
      </c>
      <c r="AO167" s="24"/>
    </row>
    <row r="168" spans="1:41" ht="13">
      <c r="A168" s="3">
        <v>1930</v>
      </c>
      <c r="B168" s="3">
        <v>155.6</v>
      </c>
      <c r="C168" s="38">
        <f t="shared" si="22"/>
        <v>34.048140043763674</v>
      </c>
      <c r="D168" s="3">
        <v>6.2927749999999998</v>
      </c>
      <c r="E168" s="31">
        <f t="shared" si="21"/>
        <v>31.110690881764768</v>
      </c>
      <c r="F168" s="100">
        <v>31.110690881764768</v>
      </c>
      <c r="G168" s="45"/>
      <c r="H168" s="48">
        <v>28951</v>
      </c>
      <c r="I168" s="31">
        <f>H168*100/$H$139</f>
        <v>193.00666666666666</v>
      </c>
      <c r="J168" s="107">
        <v>4.9050000000000002</v>
      </c>
      <c r="K168" s="108">
        <f t="shared" si="17"/>
        <v>292.66109785202866</v>
      </c>
      <c r="L168" s="109">
        <f t="shared" si="18"/>
        <v>292.66109785202866</v>
      </c>
      <c r="M168" s="31">
        <v>50.53054496754919</v>
      </c>
      <c r="N168" s="24"/>
      <c r="O168" s="41">
        <v>1930</v>
      </c>
      <c r="P168" s="42">
        <v>740.33</v>
      </c>
      <c r="Q168" s="30">
        <v>7247.46</v>
      </c>
      <c r="R168" s="45"/>
      <c r="S168" s="3" t="s">
        <v>126</v>
      </c>
      <c r="T168" s="3" t="s">
        <v>126</v>
      </c>
      <c r="U168" s="3">
        <v>18.399999999999999</v>
      </c>
      <c r="V168" s="24"/>
      <c r="W168" s="24">
        <v>52.5</v>
      </c>
      <c r="X168" s="24"/>
      <c r="Y168" s="24"/>
      <c r="Z168" s="24">
        <f t="shared" si="12"/>
        <v>54.295942720763733</v>
      </c>
      <c r="AA168" s="24">
        <f t="shared" si="13"/>
        <v>236.48648648648651</v>
      </c>
      <c r="AB168" s="54">
        <v>1930</v>
      </c>
      <c r="AC168" s="98">
        <v>0.53</v>
      </c>
      <c r="AD168" s="98">
        <v>16.7</v>
      </c>
      <c r="AE168" s="98">
        <f t="shared" si="19"/>
        <v>57.745504840940519</v>
      </c>
      <c r="AF168" s="98">
        <f t="shared" si="20"/>
        <v>0.91782035928143724</v>
      </c>
      <c r="AG168" s="98">
        <f t="shared" si="14"/>
        <v>217.76140027637032</v>
      </c>
      <c r="AH168" s="98">
        <f t="shared" si="11"/>
        <v>92.081963545436579</v>
      </c>
      <c r="AI168" s="98">
        <v>93.516327881726099</v>
      </c>
      <c r="AJ168" s="103"/>
      <c r="AK168" s="24"/>
      <c r="AL168" s="104">
        <v>8.6999999999999993</v>
      </c>
      <c r="AM168" s="24"/>
      <c r="AN168" s="104">
        <f t="shared" si="15"/>
        <v>8.6999999999999993</v>
      </c>
      <c r="AO168" s="24"/>
    </row>
    <row r="169" spans="1:41">
      <c r="A169" s="3">
        <v>1931</v>
      </c>
      <c r="B169" s="3">
        <v>129.69999999999999</v>
      </c>
      <c r="C169" s="38">
        <f t="shared" si="22"/>
        <v>28.380743982494526</v>
      </c>
      <c r="D169" s="3">
        <v>5.2119749999999998</v>
      </c>
      <c r="E169" s="31">
        <f t="shared" si="21"/>
        <v>25.767351146113747</v>
      </c>
      <c r="F169" s="100">
        <v>25.767351146113747</v>
      </c>
      <c r="G169" s="45"/>
      <c r="J169" s="107">
        <v>3.347</v>
      </c>
      <c r="K169" s="108">
        <f t="shared" si="17"/>
        <v>199.70167064439141</v>
      </c>
      <c r="L169" s="109">
        <f t="shared" si="18"/>
        <v>199.70167064439141</v>
      </c>
      <c r="M169" s="31">
        <v>34.480271968682395</v>
      </c>
      <c r="N169" s="24"/>
      <c r="O169" s="32">
        <v>1931</v>
      </c>
      <c r="P169" s="32">
        <v>616.20000000000005</v>
      </c>
      <c r="Q169" s="33">
        <v>6724.98</v>
      </c>
      <c r="R169" s="45"/>
      <c r="S169" s="3" t="s">
        <v>127</v>
      </c>
      <c r="T169" s="3" t="s">
        <v>127</v>
      </c>
      <c r="U169" s="3">
        <v>18.899999999999999</v>
      </c>
      <c r="V169" s="24"/>
      <c r="W169" s="24">
        <v>53.3</v>
      </c>
      <c r="X169" s="24"/>
      <c r="Y169" s="24"/>
      <c r="Z169" s="24">
        <f t="shared" si="12"/>
        <v>55.123309466984892</v>
      </c>
      <c r="AA169" s="24">
        <f t="shared" si="13"/>
        <v>240.09009009009011</v>
      </c>
      <c r="AB169" s="54">
        <v>1931</v>
      </c>
      <c r="AC169" s="98">
        <v>0.51</v>
      </c>
      <c r="AD169" s="98">
        <v>15.23</v>
      </c>
      <c r="AE169" s="98">
        <f t="shared" si="19"/>
        <v>52.6625172890733</v>
      </c>
      <c r="AF169" s="98">
        <f t="shared" si="20"/>
        <v>0.96843072882468817</v>
      </c>
      <c r="AG169" s="98">
        <f t="shared" si="14"/>
        <v>229.76918026162934</v>
      </c>
      <c r="AH169" s="98">
        <f t="shared" si="11"/>
        <v>95.701234555500392</v>
      </c>
      <c r="AI169" s="98">
        <v>95.429944827058904</v>
      </c>
      <c r="AJ169" s="103"/>
      <c r="AK169" s="24"/>
      <c r="AL169" s="104">
        <v>15.9</v>
      </c>
      <c r="AM169" s="24"/>
      <c r="AN169" s="104">
        <f t="shared" si="15"/>
        <v>15.9</v>
      </c>
      <c r="AO169" s="24"/>
    </row>
    <row r="170" spans="1:41">
      <c r="A170" s="3">
        <v>1932</v>
      </c>
      <c r="B170" s="3">
        <v>100.5</v>
      </c>
      <c r="C170" s="38">
        <f t="shared" si="22"/>
        <v>21.991247264770241</v>
      </c>
      <c r="D170" s="3">
        <v>4.0686249999999999</v>
      </c>
      <c r="E170" s="31">
        <f t="shared" si="21"/>
        <v>20.114772050298981</v>
      </c>
      <c r="F170" s="100">
        <v>20.114772050298981</v>
      </c>
      <c r="G170" s="45"/>
      <c r="J170" s="107">
        <v>2.1739999999999999</v>
      </c>
      <c r="K170" s="108">
        <f t="shared" si="17"/>
        <v>129.71360381861575</v>
      </c>
      <c r="L170" s="109">
        <f t="shared" si="18"/>
        <v>129.71360381861575</v>
      </c>
      <c r="M170" s="31">
        <v>22.39620892139693</v>
      </c>
      <c r="N170" s="24"/>
      <c r="O170" s="32">
        <v>1932</v>
      </c>
      <c r="P170" s="32">
        <v>469.79</v>
      </c>
      <c r="Q170" s="33">
        <v>5808.77</v>
      </c>
      <c r="R170" s="45"/>
      <c r="S170" s="101" t="s">
        <v>133</v>
      </c>
      <c r="T170" s="48">
        <f>1+T158</f>
        <v>1837</v>
      </c>
      <c r="U170" s="3">
        <v>17.100000000000001</v>
      </c>
      <c r="V170" s="24"/>
      <c r="W170" s="24">
        <v>51.6</v>
      </c>
      <c r="X170" s="24"/>
      <c r="Y170" s="24"/>
      <c r="Z170" s="24">
        <f t="shared" si="12"/>
        <v>53.365155131264927</v>
      </c>
      <c r="AA170" s="24">
        <f t="shared" si="13"/>
        <v>232.43243243243245</v>
      </c>
      <c r="AB170" s="54">
        <v>1932</v>
      </c>
      <c r="AC170" s="98">
        <v>0.45</v>
      </c>
      <c r="AD170" s="98">
        <v>13.66</v>
      </c>
      <c r="AE170" s="98">
        <f t="shared" si="19"/>
        <v>47.233748271092665</v>
      </c>
      <c r="AF170" s="98">
        <f t="shared" si="20"/>
        <v>0.95270863836017583</v>
      </c>
      <c r="AG170" s="98">
        <f t="shared" si="14"/>
        <v>226.03896835229193</v>
      </c>
      <c r="AH170" s="98">
        <f t="shared" si="11"/>
        <v>97.249323593427917</v>
      </c>
      <c r="AI170" s="98">
        <v>97.530734445680395</v>
      </c>
      <c r="AJ170" s="103"/>
      <c r="AK170" s="24"/>
      <c r="AL170" s="104">
        <v>23.6</v>
      </c>
      <c r="AM170" s="24"/>
      <c r="AN170" s="104">
        <f t="shared" si="15"/>
        <v>23.6</v>
      </c>
      <c r="AO170" s="24"/>
    </row>
    <row r="171" spans="1:41">
      <c r="A171" s="3">
        <v>1933</v>
      </c>
      <c r="B171" s="3">
        <v>119.9</v>
      </c>
      <c r="C171" s="38">
        <f t="shared" si="22"/>
        <v>26.236323851203501</v>
      </c>
      <c r="D171" s="3">
        <v>4.8189500000000001</v>
      </c>
      <c r="E171" s="31">
        <f t="shared" si="21"/>
        <v>23.82428480673158</v>
      </c>
      <c r="F171" s="100">
        <v>23.82428480673158</v>
      </c>
      <c r="G171" s="45"/>
      <c r="H171" s="2"/>
      <c r="I171" s="2"/>
      <c r="J171" s="107">
        <v>1.96</v>
      </c>
      <c r="K171" s="108">
        <f t="shared" si="17"/>
        <v>116.94510739856803</v>
      </c>
      <c r="L171" s="109">
        <f t="shared" si="18"/>
        <v>116.94510739856803</v>
      </c>
      <c r="M171" s="31">
        <v>20.191614298959514</v>
      </c>
      <c r="N171" s="24"/>
      <c r="O171" s="32">
        <v>1933</v>
      </c>
      <c r="P171" s="32">
        <v>448.72</v>
      </c>
      <c r="Q171" s="33">
        <v>5699.74</v>
      </c>
      <c r="R171" s="45"/>
      <c r="S171" s="3" t="s">
        <v>117</v>
      </c>
      <c r="T171" s="3" t="s">
        <v>117</v>
      </c>
      <c r="U171" s="3">
        <v>21</v>
      </c>
      <c r="V171" s="24"/>
      <c r="W171" s="24">
        <v>50.4</v>
      </c>
      <c r="X171" s="24"/>
      <c r="Y171" s="24"/>
      <c r="Z171" s="24">
        <f t="shared" si="12"/>
        <v>52.124105011933182</v>
      </c>
      <c r="AA171" s="24">
        <f t="shared" si="13"/>
        <v>227.02702702702703</v>
      </c>
      <c r="AB171" s="54">
        <v>1933</v>
      </c>
      <c r="AC171" s="98">
        <v>0.44</v>
      </c>
      <c r="AD171" s="98">
        <v>12.96</v>
      </c>
      <c r="AE171" s="98">
        <f t="shared" si="19"/>
        <v>44.813278008298752</v>
      </c>
      <c r="AF171" s="98">
        <f t="shared" si="20"/>
        <v>0.98185185185185186</v>
      </c>
      <c r="AG171" s="98">
        <f t="shared" si="14"/>
        <v>232.9534662867996</v>
      </c>
      <c r="AH171" s="98">
        <f t="shared" si="11"/>
        <v>102.61045538823315</v>
      </c>
      <c r="AI171" s="98">
        <v>99.736890419656504</v>
      </c>
      <c r="AJ171" s="103"/>
      <c r="AK171" s="24"/>
      <c r="AL171" s="104">
        <v>24.9</v>
      </c>
      <c r="AM171" s="24"/>
      <c r="AN171" s="104">
        <f t="shared" si="15"/>
        <v>24.9</v>
      </c>
      <c r="AO171" s="24"/>
    </row>
    <row r="172" spans="1:41">
      <c r="A172" s="3">
        <v>1934</v>
      </c>
      <c r="B172" s="3">
        <v>129.69999999999999</v>
      </c>
      <c r="C172" s="38">
        <f t="shared" si="22"/>
        <v>28.380743982494526</v>
      </c>
      <c r="D172" s="3">
        <v>5.2231500000000004</v>
      </c>
      <c r="E172" s="31">
        <f t="shared" si="21"/>
        <v>25.82259894547154</v>
      </c>
      <c r="F172" s="100">
        <v>25.82259894547154</v>
      </c>
      <c r="G172" s="45"/>
      <c r="H172" s="2"/>
      <c r="I172" s="2"/>
      <c r="J172" s="107">
        <v>2.347</v>
      </c>
      <c r="K172" s="108">
        <f t="shared" si="17"/>
        <v>140.03579952267302</v>
      </c>
      <c r="L172" s="109">
        <f t="shared" si="18"/>
        <v>140.03579952267302</v>
      </c>
      <c r="M172" s="31">
        <v>24.178427938601008</v>
      </c>
      <c r="N172" s="24"/>
      <c r="O172" s="32">
        <v>1934</v>
      </c>
      <c r="P172" s="32">
        <v>521.79999999999995</v>
      </c>
      <c r="Q172" s="33">
        <v>6280.59</v>
      </c>
      <c r="R172" s="45"/>
      <c r="S172" s="3" t="s">
        <v>118</v>
      </c>
      <c r="T172" s="3" t="s">
        <v>118</v>
      </c>
      <c r="U172" s="3">
        <v>19.5</v>
      </c>
      <c r="V172" s="24"/>
      <c r="W172" s="24">
        <v>55.9</v>
      </c>
      <c r="X172" s="24"/>
      <c r="Y172" s="24"/>
      <c r="Z172" s="24">
        <f t="shared" si="12"/>
        <v>57.812251392203663</v>
      </c>
      <c r="AA172" s="24">
        <f t="shared" si="13"/>
        <v>251.80180180180179</v>
      </c>
      <c r="AB172" s="54">
        <v>1934</v>
      </c>
      <c r="AC172" s="98">
        <v>0.53</v>
      </c>
      <c r="AD172" s="98">
        <v>13.39</v>
      </c>
      <c r="AE172" s="98">
        <f t="shared" si="19"/>
        <v>46.300138312586441</v>
      </c>
      <c r="AF172" s="98">
        <f t="shared" si="20"/>
        <v>1.14470500373413</v>
      </c>
      <c r="AG172" s="98">
        <f t="shared" si="14"/>
        <v>271.59188832079047</v>
      </c>
      <c r="AH172" s="98">
        <f t="shared" si="11"/>
        <v>107.85939035280052</v>
      </c>
      <c r="AI172" s="98">
        <v>101.963799086596</v>
      </c>
      <c r="AJ172" s="103"/>
      <c r="AK172" s="24"/>
      <c r="AL172" s="104">
        <v>21.7</v>
      </c>
      <c r="AM172" s="24"/>
      <c r="AN172" s="104">
        <f t="shared" si="15"/>
        <v>21.7</v>
      </c>
      <c r="AO172" s="24"/>
    </row>
    <row r="173" spans="1:41">
      <c r="A173" s="3">
        <v>1935</v>
      </c>
      <c r="B173" s="3">
        <v>149.1</v>
      </c>
      <c r="C173" s="38">
        <f t="shared" si="22"/>
        <v>32.625820568927793</v>
      </c>
      <c r="D173" s="3">
        <v>6.0493499999999996</v>
      </c>
      <c r="E173" s="31">
        <f t="shared" si="21"/>
        <v>29.907228191950878</v>
      </c>
      <c r="F173" s="100">
        <v>29.907228191950878</v>
      </c>
      <c r="G173" s="45"/>
      <c r="H173" s="2"/>
      <c r="I173" s="2"/>
      <c r="J173" s="107">
        <v>2.847</v>
      </c>
      <c r="K173" s="108">
        <f t="shared" si="17"/>
        <v>169.86873508353221</v>
      </c>
      <c r="L173" s="109">
        <f t="shared" si="18"/>
        <v>169.86873508353221</v>
      </c>
      <c r="M173" s="31">
        <v>29.329349953641699</v>
      </c>
      <c r="N173" s="24"/>
      <c r="O173" s="32">
        <v>1935</v>
      </c>
      <c r="P173" s="32">
        <v>575.53</v>
      </c>
      <c r="Q173" s="33">
        <v>6791.67</v>
      </c>
      <c r="R173" s="45"/>
      <c r="S173" s="3" t="s">
        <v>119</v>
      </c>
      <c r="T173" s="3" t="s">
        <v>119</v>
      </c>
      <c r="U173" s="3">
        <v>-6.6</v>
      </c>
      <c r="V173" s="24"/>
      <c r="W173" s="24">
        <v>57.7</v>
      </c>
      <c r="X173" s="24"/>
      <c r="Y173" s="24"/>
      <c r="Z173" s="24">
        <f t="shared" si="12"/>
        <v>59.673826571201282</v>
      </c>
      <c r="AA173" s="24">
        <f t="shared" si="13"/>
        <v>259.90990990990991</v>
      </c>
      <c r="AB173" s="54">
        <v>1935</v>
      </c>
      <c r="AC173" s="98">
        <v>0.54</v>
      </c>
      <c r="AD173" s="98">
        <v>13.73</v>
      </c>
      <c r="AE173" s="98">
        <f t="shared" si="19"/>
        <v>47.475795297372059</v>
      </c>
      <c r="AF173" s="98">
        <f t="shared" si="20"/>
        <v>1.1374217042971595</v>
      </c>
      <c r="AG173" s="98">
        <f t="shared" si="14"/>
        <v>269.86385791921111</v>
      </c>
      <c r="AH173" s="98">
        <f t="shared" si="11"/>
        <v>103.82976855817134</v>
      </c>
      <c r="AI173" s="98">
        <v>104.155577879912</v>
      </c>
      <c r="AJ173" s="103"/>
      <c r="AK173" s="24"/>
      <c r="AL173" s="104">
        <v>20.100000000000001</v>
      </c>
      <c r="AM173" s="24"/>
      <c r="AN173" s="104">
        <f t="shared" si="15"/>
        <v>20.100000000000001</v>
      </c>
      <c r="AO173" s="24"/>
    </row>
    <row r="174" spans="1:41">
      <c r="A174" s="3">
        <v>1936</v>
      </c>
      <c r="B174" s="3">
        <v>178.3</v>
      </c>
      <c r="C174" s="38">
        <f t="shared" si="22"/>
        <v>39.015317286652078</v>
      </c>
      <c r="D174" s="3">
        <v>7.1391</v>
      </c>
      <c r="E174" s="31">
        <f t="shared" si="21"/>
        <v>35.294815605834764</v>
      </c>
      <c r="F174" s="100">
        <v>35.294815605834764</v>
      </c>
      <c r="G174" s="45"/>
      <c r="H174" s="2"/>
      <c r="I174" s="2"/>
      <c r="J174" s="107">
        <v>3.7149999999999999</v>
      </c>
      <c r="K174" s="108">
        <f t="shared" si="17"/>
        <v>221.65871121718379</v>
      </c>
      <c r="L174" s="109">
        <f t="shared" si="18"/>
        <v>221.65871121718379</v>
      </c>
      <c r="M174" s="31">
        <v>38.27135057175235</v>
      </c>
      <c r="N174" s="24"/>
      <c r="O174" s="32">
        <v>1936</v>
      </c>
      <c r="P174" s="32">
        <v>653.76</v>
      </c>
      <c r="Q174" s="33">
        <v>7629.06</v>
      </c>
      <c r="R174" s="45"/>
      <c r="S174" s="3" t="s">
        <v>120</v>
      </c>
      <c r="T174" s="3" t="s">
        <v>120</v>
      </c>
      <c r="U174" s="3">
        <v>-14.3</v>
      </c>
      <c r="V174" s="24"/>
      <c r="W174" s="24">
        <v>60.2</v>
      </c>
      <c r="X174" s="24"/>
      <c r="Y174" s="24"/>
      <c r="Z174" s="24">
        <f t="shared" si="12"/>
        <v>62.259347653142413</v>
      </c>
      <c r="AA174" s="24">
        <f t="shared" si="13"/>
        <v>271.17117117117118</v>
      </c>
      <c r="AB174" s="54">
        <v>1936</v>
      </c>
      <c r="AC174" s="98">
        <v>0.55000000000000004</v>
      </c>
      <c r="AD174" s="98">
        <v>13.86</v>
      </c>
      <c r="AE174" s="98">
        <f t="shared" si="19"/>
        <v>47.925311203319502</v>
      </c>
      <c r="AF174" s="98">
        <f t="shared" si="20"/>
        <v>1.1476190476190478</v>
      </c>
      <c r="AG174" s="98">
        <f t="shared" si="14"/>
        <v>272.28327228327225</v>
      </c>
      <c r="AH174" s="98">
        <f t="shared" si="11"/>
        <v>100.41011037688776</v>
      </c>
      <c r="AI174" s="98">
        <v>106.315306242151</v>
      </c>
      <c r="AJ174" s="103"/>
      <c r="AK174" s="24"/>
      <c r="AL174" s="104">
        <v>16.899999999999999</v>
      </c>
      <c r="AM174" s="24"/>
      <c r="AN174" s="104">
        <f t="shared" si="15"/>
        <v>16.899999999999999</v>
      </c>
      <c r="AO174" s="24"/>
    </row>
    <row r="175" spans="1:41">
      <c r="A175" s="3">
        <v>1937</v>
      </c>
      <c r="B175" s="3">
        <v>194.5</v>
      </c>
      <c r="C175" s="38">
        <f t="shared" si="22"/>
        <v>42.560175054704594</v>
      </c>
      <c r="D175" s="3">
        <v>7.8201749999999999</v>
      </c>
      <c r="E175" s="31">
        <f t="shared" si="21"/>
        <v>38.661965041862267</v>
      </c>
      <c r="F175" s="100">
        <v>38.661965041862267</v>
      </c>
      <c r="G175" s="45"/>
      <c r="H175" s="2"/>
      <c r="I175" s="2"/>
      <c r="J175" s="107">
        <v>4.4169999999999998</v>
      </c>
      <c r="K175" s="108">
        <f t="shared" si="17"/>
        <v>263.54415274463008</v>
      </c>
      <c r="L175" s="109">
        <f t="shared" si="18"/>
        <v>263.54415274463008</v>
      </c>
      <c r="M175" s="31">
        <v>45.503245080869476</v>
      </c>
      <c r="N175" s="24"/>
      <c r="O175" s="32">
        <v>1937</v>
      </c>
      <c r="P175" s="32">
        <v>712.62</v>
      </c>
      <c r="Q175" s="33">
        <v>7971.4</v>
      </c>
      <c r="R175" s="45"/>
      <c r="S175" s="3" t="s">
        <v>121</v>
      </c>
      <c r="T175" s="3" t="s">
        <v>121</v>
      </c>
      <c r="U175" s="3">
        <v>-13.3</v>
      </c>
      <c r="V175" s="24"/>
      <c r="W175" s="24">
        <v>59.7</v>
      </c>
      <c r="X175" s="24"/>
      <c r="Y175" s="24"/>
      <c r="Z175" s="24">
        <f t="shared" si="12"/>
        <v>61.742243436754187</v>
      </c>
      <c r="AA175" s="24">
        <f t="shared" si="13"/>
        <v>268.91891891891896</v>
      </c>
      <c r="AB175" s="54">
        <v>1937</v>
      </c>
      <c r="AC175" s="98">
        <v>0.63</v>
      </c>
      <c r="AD175" s="98">
        <v>14.36</v>
      </c>
      <c r="AE175" s="98">
        <f t="shared" si="19"/>
        <v>49.654218533886578</v>
      </c>
      <c r="AF175" s="98">
        <f t="shared" si="20"/>
        <v>1.2687743732590531</v>
      </c>
      <c r="AG175" s="98">
        <f t="shared" si="14"/>
        <v>301.0284979644311</v>
      </c>
      <c r="AH175" s="98">
        <f t="shared" si="11"/>
        <v>111.94024547421053</v>
      </c>
      <c r="AI175" s="98">
        <v>108.442807837061</v>
      </c>
      <c r="AJ175" s="103"/>
      <c r="AK175" s="24"/>
      <c r="AL175" s="104">
        <v>14.3</v>
      </c>
      <c r="AM175" s="24"/>
      <c r="AN175" s="104">
        <f t="shared" si="15"/>
        <v>14.3</v>
      </c>
      <c r="AO175" s="24"/>
    </row>
    <row r="176" spans="1:41">
      <c r="A176" s="3">
        <v>1938</v>
      </c>
      <c r="B176" s="3">
        <v>152.30000000000001</v>
      </c>
      <c r="C176" s="38">
        <f t="shared" si="22"/>
        <v>33.326039387308541</v>
      </c>
      <c r="D176" s="3">
        <v>6.183325</v>
      </c>
      <c r="E176" s="31">
        <f t="shared" si="21"/>
        <v>30.569583799911506</v>
      </c>
      <c r="F176" s="100">
        <v>30.569583799911506</v>
      </c>
      <c r="G176" s="45"/>
      <c r="H176" s="2"/>
      <c r="I176" s="2"/>
      <c r="J176" s="107">
        <v>3.3929999999999998</v>
      </c>
      <c r="K176" s="108">
        <f t="shared" si="17"/>
        <v>202.44630071599045</v>
      </c>
      <c r="L176" s="109">
        <f t="shared" si="18"/>
        <v>202.44630071599045</v>
      </c>
      <c r="M176" s="31">
        <v>34.95415679406613</v>
      </c>
      <c r="N176" s="24"/>
      <c r="O176" s="32">
        <v>1938</v>
      </c>
      <c r="P176" s="32">
        <v>662.47</v>
      </c>
      <c r="Q176" s="33">
        <v>7637.21</v>
      </c>
      <c r="R176" s="45"/>
      <c r="S176" s="3" t="s">
        <v>122</v>
      </c>
      <c r="T176" s="3" t="s">
        <v>122</v>
      </c>
      <c r="U176" s="3">
        <v>-11.4</v>
      </c>
      <c r="V176" s="24"/>
      <c r="W176" s="24">
        <v>61.4</v>
      </c>
      <c r="X176" s="24"/>
      <c r="Y176" s="24"/>
      <c r="Z176" s="24">
        <f t="shared" si="12"/>
        <v>63.500397772474152</v>
      </c>
      <c r="AA176" s="24">
        <f t="shared" si="13"/>
        <v>276.5765765765766</v>
      </c>
      <c r="AB176" s="54">
        <v>1938</v>
      </c>
      <c r="AC176" s="98">
        <v>0.64</v>
      </c>
      <c r="AD176" s="98">
        <v>14.09</v>
      </c>
      <c r="AE176" s="98">
        <f t="shared" si="19"/>
        <v>48.720608575380353</v>
      </c>
      <c r="AF176" s="98">
        <f t="shared" si="20"/>
        <v>1.3136124911284601</v>
      </c>
      <c r="AG176" s="98">
        <f t="shared" si="14"/>
        <v>311.66675765682157</v>
      </c>
      <c r="AH176" s="98">
        <f t="shared" si="11"/>
        <v>112.68732931565862</v>
      </c>
      <c r="AI176" s="98">
        <v>110.47885326596599</v>
      </c>
      <c r="AJ176" s="103"/>
      <c r="AK176" s="24"/>
      <c r="AL176" s="104">
        <v>19</v>
      </c>
      <c r="AM176" s="24"/>
      <c r="AN176" s="104">
        <f t="shared" si="15"/>
        <v>19</v>
      </c>
      <c r="AO176" s="24"/>
    </row>
    <row r="177" spans="1:41">
      <c r="A177" s="3">
        <v>1939</v>
      </c>
      <c r="B177" s="3">
        <v>188</v>
      </c>
      <c r="C177" s="38">
        <f t="shared" si="22"/>
        <v>41.137855579868706</v>
      </c>
      <c r="D177" s="3">
        <v>7.5879500000000002</v>
      </c>
      <c r="E177" s="31">
        <f t="shared" si="21"/>
        <v>37.513873748272744</v>
      </c>
      <c r="F177" s="100">
        <v>37.513873748272744</v>
      </c>
      <c r="G177" s="45"/>
      <c r="H177" s="2"/>
      <c r="I177" s="2"/>
      <c r="J177" s="107">
        <v>3.6970000000000001</v>
      </c>
      <c r="K177" s="108">
        <f t="shared" si="17"/>
        <v>220.58472553699283</v>
      </c>
      <c r="L177" s="109">
        <f t="shared" si="18"/>
        <v>220.58472553699283</v>
      </c>
      <c r="M177" s="31">
        <v>38.085917379210876</v>
      </c>
      <c r="N177" s="24"/>
      <c r="O177" s="32">
        <v>1939</v>
      </c>
      <c r="P177" s="32">
        <v>703.67</v>
      </c>
      <c r="Q177" s="33">
        <v>8187.56</v>
      </c>
      <c r="R177" s="45"/>
      <c r="S177" s="3" t="s">
        <v>123</v>
      </c>
      <c r="T177" s="3" t="s">
        <v>123</v>
      </c>
      <c r="U177" s="3">
        <v>-10</v>
      </c>
      <c r="V177" s="24"/>
      <c r="W177" s="24">
        <v>63.6</v>
      </c>
      <c r="X177" s="24"/>
      <c r="Y177" s="24"/>
      <c r="Z177" s="24">
        <f t="shared" si="12"/>
        <v>65.775656324582357</v>
      </c>
      <c r="AA177" s="24">
        <f t="shared" si="13"/>
        <v>286.48648648648657</v>
      </c>
      <c r="AB177" s="54">
        <v>1939</v>
      </c>
      <c r="AC177" s="98">
        <v>0.64</v>
      </c>
      <c r="AD177" s="98">
        <v>13.89</v>
      </c>
      <c r="AE177" s="98">
        <f t="shared" si="19"/>
        <v>48.029045643153523</v>
      </c>
      <c r="AF177" s="98">
        <f t="shared" si="20"/>
        <v>1.3325269978401728</v>
      </c>
      <c r="AG177" s="98">
        <f t="shared" si="14"/>
        <v>316.15439995569585</v>
      </c>
      <c r="AH177" s="98">
        <f t="shared" si="11"/>
        <v>110.35578111661077</v>
      </c>
      <c r="AI177" s="98">
        <v>112.39918505182401</v>
      </c>
      <c r="AJ177" s="103"/>
      <c r="AK177" s="24"/>
      <c r="AL177" s="104">
        <v>17.2</v>
      </c>
      <c r="AM177" s="24"/>
      <c r="AN177" s="104">
        <f t="shared" si="15"/>
        <v>17.2</v>
      </c>
      <c r="AO177" s="24"/>
    </row>
    <row r="178" spans="1:41">
      <c r="A178" s="3">
        <v>1940</v>
      </c>
      <c r="B178" s="3">
        <v>213.9</v>
      </c>
      <c r="C178" s="38">
        <f t="shared" si="22"/>
        <v>46.805251641137858</v>
      </c>
      <c r="D178" s="3">
        <v>8.7647750000000002</v>
      </c>
      <c r="E178" s="31">
        <f t="shared" si="21"/>
        <v>43.331949048427724</v>
      </c>
      <c r="F178" s="100">
        <v>43.331949048427724</v>
      </c>
      <c r="G178" s="45"/>
      <c r="H178" s="2"/>
      <c r="I178" s="2"/>
      <c r="J178" s="107">
        <v>4.4340000000000002</v>
      </c>
      <c r="K178" s="108">
        <f t="shared" si="17"/>
        <v>264.55847255369929</v>
      </c>
      <c r="L178" s="109">
        <f t="shared" si="18"/>
        <v>264.55847255369929</v>
      </c>
      <c r="M178" s="31">
        <v>45.678376429380855</v>
      </c>
      <c r="N178" s="24"/>
      <c r="O178" s="32">
        <v>1940</v>
      </c>
      <c r="P178" s="32">
        <v>767.47</v>
      </c>
      <c r="Q178" s="33">
        <v>8831.99</v>
      </c>
      <c r="R178" s="45"/>
      <c r="S178" s="3" t="s">
        <v>124</v>
      </c>
      <c r="T178" s="3" t="s">
        <v>124</v>
      </c>
      <c r="U178" s="3">
        <v>-10.1</v>
      </c>
      <c r="V178" s="24"/>
      <c r="W178" s="24">
        <v>66.099999999999994</v>
      </c>
      <c r="X178" s="24"/>
      <c r="Y178" s="24"/>
      <c r="Z178" s="24">
        <f t="shared" si="12"/>
        <v>68.361177406523467</v>
      </c>
      <c r="AA178" s="24">
        <f t="shared" si="13"/>
        <v>297.74774774774772</v>
      </c>
      <c r="AB178" s="54">
        <v>1940</v>
      </c>
      <c r="AC178" s="98">
        <v>0.67</v>
      </c>
      <c r="AD178" s="98">
        <v>14.03</v>
      </c>
      <c r="AE178" s="98">
        <f t="shared" si="19"/>
        <v>48.513139695712304</v>
      </c>
      <c r="AF178" s="98">
        <f t="shared" si="20"/>
        <v>1.3810691375623665</v>
      </c>
      <c r="AG178" s="98">
        <f t="shared" si="14"/>
        <v>327.67147321673338</v>
      </c>
      <c r="AH178" s="98">
        <f t="shared" si="11"/>
        <v>110.05002580047628</v>
      </c>
      <c r="AI178" s="98">
        <v>114.201657184929</v>
      </c>
      <c r="AJ178" s="103"/>
      <c r="AK178" s="24"/>
      <c r="AL178" s="104">
        <v>14.6</v>
      </c>
      <c r="AM178" s="24"/>
      <c r="AN178" s="104">
        <f t="shared" si="15"/>
        <v>14.6</v>
      </c>
      <c r="AO178" s="24"/>
    </row>
    <row r="179" spans="1:41">
      <c r="A179" s="3">
        <v>1941</v>
      </c>
      <c r="B179" s="3">
        <v>275.5</v>
      </c>
      <c r="C179" s="38">
        <f t="shared" si="22"/>
        <v>60.284463894967175</v>
      </c>
      <c r="D179" s="3">
        <v>11.0693</v>
      </c>
      <c r="E179" s="31">
        <f t="shared" si="21"/>
        <v>54.725231805923265</v>
      </c>
      <c r="F179" s="100">
        <v>54.725231805923265</v>
      </c>
      <c r="G179" s="45"/>
      <c r="H179" s="2"/>
      <c r="I179" s="2"/>
      <c r="J179" s="107">
        <v>5.0039999999999996</v>
      </c>
      <c r="K179" s="108">
        <f t="shared" si="17"/>
        <v>298.56801909307876</v>
      </c>
      <c r="L179" s="109">
        <f t="shared" si="18"/>
        <v>298.56801909307876</v>
      </c>
      <c r="M179" s="31">
        <v>51.550427526527244</v>
      </c>
      <c r="N179" s="24"/>
      <c r="O179" s="32">
        <v>1941</v>
      </c>
      <c r="P179" s="32">
        <v>949.76</v>
      </c>
      <c r="Q179" s="33">
        <v>10240.48</v>
      </c>
      <c r="R179" s="45"/>
      <c r="S179" s="3" t="s">
        <v>125</v>
      </c>
      <c r="T179" s="3" t="s">
        <v>125</v>
      </c>
      <c r="U179" s="3">
        <v>-12.7</v>
      </c>
      <c r="V179" s="24"/>
      <c r="W179" s="24">
        <v>67.2</v>
      </c>
      <c r="X179" s="24"/>
      <c r="Y179" s="24"/>
      <c r="Z179" s="24">
        <f t="shared" si="12"/>
        <v>69.49880668257758</v>
      </c>
      <c r="AA179" s="24">
        <f t="shared" si="13"/>
        <v>302.70270270270271</v>
      </c>
      <c r="AB179" s="54">
        <v>1941</v>
      </c>
      <c r="AC179" s="98">
        <v>0.74</v>
      </c>
      <c r="AD179" s="98">
        <v>14.73</v>
      </c>
      <c r="AE179" s="98">
        <f t="shared" si="19"/>
        <v>50.933609958506224</v>
      </c>
      <c r="AF179" s="98">
        <f t="shared" si="20"/>
        <v>1.4528716904276986</v>
      </c>
      <c r="AG179" s="98">
        <f t="shared" si="14"/>
        <v>344.70729542012629</v>
      </c>
      <c r="AH179" s="98">
        <f t="shared" si="11"/>
        <v>113.876517237006</v>
      </c>
      <c r="AI179" s="98">
        <v>115.863731805059</v>
      </c>
      <c r="AJ179" s="103"/>
      <c r="AK179" s="24"/>
      <c r="AL179" s="104">
        <v>9.9</v>
      </c>
      <c r="AM179" s="24"/>
      <c r="AN179" s="104">
        <f t="shared" si="15"/>
        <v>9.9</v>
      </c>
      <c r="AO179" s="24"/>
    </row>
    <row r="180" spans="1:41">
      <c r="A180" s="3">
        <v>1942</v>
      </c>
      <c r="B180" s="3">
        <v>340.3</v>
      </c>
      <c r="C180" s="38">
        <f t="shared" si="22"/>
        <v>74.463894967177239</v>
      </c>
      <c r="D180" s="3">
        <v>12.701625</v>
      </c>
      <c r="E180" s="31">
        <f t="shared" si="21"/>
        <v>62.795242015024435</v>
      </c>
      <c r="F180" s="100">
        <v>62.795242015024435</v>
      </c>
      <c r="G180" s="45"/>
      <c r="H180" s="2"/>
      <c r="I180" s="2"/>
      <c r="J180" s="107">
        <v>3.214</v>
      </c>
      <c r="K180" s="108">
        <f t="shared" si="17"/>
        <v>191.76610978520287</v>
      </c>
      <c r="L180" s="109">
        <f t="shared" si="18"/>
        <v>191.76610978520287</v>
      </c>
      <c r="M180" s="31">
        <v>33.11012671268157</v>
      </c>
      <c r="N180" s="24"/>
      <c r="O180" s="32">
        <v>1942</v>
      </c>
      <c r="P180" s="32">
        <v>1200.5</v>
      </c>
      <c r="Q180" s="33">
        <v>11999.11</v>
      </c>
      <c r="R180" s="45"/>
      <c r="S180" s="3" t="s">
        <v>126</v>
      </c>
      <c r="T180" s="3" t="s">
        <v>126</v>
      </c>
      <c r="U180" s="3">
        <v>-11.3</v>
      </c>
      <c r="V180" s="24"/>
      <c r="W180" s="24">
        <v>66.7</v>
      </c>
      <c r="X180" s="24"/>
      <c r="Y180" s="24"/>
      <c r="Z180" s="24">
        <f t="shared" si="12"/>
        <v>68.981702466189347</v>
      </c>
      <c r="AA180" s="24">
        <f t="shared" si="13"/>
        <v>300.45045045045043</v>
      </c>
      <c r="AB180" s="54">
        <v>1942</v>
      </c>
      <c r="AC180" s="98">
        <v>0.86</v>
      </c>
      <c r="AD180" s="98">
        <v>16.3</v>
      </c>
      <c r="AE180" s="98">
        <f t="shared" si="19"/>
        <v>56.362378976486859</v>
      </c>
      <c r="AF180" s="98">
        <f t="shared" si="20"/>
        <v>1.525840490797546</v>
      </c>
      <c r="AG180" s="98">
        <f t="shared" si="14"/>
        <v>362.01982067012739</v>
      </c>
      <c r="AH180" s="98">
        <f t="shared" si="11"/>
        <v>120.49235410609937</v>
      </c>
      <c r="AI180" s="98">
        <v>117.32135448014201</v>
      </c>
      <c r="AJ180" s="103"/>
      <c r="AK180" s="24"/>
      <c r="AL180" s="104">
        <v>4.7</v>
      </c>
      <c r="AM180" s="86"/>
      <c r="AN180" s="104">
        <f t="shared" si="15"/>
        <v>4.7</v>
      </c>
    </row>
    <row r="181" spans="1:41">
      <c r="A181" s="3">
        <v>1943</v>
      </c>
      <c r="B181" s="3">
        <v>405.2</v>
      </c>
      <c r="C181" s="38">
        <f t="shared" si="22"/>
        <v>88.665207877461711</v>
      </c>
      <c r="D181" s="3">
        <v>15.428224999999999</v>
      </c>
      <c r="E181" s="31">
        <f t="shared" si="21"/>
        <v>76.275210670859082</v>
      </c>
      <c r="F181" s="100">
        <v>76.275210670859082</v>
      </c>
      <c r="G181" s="45"/>
      <c r="H181" s="2"/>
      <c r="I181" s="2"/>
      <c r="J181" s="107">
        <v>2.7130000000000001</v>
      </c>
      <c r="K181" s="108">
        <f t="shared" si="17"/>
        <v>161.87350835322198</v>
      </c>
      <c r="L181" s="109">
        <f t="shared" si="18"/>
        <v>161.87350835322198</v>
      </c>
      <c r="M181" s="31">
        <v>27.9489028536108</v>
      </c>
      <c r="N181" s="24"/>
      <c r="O181" s="32">
        <v>1943</v>
      </c>
      <c r="P181" s="32">
        <v>1452.4</v>
      </c>
      <c r="Q181" s="33">
        <v>13771.49</v>
      </c>
      <c r="R181" s="45"/>
      <c r="S181" s="3" t="s">
        <v>127</v>
      </c>
      <c r="T181" s="3" t="s">
        <v>127</v>
      </c>
      <c r="U181" s="3">
        <v>-9.3000000000000007</v>
      </c>
      <c r="V181" s="24"/>
      <c r="W181" s="24">
        <v>67.400000000000006</v>
      </c>
      <c r="X181" s="24"/>
      <c r="Y181" s="24"/>
      <c r="Z181" s="24">
        <f t="shared" si="12"/>
        <v>69.705648369132874</v>
      </c>
      <c r="AA181" s="24">
        <f t="shared" si="13"/>
        <v>303.60360360360369</v>
      </c>
      <c r="AB181" s="54">
        <v>1943</v>
      </c>
      <c r="AC181" s="98">
        <v>0.98</v>
      </c>
      <c r="AD181" s="98">
        <v>17.3</v>
      </c>
      <c r="AE181" s="98">
        <f t="shared" si="19"/>
        <v>59.820193637621017</v>
      </c>
      <c r="AF181" s="98">
        <f t="shared" si="20"/>
        <v>1.6382427745664743</v>
      </c>
      <c r="AG181" s="98">
        <f t="shared" si="14"/>
        <v>388.68830591373944</v>
      </c>
      <c r="AH181" s="98">
        <f t="shared" si="11"/>
        <v>128.02493162143938</v>
      </c>
      <c r="AI181" s="98">
        <v>118.490633460057</v>
      </c>
      <c r="AJ181" s="103"/>
      <c r="AK181" s="24"/>
      <c r="AL181" s="104">
        <v>1.9</v>
      </c>
      <c r="AM181" s="86"/>
      <c r="AN181" s="104">
        <f t="shared" si="15"/>
        <v>1.9</v>
      </c>
    </row>
    <row r="182" spans="1:41">
      <c r="A182" s="3">
        <v>1944</v>
      </c>
      <c r="B182" s="3">
        <v>398.7</v>
      </c>
      <c r="C182" s="38">
        <f t="shared" si="22"/>
        <v>87.242888402625823</v>
      </c>
      <c r="D182" s="3">
        <v>16.584975</v>
      </c>
      <c r="E182" s="31">
        <f t="shared" si="21"/>
        <v>81.994037687156563</v>
      </c>
      <c r="F182" s="100">
        <v>81.994037687156563</v>
      </c>
      <c r="G182" s="45"/>
      <c r="H182" s="2"/>
      <c r="I182" s="2"/>
      <c r="J182" s="107">
        <v>3.4350000000000001</v>
      </c>
      <c r="K182" s="108">
        <f t="shared" si="17"/>
        <v>204.95226730310264</v>
      </c>
      <c r="L182" s="109">
        <f t="shared" si="18"/>
        <v>204.95226730310264</v>
      </c>
      <c r="M182" s="31">
        <v>35.386834243329552</v>
      </c>
      <c r="N182" s="24"/>
      <c r="O182" s="32">
        <v>1944</v>
      </c>
      <c r="P182" s="32">
        <v>1588.19</v>
      </c>
      <c r="Q182" s="33">
        <v>14705.52</v>
      </c>
      <c r="R182" s="45"/>
      <c r="S182" s="101" t="s">
        <v>134</v>
      </c>
      <c r="T182" s="48">
        <f>1+T170</f>
        <v>1838</v>
      </c>
      <c r="U182" s="3">
        <v>-9.8000000000000007</v>
      </c>
      <c r="V182" s="24"/>
      <c r="W182" s="24">
        <v>72.7</v>
      </c>
      <c r="X182" s="24"/>
      <c r="Y182" s="24"/>
      <c r="Z182" s="24">
        <f t="shared" si="12"/>
        <v>75.186953062848062</v>
      </c>
      <c r="AA182" s="24">
        <f t="shared" si="13"/>
        <v>327.47747747747746</v>
      </c>
      <c r="AB182" s="54">
        <v>1944</v>
      </c>
      <c r="AC182" s="98">
        <v>1.05</v>
      </c>
      <c r="AD182" s="98">
        <v>17.600000000000001</v>
      </c>
      <c r="AE182" s="98">
        <f t="shared" si="19"/>
        <v>60.857538035961277</v>
      </c>
      <c r="AF182" s="98">
        <f t="shared" si="20"/>
        <v>1.7253409090909089</v>
      </c>
      <c r="AG182" s="98">
        <f t="shared" si="14"/>
        <v>409.35314685314671</v>
      </c>
      <c r="AH182" s="98">
        <f t="shared" si="11"/>
        <v>125.00192379834742</v>
      </c>
      <c r="AI182" s="98">
        <v>119.31936344987901</v>
      </c>
      <c r="AJ182" s="103"/>
      <c r="AK182" s="24"/>
      <c r="AL182" s="104">
        <v>1.2</v>
      </c>
      <c r="AN182" s="104">
        <f t="shared" si="15"/>
        <v>1.2</v>
      </c>
    </row>
    <row r="183" spans="1:41">
      <c r="A183" s="3">
        <v>1945</v>
      </c>
      <c r="B183" s="3">
        <v>343.6</v>
      </c>
      <c r="C183" s="38">
        <f t="shared" si="22"/>
        <v>75.18599562363238</v>
      </c>
      <c r="D183" s="3">
        <v>14.195575</v>
      </c>
      <c r="E183" s="31">
        <f t="shared" si="21"/>
        <v>70.181143567648277</v>
      </c>
      <c r="F183" s="100">
        <v>70.181143567648277</v>
      </c>
      <c r="G183" s="45"/>
      <c r="H183" s="2"/>
      <c r="I183" s="2"/>
      <c r="J183" s="107">
        <v>4.7649999999999997</v>
      </c>
      <c r="K183" s="108">
        <f t="shared" si="17"/>
        <v>284.30787589498806</v>
      </c>
      <c r="L183" s="109">
        <f t="shared" si="18"/>
        <v>284.30787589498806</v>
      </c>
      <c r="M183" s="31">
        <v>49.088286803337795</v>
      </c>
      <c r="N183" s="24"/>
      <c r="O183" s="32">
        <v>1945</v>
      </c>
      <c r="P183" s="32">
        <v>1593.68</v>
      </c>
      <c r="Q183" s="33">
        <v>14381.68</v>
      </c>
      <c r="R183" s="45"/>
      <c r="S183" s="3" t="s">
        <v>117</v>
      </c>
      <c r="T183" s="3" t="s">
        <v>117</v>
      </c>
      <c r="U183" s="3">
        <v>-8.4</v>
      </c>
      <c r="V183" s="24"/>
      <c r="W183" s="24">
        <v>76.8</v>
      </c>
      <c r="X183" s="24"/>
      <c r="Y183" s="24"/>
      <c r="Z183" s="24">
        <f t="shared" si="12"/>
        <v>79.427207637231518</v>
      </c>
      <c r="AA183" s="24">
        <f t="shared" si="13"/>
        <v>345.94594594594599</v>
      </c>
      <c r="AB183" s="54">
        <v>1945</v>
      </c>
      <c r="AC183" s="98">
        <v>1.06</v>
      </c>
      <c r="AD183" s="98">
        <v>18</v>
      </c>
      <c r="AE183" s="98">
        <f t="shared" si="19"/>
        <v>62.240663900414937</v>
      </c>
      <c r="AF183" s="98">
        <f t="shared" si="20"/>
        <v>1.7030666666666667</v>
      </c>
      <c r="AG183" s="98">
        <f t="shared" si="14"/>
        <v>404.06837606837604</v>
      </c>
      <c r="AH183" s="98">
        <f t="shared" si="11"/>
        <v>116.80101495726494</v>
      </c>
      <c r="AI183" s="98">
        <v>119.850632820084</v>
      </c>
      <c r="AJ183" s="103"/>
      <c r="AK183" s="24"/>
      <c r="AL183" s="104">
        <v>1.9</v>
      </c>
      <c r="AN183" s="104">
        <f t="shared" si="15"/>
        <v>1.9</v>
      </c>
    </row>
    <row r="184" spans="1:41">
      <c r="A184" s="3">
        <v>1946</v>
      </c>
      <c r="B184" s="3">
        <v>291.7</v>
      </c>
      <c r="C184" s="38">
        <f t="shared" si="22"/>
        <v>63.829321663019691</v>
      </c>
      <c r="D184" s="3">
        <v>12.26845</v>
      </c>
      <c r="E184" s="31">
        <f t="shared" si="21"/>
        <v>60.65367910792726</v>
      </c>
      <c r="F184" s="100">
        <v>60.65367910792726</v>
      </c>
      <c r="G184" s="45"/>
      <c r="H184" s="2"/>
      <c r="I184" s="2"/>
      <c r="J184" s="107">
        <v>6.8630000000000004</v>
      </c>
      <c r="K184" s="108">
        <f t="shared" si="17"/>
        <v>409.48687350835326</v>
      </c>
      <c r="L184" s="109">
        <f t="shared" si="18"/>
        <v>409.48687350835326</v>
      </c>
      <c r="M184" s="31">
        <v>70.701555578448534</v>
      </c>
      <c r="N184" s="24"/>
      <c r="O184" s="32">
        <v>1946</v>
      </c>
      <c r="P184" s="32">
        <v>1571.55</v>
      </c>
      <c r="Q184" s="33">
        <v>12675.67</v>
      </c>
      <c r="R184" s="45"/>
      <c r="S184" s="3" t="s">
        <v>118</v>
      </c>
      <c r="T184" s="3" t="s">
        <v>118</v>
      </c>
      <c r="U184" s="3">
        <v>-7.1</v>
      </c>
      <c r="V184" s="24"/>
      <c r="W184" s="24">
        <v>73.3</v>
      </c>
      <c r="X184" s="24"/>
      <c r="Y184" s="24"/>
      <c r="Z184" s="24">
        <f t="shared" si="12"/>
        <v>75.807478122513928</v>
      </c>
      <c r="AA184" s="24">
        <f t="shared" si="13"/>
        <v>330.18018018018017</v>
      </c>
      <c r="AB184" s="54">
        <v>1946</v>
      </c>
      <c r="AC184" s="98">
        <v>1.1299999999999999</v>
      </c>
      <c r="AD184" s="98">
        <v>19.54</v>
      </c>
      <c r="AE184" s="98">
        <f t="shared" si="19"/>
        <v>67.565698478561544</v>
      </c>
      <c r="AF184" s="98">
        <f t="shared" si="20"/>
        <v>1.672446264073695</v>
      </c>
      <c r="AG184" s="98">
        <f t="shared" si="14"/>
        <v>396.80340130698369</v>
      </c>
      <c r="AH184" s="98">
        <f t="shared" si="11"/>
        <v>120.17783777646709</v>
      </c>
      <c r="AI184" s="98">
        <v>120.184336306649</v>
      </c>
      <c r="AJ184" s="103"/>
      <c r="AK184" s="24"/>
      <c r="AL184" s="104">
        <v>3.9</v>
      </c>
      <c r="AM184" s="110"/>
      <c r="AN184" s="104">
        <f t="shared" si="15"/>
        <v>3.9</v>
      </c>
      <c r="AO184" s="110"/>
    </row>
    <row r="185" spans="1:41">
      <c r="A185" s="3">
        <v>1947</v>
      </c>
      <c r="B185" s="3">
        <v>320.89999999999998</v>
      </c>
      <c r="C185" s="38">
        <f t="shared" si="22"/>
        <v>70.218818380743969</v>
      </c>
      <c r="D185" s="3">
        <v>13.807024999999999</v>
      </c>
      <c r="E185" s="31">
        <f t="shared" si="21"/>
        <v>68.260201067382539</v>
      </c>
      <c r="F185" s="100">
        <v>68.260201067382539</v>
      </c>
      <c r="G185" s="45"/>
      <c r="H185" s="2"/>
      <c r="I185" s="2"/>
      <c r="J185" s="107">
        <v>7.8310000000000004</v>
      </c>
      <c r="K185" s="108">
        <f t="shared" si="17"/>
        <v>467.24343675417663</v>
      </c>
      <c r="L185" s="109">
        <f t="shared" si="18"/>
        <v>467.24343675417663</v>
      </c>
      <c r="M185" s="31">
        <v>80.673740599567324</v>
      </c>
      <c r="N185" s="24"/>
      <c r="O185" s="32">
        <v>1947</v>
      </c>
      <c r="P185" s="32">
        <v>1693.66</v>
      </c>
      <c r="Q185" s="33">
        <v>12323.25</v>
      </c>
      <c r="R185" s="45"/>
      <c r="S185" s="3" t="s">
        <v>119</v>
      </c>
      <c r="T185" s="3" t="s">
        <v>119</v>
      </c>
      <c r="U185" s="3">
        <v>-11.8</v>
      </c>
      <c r="V185" s="24"/>
      <c r="W185" s="24">
        <v>72.8</v>
      </c>
      <c r="X185" s="24"/>
      <c r="Y185" s="24"/>
      <c r="Z185" s="24">
        <f t="shared" si="12"/>
        <v>75.290373906125708</v>
      </c>
      <c r="AA185" s="24">
        <f t="shared" si="13"/>
        <v>327.92792792792795</v>
      </c>
      <c r="AB185" s="54">
        <v>1947</v>
      </c>
      <c r="AC185" s="98">
        <v>1.3</v>
      </c>
      <c r="AD185" s="98">
        <v>22.34</v>
      </c>
      <c r="AE185" s="98">
        <f t="shared" si="19"/>
        <v>77.247579529737195</v>
      </c>
      <c r="AF185" s="98">
        <f t="shared" si="20"/>
        <v>1.6829006266786037</v>
      </c>
      <c r="AG185" s="98">
        <f t="shared" si="14"/>
        <v>399.28379588182634</v>
      </c>
      <c r="AH185" s="98">
        <f t="shared" si="11"/>
        <v>121.75961907385361</v>
      </c>
      <c r="AI185" s="98">
        <v>120.389862317351</v>
      </c>
      <c r="AJ185" s="103"/>
      <c r="AK185" s="24"/>
      <c r="AL185" s="104">
        <v>3.9</v>
      </c>
      <c r="AN185" s="104">
        <f t="shared" si="15"/>
        <v>3.9</v>
      </c>
    </row>
    <row r="186" spans="1:41">
      <c r="A186" s="3">
        <v>1948</v>
      </c>
      <c r="B186" s="3">
        <v>333.9</v>
      </c>
      <c r="C186" s="38">
        <f t="shared" si="22"/>
        <v>73.063457330415758</v>
      </c>
      <c r="D186" s="3">
        <v>14.389849999999999</v>
      </c>
      <c r="E186" s="31">
        <f t="shared" si="21"/>
        <v>71.141614817781146</v>
      </c>
      <c r="F186" s="100">
        <v>71.141614817781146</v>
      </c>
      <c r="G186" s="45"/>
      <c r="H186" s="2"/>
      <c r="I186" s="2"/>
      <c r="J186" s="107">
        <v>8.3290000000000006</v>
      </c>
      <c r="K186" s="108">
        <f t="shared" si="17"/>
        <v>496.95704057279244</v>
      </c>
      <c r="L186" s="109">
        <f t="shared" si="18"/>
        <v>496.95704057279244</v>
      </c>
      <c r="M186" s="31">
        <v>85.804058926547867</v>
      </c>
      <c r="N186" s="31"/>
      <c r="O186" s="32">
        <v>1948</v>
      </c>
      <c r="P186" s="32">
        <v>1835.22</v>
      </c>
      <c r="Q186" s="33">
        <v>12645.35</v>
      </c>
      <c r="R186" s="45"/>
      <c r="S186" s="3" t="s">
        <v>120</v>
      </c>
      <c r="T186" s="3" t="s">
        <v>120</v>
      </c>
      <c r="U186" s="3">
        <v>-10.6</v>
      </c>
      <c r="V186" s="31"/>
      <c r="W186" s="31">
        <v>74.8</v>
      </c>
      <c r="X186" s="31"/>
      <c r="Y186" s="31"/>
      <c r="Z186" s="24">
        <f t="shared" si="12"/>
        <v>77.358790771678613</v>
      </c>
      <c r="AA186" s="24">
        <f t="shared" si="13"/>
        <v>336.93693693693695</v>
      </c>
      <c r="AB186" s="54">
        <v>1948</v>
      </c>
      <c r="AC186" s="98">
        <v>1.41</v>
      </c>
      <c r="AD186" s="98">
        <v>24.08</v>
      </c>
      <c r="AE186" s="98">
        <f t="shared" si="19"/>
        <v>83.264177040110638</v>
      </c>
      <c r="AF186" s="98">
        <f t="shared" si="20"/>
        <v>1.6934053156146183</v>
      </c>
      <c r="AG186" s="98">
        <f t="shared" si="14"/>
        <v>401.77613084589831</v>
      </c>
      <c r="AH186" s="98">
        <f t="shared" si="11"/>
        <v>119.24371797832811</v>
      </c>
      <c r="AI186" s="98">
        <v>120.53655589689799</v>
      </c>
      <c r="AJ186" s="103"/>
      <c r="AK186" s="31"/>
      <c r="AL186" s="111">
        <v>3.8</v>
      </c>
      <c r="AM186" s="112">
        <v>3.8</v>
      </c>
      <c r="AN186" s="104">
        <f>+AM186</f>
        <v>3.8</v>
      </c>
    </row>
    <row r="187" spans="1:41">
      <c r="A187" s="3">
        <v>1949</v>
      </c>
      <c r="B187" s="3">
        <v>317.7</v>
      </c>
      <c r="C187" s="38">
        <f t="shared" si="22"/>
        <v>69.518599562363235</v>
      </c>
      <c r="D187" s="3">
        <v>13.58595</v>
      </c>
      <c r="E187" s="31">
        <f t="shared" si="21"/>
        <v>67.167233976284237</v>
      </c>
      <c r="F187" s="100">
        <v>67.167233976284237</v>
      </c>
      <c r="G187" s="45"/>
      <c r="H187" s="2"/>
      <c r="I187" s="2"/>
      <c r="J187" s="107">
        <v>7.5640000000000001</v>
      </c>
      <c r="K187" s="108">
        <f t="shared" si="17"/>
        <v>451.31264916467779</v>
      </c>
      <c r="L187" s="109">
        <f t="shared" si="18"/>
        <v>451.31264916467779</v>
      </c>
      <c r="M187" s="31">
        <v>77.923148243535579</v>
      </c>
      <c r="N187" s="31"/>
      <c r="O187" s="32">
        <v>1949</v>
      </c>
      <c r="P187" s="32">
        <v>1791.03</v>
      </c>
      <c r="Q187" s="33">
        <v>12364.94</v>
      </c>
      <c r="R187" s="45"/>
      <c r="S187" s="3" t="s">
        <v>121</v>
      </c>
      <c r="T187" s="3" t="s">
        <v>121</v>
      </c>
      <c r="U187" s="3">
        <v>-6</v>
      </c>
      <c r="V187" s="31"/>
      <c r="W187" s="31">
        <v>78.400000000000006</v>
      </c>
      <c r="X187" s="31"/>
      <c r="Y187" s="31"/>
      <c r="Z187" s="24">
        <f t="shared" si="12"/>
        <v>81.081941129673851</v>
      </c>
      <c r="AA187" s="24">
        <f t="shared" si="13"/>
        <v>353.15315315315326</v>
      </c>
      <c r="AB187" s="54">
        <v>1949</v>
      </c>
      <c r="AC187" s="98">
        <v>1.46</v>
      </c>
      <c r="AD187" s="98">
        <v>23.85</v>
      </c>
      <c r="AE187" s="98">
        <f t="shared" si="19"/>
        <v>82.468879668049794</v>
      </c>
      <c r="AF187" s="98">
        <f t="shared" si="20"/>
        <v>1.7703647798742137</v>
      </c>
      <c r="AG187" s="98">
        <f t="shared" si="14"/>
        <v>420.03547814868557</v>
      </c>
      <c r="AH187" s="98">
        <f t="shared" si="11"/>
        <v>118.93861753700021</v>
      </c>
      <c r="AI187" s="98">
        <v>120.707463466828</v>
      </c>
      <c r="AJ187" s="103"/>
      <c r="AK187" s="31"/>
      <c r="AL187" s="111">
        <v>5.9</v>
      </c>
      <c r="AM187" s="112">
        <v>5.9</v>
      </c>
      <c r="AN187" s="104">
        <f t="shared" ref="AN187:AN248" si="23">+AM187</f>
        <v>5.9</v>
      </c>
    </row>
    <row r="188" spans="1:41">
      <c r="A188" s="3">
        <v>1950</v>
      </c>
      <c r="B188" s="3">
        <v>366.3</v>
      </c>
      <c r="C188" s="38">
        <f t="shared" si="22"/>
        <v>80.153172866520791</v>
      </c>
      <c r="D188" s="3">
        <v>15.727449999999999</v>
      </c>
      <c r="E188" s="31">
        <f t="shared" si="21"/>
        <v>77.754541566862201</v>
      </c>
      <c r="F188" s="100">
        <v>77.754541566862201</v>
      </c>
      <c r="G188" s="45"/>
      <c r="H188" s="2"/>
      <c r="I188" s="2"/>
      <c r="J188" s="107">
        <v>8.3030000000000008</v>
      </c>
      <c r="K188" s="108">
        <f t="shared" si="17"/>
        <v>495.40572792362775</v>
      </c>
      <c r="L188" s="109">
        <f t="shared" si="18"/>
        <v>495.40572792362775</v>
      </c>
      <c r="M188" s="31">
        <v>85.536210981765748</v>
      </c>
      <c r="N188" s="31"/>
      <c r="O188" s="32">
        <v>1950</v>
      </c>
      <c r="P188" s="32">
        <v>1936.26</v>
      </c>
      <c r="Q188" s="33">
        <v>13224.86</v>
      </c>
      <c r="R188" s="45"/>
      <c r="S188" s="3" t="s">
        <v>122</v>
      </c>
      <c r="T188" s="3" t="s">
        <v>122</v>
      </c>
      <c r="U188" s="3">
        <v>-4.5999999999999996</v>
      </c>
      <c r="V188" s="31"/>
      <c r="W188" s="31">
        <v>83.8</v>
      </c>
      <c r="X188" s="31">
        <v>19.5</v>
      </c>
      <c r="Y188" s="31">
        <f>X188*100/$X$196</f>
        <v>86.666666666666671</v>
      </c>
      <c r="Z188" s="31">
        <f>Y188</f>
        <v>86.666666666666671</v>
      </c>
      <c r="AA188" s="24">
        <f t="shared" si="13"/>
        <v>377.47747747747752</v>
      </c>
      <c r="AB188" s="54">
        <v>1950</v>
      </c>
      <c r="AC188" s="98">
        <v>1.55</v>
      </c>
      <c r="AD188" s="98">
        <v>24.08</v>
      </c>
      <c r="AE188" s="98">
        <f t="shared" si="19"/>
        <v>83.264177040110638</v>
      </c>
      <c r="AF188" s="98">
        <f t="shared" si="20"/>
        <v>1.8615448504983392</v>
      </c>
      <c r="AG188" s="98">
        <f t="shared" si="14"/>
        <v>441.66879631995909</v>
      </c>
      <c r="AH188" s="98">
        <f t="shared" si="11"/>
        <v>117.00533744991755</v>
      </c>
      <c r="AI188" s="98">
        <v>120.972665889707</v>
      </c>
      <c r="AJ188" s="103"/>
      <c r="AK188" s="31"/>
      <c r="AL188" s="111">
        <v>5.3</v>
      </c>
      <c r="AM188" s="112">
        <v>5.3</v>
      </c>
      <c r="AN188" s="104">
        <f t="shared" si="23"/>
        <v>5.3</v>
      </c>
    </row>
    <row r="189" spans="1:41">
      <c r="A189" s="3">
        <v>1951</v>
      </c>
      <c r="B189" s="3">
        <v>398.7</v>
      </c>
      <c r="C189" s="38">
        <f t="shared" si="22"/>
        <v>87.242888402625823</v>
      </c>
      <c r="D189" s="3">
        <v>17.058375000000002</v>
      </c>
      <c r="E189" s="31">
        <f t="shared" si="21"/>
        <v>84.334467952568474</v>
      </c>
      <c r="F189" s="100">
        <v>84.334467952568474</v>
      </c>
      <c r="G189" s="45"/>
      <c r="H189" s="2"/>
      <c r="I189" s="2"/>
      <c r="J189" s="107">
        <v>8.6890000000000001</v>
      </c>
      <c r="K189" s="108">
        <f t="shared" si="17"/>
        <v>518.43675417661098</v>
      </c>
      <c r="L189" s="109">
        <f t="shared" si="18"/>
        <v>518.43675417661098</v>
      </c>
      <c r="M189" s="31">
        <v>89.512722777377149</v>
      </c>
      <c r="N189" s="31"/>
      <c r="O189" s="32">
        <v>1951</v>
      </c>
      <c r="P189" s="32">
        <v>2199.15</v>
      </c>
      <c r="Q189" s="33">
        <v>14007.01</v>
      </c>
      <c r="R189" s="45"/>
      <c r="S189" s="3" t="s">
        <v>123</v>
      </c>
      <c r="T189" s="3" t="s">
        <v>123</v>
      </c>
      <c r="U189" s="3">
        <v>-1</v>
      </c>
      <c r="V189" s="31"/>
      <c r="W189" s="31">
        <v>85.1</v>
      </c>
      <c r="X189" s="31">
        <v>20.2</v>
      </c>
      <c r="Y189" s="31">
        <f t="shared" ref="Y189:Y248" si="24">X189*100/$X$196</f>
        <v>89.777777777777771</v>
      </c>
      <c r="Z189" s="31">
        <f t="shared" ref="Z189:Z248" si="25">Y189</f>
        <v>89.777777777777771</v>
      </c>
      <c r="AA189" s="24">
        <f t="shared" si="13"/>
        <v>391.02795102795096</v>
      </c>
      <c r="AB189" s="54">
        <v>1951</v>
      </c>
      <c r="AC189" s="98">
        <v>1.72</v>
      </c>
      <c r="AD189" s="98">
        <v>25.98</v>
      </c>
      <c r="AE189" s="98">
        <f t="shared" si="19"/>
        <v>89.834024896265561</v>
      </c>
      <c r="AF189" s="98">
        <f t="shared" si="20"/>
        <v>1.9146420323325635</v>
      </c>
      <c r="AG189" s="98">
        <f t="shared" si="14"/>
        <v>454.26659560608744</v>
      </c>
      <c r="AH189" s="98">
        <f t="shared" si="11"/>
        <v>116.1724102872677</v>
      </c>
      <c r="AI189" s="98">
        <v>121.38456939343401</v>
      </c>
      <c r="AJ189" s="113"/>
      <c r="AK189" s="31"/>
      <c r="AL189" s="111">
        <v>3.3</v>
      </c>
      <c r="AM189" s="112">
        <v>3.3</v>
      </c>
      <c r="AN189" s="104">
        <f t="shared" si="23"/>
        <v>3.3</v>
      </c>
    </row>
    <row r="190" spans="1:41">
      <c r="A190" s="3">
        <v>1952</v>
      </c>
      <c r="B190" s="3">
        <v>411.7</v>
      </c>
      <c r="C190" s="38">
        <f t="shared" si="22"/>
        <v>90.087527352297599</v>
      </c>
      <c r="D190" s="3">
        <v>17.723800000000001</v>
      </c>
      <c r="E190" s="31">
        <f t="shared" si="21"/>
        <v>87.624245750121759</v>
      </c>
      <c r="F190" s="100">
        <v>87.624245750121759</v>
      </c>
      <c r="G190" s="45"/>
      <c r="H190" s="2"/>
      <c r="I190" s="2"/>
      <c r="J190" s="107">
        <v>8.52</v>
      </c>
      <c r="K190" s="108">
        <f t="shared" si="17"/>
        <v>508.3532219570406</v>
      </c>
      <c r="L190" s="109">
        <f t="shared" si="18"/>
        <v>508.3532219570406</v>
      </c>
      <c r="M190" s="31">
        <v>87.771711136293391</v>
      </c>
      <c r="N190" s="31"/>
      <c r="O190" s="32">
        <v>1952</v>
      </c>
      <c r="P190" s="32">
        <v>2282.83</v>
      </c>
      <c r="Q190" s="33">
        <v>14296.55</v>
      </c>
      <c r="R190" s="45"/>
      <c r="S190" s="3" t="s">
        <v>124</v>
      </c>
      <c r="T190" s="3" t="s">
        <v>124</v>
      </c>
      <c r="U190" s="3">
        <v>-1.6</v>
      </c>
      <c r="V190" s="31"/>
      <c r="W190" s="31">
        <v>85.6</v>
      </c>
      <c r="X190" s="31">
        <v>20.6</v>
      </c>
      <c r="Y190" s="31">
        <f t="shared" si="24"/>
        <v>91.555555555555557</v>
      </c>
      <c r="Z190" s="31">
        <f t="shared" si="25"/>
        <v>91.555555555555557</v>
      </c>
      <c r="AA190" s="24">
        <f t="shared" si="13"/>
        <v>398.77107877107881</v>
      </c>
      <c r="AB190" s="54">
        <v>1952</v>
      </c>
      <c r="AC190" s="98">
        <v>1.83</v>
      </c>
      <c r="AD190" s="98">
        <v>26.55</v>
      </c>
      <c r="AE190" s="98">
        <f t="shared" si="19"/>
        <v>91.804979253112023</v>
      </c>
      <c r="AF190" s="98">
        <f t="shared" si="20"/>
        <v>1.99335593220339</v>
      </c>
      <c r="AG190" s="98">
        <f t="shared" si="14"/>
        <v>472.94219904389394</v>
      </c>
      <c r="AH190" s="98">
        <f t="shared" si="11"/>
        <v>118.59992467392408</v>
      </c>
      <c r="AI190" s="98">
        <v>121.95595354701101</v>
      </c>
      <c r="AJ190" s="113"/>
      <c r="AK190" s="31"/>
      <c r="AL190" s="111">
        <v>3</v>
      </c>
      <c r="AM190" s="112">
        <v>3</v>
      </c>
      <c r="AN190" s="104">
        <f t="shared" si="23"/>
        <v>3</v>
      </c>
    </row>
    <row r="191" spans="1:41">
      <c r="A191" s="3">
        <v>1953</v>
      </c>
      <c r="B191" s="3">
        <v>447.3</v>
      </c>
      <c r="C191" s="38">
        <f t="shared" si="22"/>
        <v>97.877461706783365</v>
      </c>
      <c r="D191" s="3">
        <v>19.211024999999999</v>
      </c>
      <c r="E191" s="31">
        <f t="shared" si="21"/>
        <v>94.976899745637652</v>
      </c>
      <c r="F191" s="100">
        <v>94.976899745637652</v>
      </c>
      <c r="G191" s="45"/>
      <c r="H191" s="2"/>
      <c r="I191" s="2"/>
      <c r="J191" s="107">
        <v>9.2100000000000009</v>
      </c>
      <c r="K191" s="108">
        <f t="shared" si="17"/>
        <v>549.52267303102633</v>
      </c>
      <c r="L191" s="109">
        <f t="shared" si="18"/>
        <v>549.52267303102633</v>
      </c>
      <c r="M191" s="31">
        <v>94.879983517049567</v>
      </c>
      <c r="N191" s="31"/>
      <c r="O191" s="32">
        <v>1953</v>
      </c>
      <c r="P191" s="32">
        <v>2377.09</v>
      </c>
      <c r="Q191" s="33">
        <v>14709.99</v>
      </c>
      <c r="R191" s="45"/>
      <c r="S191" s="3" t="s">
        <v>125</v>
      </c>
      <c r="T191" s="3" t="s">
        <v>125</v>
      </c>
      <c r="U191" s="3">
        <f>7</f>
        <v>7</v>
      </c>
      <c r="V191" s="31"/>
      <c r="W191" s="31">
        <v>88.8</v>
      </c>
      <c r="X191" s="31">
        <v>20.9</v>
      </c>
      <c r="Y191" s="31">
        <f t="shared" si="24"/>
        <v>92.888888888888886</v>
      </c>
      <c r="Z191" s="31">
        <f t="shared" si="25"/>
        <v>92.888888888888886</v>
      </c>
      <c r="AA191" s="24">
        <f t="shared" si="13"/>
        <v>404.57842457842452</v>
      </c>
      <c r="AB191" s="54">
        <v>1953</v>
      </c>
      <c r="AC191" s="98">
        <v>1.94</v>
      </c>
      <c r="AD191" s="98">
        <v>26.75</v>
      </c>
      <c r="AE191" s="98">
        <f t="shared" si="19"/>
        <v>92.496542185338853</v>
      </c>
      <c r="AF191" s="98">
        <f t="shared" si="20"/>
        <v>2.0973757009345797</v>
      </c>
      <c r="AG191" s="98">
        <f t="shared" si="14"/>
        <v>497.62185478073326</v>
      </c>
      <c r="AH191" s="98">
        <f t="shared" ref="AH191:AH248" si="26">100*(AG191/AA191)/($AG$127/$AA$127)</f>
        <v>122.99762531807303</v>
      </c>
      <c r="AI191" s="98">
        <v>122.647452225506</v>
      </c>
      <c r="AJ191" s="113"/>
      <c r="AK191" s="31"/>
      <c r="AL191" s="111">
        <v>2.9</v>
      </c>
      <c r="AM191" s="112">
        <v>2.9</v>
      </c>
      <c r="AN191" s="104">
        <f t="shared" si="23"/>
        <v>2.9</v>
      </c>
    </row>
    <row r="192" spans="1:41">
      <c r="A192" s="3">
        <v>1954</v>
      </c>
      <c r="B192" s="3">
        <v>421.4</v>
      </c>
      <c r="C192" s="38">
        <f t="shared" si="22"/>
        <v>92.21006564551422</v>
      </c>
      <c r="D192" s="3">
        <v>18.123525000000001</v>
      </c>
      <c r="E192" s="31">
        <f t="shared" si="21"/>
        <v>89.600436049745269</v>
      </c>
      <c r="F192" s="100">
        <v>89.600436049745269</v>
      </c>
      <c r="G192" s="45"/>
      <c r="H192" s="2"/>
      <c r="I192" s="2"/>
      <c r="J192" s="107">
        <v>8.9969999999999999</v>
      </c>
      <c r="K192" s="108">
        <f t="shared" si="17"/>
        <v>536.81384248210031</v>
      </c>
      <c r="L192" s="109">
        <f t="shared" si="18"/>
        <v>536.81384248210031</v>
      </c>
      <c r="M192" s="31">
        <v>92.685690738642222</v>
      </c>
      <c r="N192" s="31"/>
      <c r="O192" s="32">
        <v>1954</v>
      </c>
      <c r="P192" s="32">
        <v>2342.4899999999998</v>
      </c>
      <c r="Q192" s="33">
        <v>14362.87</v>
      </c>
      <c r="R192" s="45"/>
      <c r="S192" s="3" t="s">
        <v>126</v>
      </c>
      <c r="T192" s="3" t="s">
        <v>126</v>
      </c>
      <c r="U192" s="3">
        <v>10.8</v>
      </c>
      <c r="V192" s="31"/>
      <c r="W192" s="31">
        <v>91.2</v>
      </c>
      <c r="X192" s="31">
        <v>21.3</v>
      </c>
      <c r="Y192" s="31">
        <f t="shared" si="24"/>
        <v>94.666666666666671</v>
      </c>
      <c r="Z192" s="31">
        <f t="shared" si="25"/>
        <v>94.666666666666671</v>
      </c>
      <c r="AA192" s="24">
        <f t="shared" ref="AA192:AA248" si="27">Z192*100/$Z$127</f>
        <v>412.32155232155236</v>
      </c>
      <c r="AB192" s="54">
        <v>1954</v>
      </c>
      <c r="AC192" s="98">
        <v>1.97</v>
      </c>
      <c r="AD192" s="98">
        <v>26.88</v>
      </c>
      <c r="AE192" s="98">
        <f t="shared" si="19"/>
        <v>92.946058091286304</v>
      </c>
      <c r="AF192" s="98">
        <f t="shared" si="20"/>
        <v>2.1195089285714288</v>
      </c>
      <c r="AG192" s="98">
        <f t="shared" ref="AG192:AG248" si="28">AF192*100/$AF$127</f>
        <v>502.87316849816847</v>
      </c>
      <c r="AH192" s="98">
        <f t="shared" si="26"/>
        <v>121.96140746627735</v>
      </c>
      <c r="AI192" s="98">
        <v>123.38613976851499</v>
      </c>
      <c r="AJ192" s="113"/>
      <c r="AK192" s="31"/>
      <c r="AL192" s="111">
        <v>5.5</v>
      </c>
      <c r="AM192" s="112">
        <v>5.5</v>
      </c>
      <c r="AN192" s="104">
        <f t="shared" si="23"/>
        <v>5.5</v>
      </c>
    </row>
    <row r="193" spans="1:40">
      <c r="A193" s="3">
        <v>1955</v>
      </c>
      <c r="B193" s="3">
        <v>473.2</v>
      </c>
      <c r="C193" s="38">
        <f t="shared" si="22"/>
        <v>103.54485776805252</v>
      </c>
      <c r="D193" s="3">
        <v>20.441475000000001</v>
      </c>
      <c r="E193" s="31">
        <f t="shared" si="21"/>
        <v>101.06009032459011</v>
      </c>
      <c r="F193" s="100">
        <v>101.06009032459011</v>
      </c>
      <c r="G193" s="45"/>
      <c r="H193" s="2"/>
      <c r="I193" s="2"/>
      <c r="J193" s="107">
        <v>10.006</v>
      </c>
      <c r="K193" s="108">
        <f t="shared" si="17"/>
        <v>597.01670644391413</v>
      </c>
      <c r="L193" s="109">
        <f t="shared" si="18"/>
        <v>597.01670644391413</v>
      </c>
      <c r="M193" s="31">
        <v>103.08025136499434</v>
      </c>
      <c r="N193" s="31"/>
      <c r="O193" s="32">
        <v>1955</v>
      </c>
      <c r="P193" s="32">
        <v>2509.15</v>
      </c>
      <c r="Q193" s="33">
        <v>15128.12</v>
      </c>
      <c r="R193" s="45"/>
      <c r="S193" s="3" t="s">
        <v>127</v>
      </c>
      <c r="T193" s="3" t="s">
        <v>127</v>
      </c>
      <c r="U193" s="3">
        <v>13.7</v>
      </c>
      <c r="V193" s="31"/>
      <c r="W193" s="31">
        <v>95.9</v>
      </c>
      <c r="X193" s="31">
        <v>22.3</v>
      </c>
      <c r="Y193" s="31">
        <f t="shared" si="24"/>
        <v>99.111111111111114</v>
      </c>
      <c r="Z193" s="31">
        <f t="shared" si="25"/>
        <v>99.111111111111114</v>
      </c>
      <c r="AA193" s="24">
        <f t="shared" si="27"/>
        <v>431.67937167937163</v>
      </c>
      <c r="AB193" s="54">
        <v>1955</v>
      </c>
      <c r="AC193" s="98">
        <v>2.0499999999999998</v>
      </c>
      <c r="AD193" s="98">
        <v>26.78</v>
      </c>
      <c r="AE193" s="98">
        <f t="shared" si="19"/>
        <v>92.600276625172881</v>
      </c>
      <c r="AF193" s="98">
        <f t="shared" si="20"/>
        <v>2.2138162808065718</v>
      </c>
      <c r="AG193" s="98">
        <f t="shared" si="28"/>
        <v>525.24846326190595</v>
      </c>
      <c r="AH193" s="98">
        <f t="shared" si="26"/>
        <v>121.67559946599265</v>
      </c>
      <c r="AI193" s="98">
        <v>124.102615993382</v>
      </c>
      <c r="AJ193" s="113"/>
      <c r="AK193" s="31"/>
      <c r="AL193" s="111">
        <v>4.4000000000000004</v>
      </c>
      <c r="AM193" s="112">
        <v>4.4000000000000004</v>
      </c>
      <c r="AN193" s="104">
        <f t="shared" si="23"/>
        <v>4.4000000000000004</v>
      </c>
    </row>
    <row r="194" spans="1:40">
      <c r="A194" s="3">
        <v>1956</v>
      </c>
      <c r="B194" s="3">
        <v>489.4</v>
      </c>
      <c r="C194" s="38">
        <f t="shared" si="22"/>
        <v>107.08971553610503</v>
      </c>
      <c r="D194" s="3">
        <v>21.325749999999999</v>
      </c>
      <c r="E194" s="31">
        <f t="shared" si="21"/>
        <v>105.43183509211674</v>
      </c>
      <c r="F194" s="100">
        <v>105.43183509211674</v>
      </c>
      <c r="G194" s="45"/>
      <c r="H194" s="2"/>
      <c r="I194" s="2"/>
      <c r="J194" s="107">
        <v>10.667999999999999</v>
      </c>
      <c r="K194" s="108">
        <f t="shared" si="17"/>
        <v>636.51551312649167</v>
      </c>
      <c r="L194" s="109">
        <f t="shared" si="18"/>
        <v>636.51551312649167</v>
      </c>
      <c r="M194" s="31">
        <v>109.90007211290821</v>
      </c>
      <c r="N194" s="31"/>
      <c r="O194" s="32">
        <v>1956</v>
      </c>
      <c r="P194" s="32">
        <v>2600.15</v>
      </c>
      <c r="Q194" s="33">
        <v>15156.85</v>
      </c>
      <c r="R194" s="45"/>
      <c r="S194" s="101" t="s">
        <v>135</v>
      </c>
      <c r="T194" s="48">
        <f>1+T182</f>
        <v>1839</v>
      </c>
      <c r="U194" s="3">
        <v>14</v>
      </c>
      <c r="V194" s="31"/>
      <c r="W194" s="31">
        <v>95.6</v>
      </c>
      <c r="X194" s="31">
        <v>21.8</v>
      </c>
      <c r="Y194" s="31">
        <f t="shared" si="24"/>
        <v>96.888888888888886</v>
      </c>
      <c r="Z194" s="31">
        <f t="shared" si="25"/>
        <v>96.888888888888886</v>
      </c>
      <c r="AA194" s="24">
        <f t="shared" si="27"/>
        <v>422.00046200046194</v>
      </c>
      <c r="AB194" s="54">
        <v>1956</v>
      </c>
      <c r="AC194" s="98">
        <v>2.16</v>
      </c>
      <c r="AD194" s="98">
        <v>27.18</v>
      </c>
      <c r="AE194" s="98">
        <f t="shared" si="19"/>
        <v>93.983402489626556</v>
      </c>
      <c r="AF194" s="98">
        <f t="shared" si="20"/>
        <v>2.298278145695364</v>
      </c>
      <c r="AG194" s="98">
        <f t="shared" si="28"/>
        <v>545.28782475802325</v>
      </c>
      <c r="AH194" s="98">
        <f t="shared" si="26"/>
        <v>129.21498288725246</v>
      </c>
      <c r="AI194" s="98">
        <v>124.71321931976399</v>
      </c>
      <c r="AJ194" s="113"/>
      <c r="AK194" s="31"/>
      <c r="AL194" s="111">
        <v>4.0999999999999996</v>
      </c>
      <c r="AM194" s="112">
        <v>4.0999999999999996</v>
      </c>
      <c r="AN194" s="104">
        <f t="shared" si="23"/>
        <v>4.0999999999999996</v>
      </c>
    </row>
    <row r="195" spans="1:40">
      <c r="A195" s="3">
        <v>1957</v>
      </c>
      <c r="B195" s="3">
        <v>492.7</v>
      </c>
      <c r="C195" s="38">
        <f t="shared" si="22"/>
        <v>107.81181619256017</v>
      </c>
      <c r="D195" s="3">
        <v>21.629425000000001</v>
      </c>
      <c r="E195" s="31">
        <f t="shared" si="21"/>
        <v>106.93316623036974</v>
      </c>
      <c r="F195" s="100">
        <v>106.93316623036974</v>
      </c>
      <c r="G195" s="45"/>
      <c r="H195" s="2"/>
      <c r="I195" s="2"/>
      <c r="J195" s="107">
        <v>10.824</v>
      </c>
      <c r="K195" s="108">
        <f t="shared" si="17"/>
        <v>645.82338902147978</v>
      </c>
      <c r="L195" s="109">
        <f t="shared" si="18"/>
        <v>645.82338902147978</v>
      </c>
      <c r="M195" s="31">
        <v>111.50715978160092</v>
      </c>
      <c r="N195" s="31"/>
      <c r="O195" s="32">
        <v>1957</v>
      </c>
      <c r="P195" s="32">
        <v>2692.18</v>
      </c>
      <c r="Q195" s="33">
        <v>15186.78</v>
      </c>
      <c r="R195" s="45"/>
      <c r="S195" s="3" t="s">
        <v>117</v>
      </c>
      <c r="T195" s="3" t="s">
        <v>117</v>
      </c>
      <c r="U195" s="3">
        <v>12.9</v>
      </c>
      <c r="V195" s="31"/>
      <c r="W195" s="31">
        <v>97.6</v>
      </c>
      <c r="X195" s="31">
        <v>22.4</v>
      </c>
      <c r="Y195" s="31">
        <f t="shared" si="24"/>
        <v>99.555555555555557</v>
      </c>
      <c r="Z195" s="31">
        <f t="shared" si="25"/>
        <v>99.555555555555557</v>
      </c>
      <c r="AA195" s="24">
        <f t="shared" si="27"/>
        <v>433.61515361515364</v>
      </c>
      <c r="AB195" s="54">
        <v>1957</v>
      </c>
      <c r="AC195" s="98">
        <v>2.2400000000000002</v>
      </c>
      <c r="AD195" s="98">
        <v>28.15</v>
      </c>
      <c r="AE195" s="98">
        <f t="shared" si="19"/>
        <v>97.337482710926693</v>
      </c>
      <c r="AF195" s="98">
        <f t="shared" si="20"/>
        <v>2.3012717584369451</v>
      </c>
      <c r="AG195" s="98">
        <f t="shared" si="28"/>
        <v>545.99808717037843</v>
      </c>
      <c r="AH195" s="98">
        <f t="shared" si="26"/>
        <v>125.91766745655941</v>
      </c>
      <c r="AI195" s="98">
        <v>125.11006200738299</v>
      </c>
      <c r="AJ195" s="113"/>
      <c r="AK195" s="31"/>
      <c r="AL195" s="111">
        <v>4.3</v>
      </c>
      <c r="AM195" s="112">
        <v>4.3</v>
      </c>
      <c r="AN195" s="104">
        <f t="shared" si="23"/>
        <v>4.3</v>
      </c>
    </row>
    <row r="196" spans="1:40">
      <c r="A196" s="3">
        <v>1958</v>
      </c>
      <c r="B196" s="3">
        <v>457</v>
      </c>
      <c r="C196" s="38">
        <f t="shared" si="22"/>
        <v>100</v>
      </c>
      <c r="D196" s="3">
        <v>20.227049999999998</v>
      </c>
      <c r="E196" s="31">
        <f t="shared" si="21"/>
        <v>100</v>
      </c>
      <c r="F196" s="100">
        <v>100</v>
      </c>
      <c r="G196" s="45"/>
      <c r="H196" s="2"/>
      <c r="I196" s="2"/>
      <c r="J196" s="107">
        <v>9.7070000000000007</v>
      </c>
      <c r="K196" s="108">
        <f t="shared" si="17"/>
        <v>579.17661097852033</v>
      </c>
      <c r="L196" s="109">
        <f t="shared" si="18"/>
        <v>579.17661097852033</v>
      </c>
      <c r="M196" s="31">
        <v>100</v>
      </c>
      <c r="N196" s="31"/>
      <c r="O196" s="32">
        <v>1958</v>
      </c>
      <c r="P196" s="32">
        <v>2682.88</v>
      </c>
      <c r="Q196" s="33">
        <v>14801.8</v>
      </c>
      <c r="R196" s="45"/>
      <c r="S196" s="3" t="s">
        <v>118</v>
      </c>
      <c r="T196" s="3" t="s">
        <v>118</v>
      </c>
      <c r="U196" s="3">
        <v>15.2</v>
      </c>
      <c r="V196" s="31"/>
      <c r="W196" s="31">
        <v>100</v>
      </c>
      <c r="X196" s="31">
        <v>22.5</v>
      </c>
      <c r="Y196" s="31">
        <f t="shared" si="24"/>
        <v>100</v>
      </c>
      <c r="Z196" s="31">
        <f t="shared" si="25"/>
        <v>100</v>
      </c>
      <c r="AA196" s="24">
        <f t="shared" si="27"/>
        <v>435.55093555093549</v>
      </c>
      <c r="AB196" s="54">
        <v>1958</v>
      </c>
      <c r="AC196" s="98">
        <v>2.39</v>
      </c>
      <c r="AD196" s="98">
        <v>28.92</v>
      </c>
      <c r="AE196" s="98">
        <f t="shared" si="19"/>
        <v>100</v>
      </c>
      <c r="AF196" s="98">
        <f t="shared" si="20"/>
        <v>2.39</v>
      </c>
      <c r="AG196" s="98">
        <f t="shared" si="28"/>
        <v>567.04968613682297</v>
      </c>
      <c r="AH196" s="98">
        <f t="shared" si="26"/>
        <v>130.19135991971928</v>
      </c>
      <c r="AI196" s="98">
        <v>125.23022412276499</v>
      </c>
      <c r="AJ196" s="113"/>
      <c r="AK196" s="31"/>
      <c r="AL196" s="111">
        <v>6.8</v>
      </c>
      <c r="AM196" s="112">
        <v>6.8</v>
      </c>
      <c r="AN196" s="104">
        <f t="shared" si="23"/>
        <v>6.8</v>
      </c>
    </row>
    <row r="197" spans="1:40">
      <c r="A197" s="3">
        <v>1959</v>
      </c>
      <c r="B197" s="3">
        <v>517.29999999999995</v>
      </c>
      <c r="C197" s="38">
        <f t="shared" si="22"/>
        <v>113.19474835886213</v>
      </c>
      <c r="D197" s="3">
        <v>22.645499999999998</v>
      </c>
      <c r="E197" s="31">
        <f t="shared" si="21"/>
        <v>111.95651367846521</v>
      </c>
      <c r="F197" s="100">
        <v>111.95651367846521</v>
      </c>
      <c r="G197" s="45"/>
      <c r="H197" s="2"/>
      <c r="I197" s="2"/>
      <c r="J197" s="107">
        <v>10.26</v>
      </c>
      <c r="K197" s="108">
        <f t="shared" si="17"/>
        <v>612.17183770883059</v>
      </c>
      <c r="L197" s="109">
        <f t="shared" si="18"/>
        <v>612.17183770883059</v>
      </c>
      <c r="M197" s="31">
        <v>105.696919748635</v>
      </c>
      <c r="N197" s="31"/>
      <c r="O197" s="32">
        <v>1959</v>
      </c>
      <c r="P197" s="32">
        <v>2860.05</v>
      </c>
      <c r="Q197" s="33">
        <v>15595.89</v>
      </c>
      <c r="R197" s="45"/>
      <c r="S197" s="3" t="s">
        <v>119</v>
      </c>
      <c r="T197" s="3" t="s">
        <v>119</v>
      </c>
      <c r="U197" s="3">
        <v>12.5</v>
      </c>
      <c r="V197" s="31"/>
      <c r="W197" s="31">
        <v>103.5</v>
      </c>
      <c r="X197" s="31">
        <v>23.5</v>
      </c>
      <c r="Y197" s="31">
        <f t="shared" si="24"/>
        <v>104.44444444444444</v>
      </c>
      <c r="Z197" s="31">
        <f t="shared" si="25"/>
        <v>104.44444444444444</v>
      </c>
      <c r="AA197" s="24">
        <f t="shared" si="27"/>
        <v>454.90875490875482</v>
      </c>
      <c r="AB197" s="54">
        <v>1959</v>
      </c>
      <c r="AC197" s="98">
        <v>2.4500000000000002</v>
      </c>
      <c r="AD197" s="98">
        <v>29.16</v>
      </c>
      <c r="AE197" s="98">
        <f t="shared" si="19"/>
        <v>100.8298755186722</v>
      </c>
      <c r="AF197" s="98">
        <f t="shared" si="20"/>
        <v>2.4298353909465025</v>
      </c>
      <c r="AG197" s="98">
        <f t="shared" si="28"/>
        <v>576.50100242692838</v>
      </c>
      <c r="AH197" s="98">
        <f t="shared" si="26"/>
        <v>126.72893106719003</v>
      </c>
      <c r="AI197" s="98">
        <v>125.01888511236299</v>
      </c>
      <c r="AJ197" s="113"/>
      <c r="AK197" s="31"/>
      <c r="AL197" s="111">
        <v>5.5</v>
      </c>
      <c r="AM197" s="112">
        <v>5.5</v>
      </c>
      <c r="AN197" s="104">
        <f t="shared" si="23"/>
        <v>5.5</v>
      </c>
    </row>
    <row r="198" spans="1:40">
      <c r="A198" s="3">
        <v>1960</v>
      </c>
      <c r="C198" s="31"/>
      <c r="D198" s="3">
        <v>23.156825000000001</v>
      </c>
      <c r="E198" s="31">
        <f t="shared" si="21"/>
        <v>114.48444039046724</v>
      </c>
      <c r="F198" s="100">
        <v>114.48444039046724</v>
      </c>
      <c r="G198" s="45"/>
      <c r="H198" s="2"/>
      <c r="I198" s="2"/>
      <c r="J198" s="107">
        <v>10.885999999999999</v>
      </c>
      <c r="K198" s="108">
        <f t="shared" si="17"/>
        <v>649.52267303102622</v>
      </c>
      <c r="L198" s="109">
        <f t="shared" si="18"/>
        <v>649.52267303102622</v>
      </c>
      <c r="M198" s="31">
        <v>112.14587411146593</v>
      </c>
      <c r="N198" s="31"/>
      <c r="O198" s="32">
        <v>1960</v>
      </c>
      <c r="P198" s="32">
        <v>2912.15</v>
      </c>
      <c r="Q198" s="33">
        <v>15661.1</v>
      </c>
      <c r="R198" s="45"/>
      <c r="S198" s="3" t="s">
        <v>120</v>
      </c>
      <c r="T198" s="3" t="s">
        <v>120</v>
      </c>
      <c r="U198" s="3">
        <v>9.8000000000000007</v>
      </c>
      <c r="V198" s="31"/>
      <c r="W198" s="31">
        <v>104.7</v>
      </c>
      <c r="X198" s="31">
        <v>23.7</v>
      </c>
      <c r="Y198" s="31">
        <f t="shared" si="24"/>
        <v>105.33333333333333</v>
      </c>
      <c r="Z198" s="31">
        <f t="shared" si="25"/>
        <v>105.33333333333333</v>
      </c>
      <c r="AA198" s="24">
        <f t="shared" si="27"/>
        <v>458.78031878031868</v>
      </c>
      <c r="AB198" s="54">
        <v>1960</v>
      </c>
      <c r="AC198" s="98">
        <v>2.54</v>
      </c>
      <c r="AD198" s="98">
        <v>29.62</v>
      </c>
      <c r="AE198" s="98">
        <f t="shared" si="19"/>
        <v>102.42047026279391</v>
      </c>
      <c r="AF198" s="98">
        <f t="shared" si="20"/>
        <v>2.4799729912221471</v>
      </c>
      <c r="AG198" s="98">
        <f t="shared" si="28"/>
        <v>588.39661351477685</v>
      </c>
      <c r="AH198" s="98">
        <f t="shared" si="26"/>
        <v>128.25236598619728</v>
      </c>
      <c r="AI198" s="98">
        <v>124.470822181401</v>
      </c>
      <c r="AJ198" s="113"/>
      <c r="AK198" s="31"/>
      <c r="AL198" s="111">
        <v>5.5</v>
      </c>
      <c r="AM198" s="112">
        <v>5.5</v>
      </c>
      <c r="AN198" s="104">
        <f t="shared" si="23"/>
        <v>5.5</v>
      </c>
    </row>
    <row r="199" spans="1:40">
      <c r="A199" s="3">
        <v>1961</v>
      </c>
      <c r="C199" s="31"/>
      <c r="D199" s="3">
        <v>23.310925000000001</v>
      </c>
      <c r="E199" s="31">
        <f t="shared" si="21"/>
        <v>115.24629147601851</v>
      </c>
      <c r="F199" s="100">
        <v>115.24629147601851</v>
      </c>
      <c r="G199" s="45"/>
      <c r="H199" s="2"/>
      <c r="I199" s="2"/>
      <c r="J199" s="107">
        <v>10.827999999999999</v>
      </c>
      <c r="K199" s="108">
        <f t="shared" si="17"/>
        <v>646.06205250596656</v>
      </c>
      <c r="L199" s="109">
        <f t="shared" si="18"/>
        <v>646.06205250596656</v>
      </c>
      <c r="M199" s="31">
        <v>111.54836715772122</v>
      </c>
      <c r="N199" s="31"/>
      <c r="O199" s="32">
        <v>1961</v>
      </c>
      <c r="P199" s="32">
        <v>2965.03</v>
      </c>
      <c r="Q199" s="33">
        <v>15766.13</v>
      </c>
      <c r="R199" s="45"/>
      <c r="S199" s="3" t="s">
        <v>121</v>
      </c>
      <c r="T199" s="3" t="s">
        <v>121</v>
      </c>
      <c r="U199" s="3">
        <v>6.2</v>
      </c>
      <c r="V199" s="31"/>
      <c r="W199" s="31">
        <v>107.8</v>
      </c>
      <c r="X199" s="31">
        <v>24.3</v>
      </c>
      <c r="Y199" s="31">
        <f t="shared" si="24"/>
        <v>108</v>
      </c>
      <c r="Z199" s="31">
        <f t="shared" si="25"/>
        <v>108</v>
      </c>
      <c r="AA199" s="24">
        <f t="shared" si="27"/>
        <v>470.39501039501033</v>
      </c>
      <c r="AB199" s="54">
        <v>1961</v>
      </c>
      <c r="AC199" s="98">
        <v>2.6</v>
      </c>
      <c r="AD199" s="98">
        <v>29.92</v>
      </c>
      <c r="AE199" s="98">
        <f t="shared" si="19"/>
        <v>103.45781466113415</v>
      </c>
      <c r="AF199" s="98">
        <f t="shared" si="20"/>
        <v>2.5131016042780754</v>
      </c>
      <c r="AG199" s="98">
        <f t="shared" si="28"/>
        <v>596.2566844919786</v>
      </c>
      <c r="AH199" s="98">
        <f t="shared" si="26"/>
        <v>126.75659208019169</v>
      </c>
      <c r="AI199" s="98">
        <v>123.597923683979</v>
      </c>
      <c r="AJ199" s="113"/>
      <c r="AK199" s="31"/>
      <c r="AL199" s="111">
        <v>6.7</v>
      </c>
      <c r="AM199" s="112">
        <v>6.7</v>
      </c>
      <c r="AN199" s="104">
        <f t="shared" si="23"/>
        <v>6.7</v>
      </c>
    </row>
    <row r="200" spans="1:40">
      <c r="A200" s="3">
        <v>1962</v>
      </c>
      <c r="C200" s="31"/>
      <c r="D200" s="3">
        <v>25.253699999999998</v>
      </c>
      <c r="E200" s="31">
        <f t="shared" si="21"/>
        <v>124.85112757421375</v>
      </c>
      <c r="F200" s="100">
        <v>124.85112757421375</v>
      </c>
      <c r="G200" s="45"/>
      <c r="H200" s="2"/>
      <c r="I200" s="2"/>
      <c r="J200" s="107">
        <v>11.8</v>
      </c>
      <c r="K200" s="108">
        <f t="shared" si="17"/>
        <v>704.05727923627683</v>
      </c>
      <c r="L200" s="109">
        <f t="shared" si="18"/>
        <v>704.05727923627683</v>
      </c>
      <c r="M200" s="31">
        <v>121.56175955496032</v>
      </c>
      <c r="N200" s="31"/>
      <c r="O200" s="32">
        <v>1962</v>
      </c>
      <c r="P200" s="32">
        <v>3138.97</v>
      </c>
      <c r="Q200" s="33">
        <v>16466.05</v>
      </c>
      <c r="R200" s="45"/>
      <c r="S200" s="3" t="s">
        <v>122</v>
      </c>
      <c r="T200" s="3" t="s">
        <v>122</v>
      </c>
      <c r="U200" s="3">
        <v>5.0999999999999996</v>
      </c>
      <c r="V200" s="31"/>
      <c r="W200" s="31">
        <v>113</v>
      </c>
      <c r="X200" s="31">
        <v>25.5</v>
      </c>
      <c r="Y200" s="31">
        <f t="shared" si="24"/>
        <v>113.33333333333333</v>
      </c>
      <c r="Z200" s="31">
        <f t="shared" si="25"/>
        <v>113.33333333333333</v>
      </c>
      <c r="AA200" s="24">
        <f t="shared" si="27"/>
        <v>493.62439362439352</v>
      </c>
      <c r="AB200" s="54">
        <v>1962</v>
      </c>
      <c r="AC200" s="98">
        <v>2.71</v>
      </c>
      <c r="AD200" s="98">
        <v>30.26</v>
      </c>
      <c r="AE200" s="98">
        <f t="shared" si="19"/>
        <v>104.63347164591977</v>
      </c>
      <c r="AF200" s="98">
        <f t="shared" si="20"/>
        <v>2.5899933906146733</v>
      </c>
      <c r="AG200" s="98">
        <f t="shared" si="28"/>
        <v>614.49997457928714</v>
      </c>
      <c r="AH200" s="98">
        <f t="shared" si="26"/>
        <v>124.48735972454183</v>
      </c>
      <c r="AI200" s="98">
        <v>122.44986975238299</v>
      </c>
      <c r="AJ200" s="113"/>
      <c r="AK200" s="31"/>
      <c r="AL200" s="111">
        <v>5.5</v>
      </c>
      <c r="AM200" s="112">
        <v>5.5</v>
      </c>
      <c r="AN200" s="104">
        <f t="shared" si="23"/>
        <v>5.5</v>
      </c>
    </row>
    <row r="201" spans="1:40">
      <c r="A201" s="3">
        <v>1963</v>
      </c>
      <c r="C201" s="31"/>
      <c r="D201" s="3">
        <v>26.801224999999999</v>
      </c>
      <c r="E201" s="31">
        <f t="shared" si="21"/>
        <v>132.50189721190191</v>
      </c>
      <c r="F201" s="100">
        <v>132.50189721190191</v>
      </c>
      <c r="G201" s="45"/>
      <c r="H201" s="2"/>
      <c r="I201" s="2"/>
      <c r="J201" s="107">
        <v>12.39</v>
      </c>
      <c r="K201" s="108">
        <f t="shared" si="17"/>
        <v>739.26014319809076</v>
      </c>
      <c r="L201" s="109">
        <f t="shared" si="18"/>
        <v>739.26014319809076</v>
      </c>
      <c r="M201" s="31">
        <v>127.63984753270836</v>
      </c>
      <c r="N201" s="31"/>
      <c r="O201" s="32">
        <v>1963</v>
      </c>
      <c r="P201" s="32">
        <v>3263.6</v>
      </c>
      <c r="Q201" s="33">
        <v>16939.78</v>
      </c>
      <c r="R201" s="45"/>
      <c r="S201" s="3" t="s">
        <v>123</v>
      </c>
      <c r="T201" s="3" t="s">
        <v>123</v>
      </c>
      <c r="U201" s="3">
        <v>5.0999999999999996</v>
      </c>
      <c r="V201" s="31"/>
      <c r="W201" s="31">
        <v>116.3</v>
      </c>
      <c r="X201" s="31">
        <v>27.2</v>
      </c>
      <c r="Y201" s="31">
        <f t="shared" si="24"/>
        <v>120.88888888888889</v>
      </c>
      <c r="Z201" s="31">
        <f t="shared" si="25"/>
        <v>120.88888888888889</v>
      </c>
      <c r="AA201" s="24">
        <f t="shared" si="27"/>
        <v>526.53268653268651</v>
      </c>
      <c r="AB201" s="54">
        <v>1963</v>
      </c>
      <c r="AC201" s="98">
        <v>2.83</v>
      </c>
      <c r="AD201" s="98">
        <v>30.62</v>
      </c>
      <c r="AE201" s="98">
        <f t="shared" si="19"/>
        <v>105.87828492392808</v>
      </c>
      <c r="AF201" s="98">
        <f t="shared" si="20"/>
        <v>2.672880470280862</v>
      </c>
      <c r="AG201" s="98">
        <f t="shared" si="28"/>
        <v>634.16570366276414</v>
      </c>
      <c r="AH201" s="98">
        <f t="shared" si="26"/>
        <v>120.44184907851792</v>
      </c>
      <c r="AI201" s="98">
        <v>121.10796128206201</v>
      </c>
      <c r="AJ201" s="113"/>
      <c r="AK201" s="31"/>
      <c r="AL201" s="111">
        <v>5.7</v>
      </c>
      <c r="AM201" s="112">
        <v>5.7</v>
      </c>
      <c r="AN201" s="104">
        <f t="shared" si="23"/>
        <v>5.7</v>
      </c>
    </row>
    <row r="202" spans="1:40">
      <c r="A202" s="3">
        <v>1964</v>
      </c>
      <c r="C202" s="31"/>
      <c r="D202" s="3">
        <v>28.605550000000001</v>
      </c>
      <c r="E202" s="31">
        <f t="shared" si="21"/>
        <v>141.4222538630201</v>
      </c>
      <c r="F202" s="100">
        <v>141.4222538630201</v>
      </c>
      <c r="G202" s="45"/>
      <c r="H202" s="2"/>
      <c r="I202" s="2"/>
      <c r="J202" s="107">
        <v>13.866</v>
      </c>
      <c r="K202" s="108">
        <f t="shared" si="17"/>
        <v>827.32696897374694</v>
      </c>
      <c r="L202" s="109">
        <f t="shared" si="18"/>
        <v>827.32696897374694</v>
      </c>
      <c r="M202" s="31">
        <v>142.84536932110845</v>
      </c>
      <c r="N202" s="31"/>
      <c r="O202" s="32">
        <v>1964</v>
      </c>
      <c r="P202" s="32">
        <v>3457.57</v>
      </c>
      <c r="Q202" s="33">
        <v>17674.95</v>
      </c>
      <c r="R202" s="45"/>
      <c r="S202" s="3" t="s">
        <v>124</v>
      </c>
      <c r="T202" s="3" t="s">
        <v>124</v>
      </c>
      <c r="U202" s="3">
        <v>4.3</v>
      </c>
      <c r="V202" s="31"/>
      <c r="W202" s="31">
        <v>120.3</v>
      </c>
      <c r="X202" s="31">
        <v>28.6</v>
      </c>
      <c r="Y202" s="31">
        <f t="shared" si="24"/>
        <v>127.11111111111111</v>
      </c>
      <c r="Z202" s="31">
        <f t="shared" si="25"/>
        <v>127.11111111111111</v>
      </c>
      <c r="AA202" s="24">
        <f t="shared" si="27"/>
        <v>553.63363363363362</v>
      </c>
      <c r="AB202" s="54">
        <v>1964</v>
      </c>
      <c r="AC202" s="98">
        <v>2.89</v>
      </c>
      <c r="AD202" s="98">
        <v>31.03</v>
      </c>
      <c r="AE202" s="98">
        <f t="shared" si="19"/>
        <v>107.29598893499308</v>
      </c>
      <c r="AF202" s="98">
        <f t="shared" si="20"/>
        <v>2.6934837254270065</v>
      </c>
      <c r="AG202" s="98">
        <f t="shared" si="28"/>
        <v>639.05401720419445</v>
      </c>
      <c r="AH202" s="98">
        <f t="shared" si="26"/>
        <v>115.4290451990653</v>
      </c>
      <c r="AI202" s="98">
        <v>119.67390047093799</v>
      </c>
      <c r="AJ202" s="113"/>
      <c r="AK202" s="31"/>
      <c r="AL202" s="111">
        <v>5.2</v>
      </c>
      <c r="AM202" s="112">
        <v>5.2</v>
      </c>
      <c r="AN202" s="104">
        <f t="shared" si="23"/>
        <v>5.2</v>
      </c>
    </row>
    <row r="203" spans="1:40">
      <c r="A203" s="3">
        <v>1965</v>
      </c>
      <c r="C203" s="31"/>
      <c r="D203" s="3">
        <v>31.448225000000001</v>
      </c>
      <c r="E203" s="31">
        <f t="shared" si="21"/>
        <v>155.47608277034962</v>
      </c>
      <c r="F203" s="100">
        <v>155.47608277034962</v>
      </c>
      <c r="G203" s="45"/>
      <c r="H203" s="2"/>
      <c r="I203" s="2"/>
      <c r="J203" s="107">
        <v>16.260999999999999</v>
      </c>
      <c r="K203" s="108">
        <f t="shared" ref="K203:K248" si="29">J203*100/$J$139</f>
        <v>970.2267303102625</v>
      </c>
      <c r="L203" s="109">
        <f t="shared" si="18"/>
        <v>970.2267303102625</v>
      </c>
      <c r="M203" s="31">
        <v>167.51828577315337</v>
      </c>
      <c r="N203" s="31"/>
      <c r="O203" s="32">
        <v>1965</v>
      </c>
      <c r="P203" s="32">
        <v>3700.08</v>
      </c>
      <c r="Q203" s="33">
        <v>18575.54</v>
      </c>
      <c r="R203" s="45"/>
      <c r="S203" s="3" t="s">
        <v>125</v>
      </c>
      <c r="T203" s="3" t="s">
        <v>125</v>
      </c>
      <c r="U203" s="3">
        <v>3.5</v>
      </c>
      <c r="V203" s="31"/>
      <c r="W203" s="31">
        <v>123.8</v>
      </c>
      <c r="X203" s="31">
        <v>29.6</v>
      </c>
      <c r="Y203" s="31">
        <f t="shared" si="24"/>
        <v>131.55555555555554</v>
      </c>
      <c r="Z203" s="31">
        <f t="shared" si="25"/>
        <v>131.55555555555554</v>
      </c>
      <c r="AA203" s="24">
        <f t="shared" si="27"/>
        <v>572.99145299145289</v>
      </c>
      <c r="AB203" s="54">
        <v>1965</v>
      </c>
      <c r="AC203" s="98">
        <v>3</v>
      </c>
      <c r="AD203" s="98">
        <v>31.56</v>
      </c>
      <c r="AE203" s="98">
        <f t="shared" si="19"/>
        <v>109.12863070539419</v>
      </c>
      <c r="AF203" s="98">
        <f t="shared" si="20"/>
        <v>2.749049429657795</v>
      </c>
      <c r="AG203" s="98">
        <f t="shared" si="28"/>
        <v>652.23749634396017</v>
      </c>
      <c r="AH203" s="98">
        <f t="shared" si="26"/>
        <v>113.83023131301215</v>
      </c>
      <c r="AI203" s="98">
        <v>118.24270990411399</v>
      </c>
      <c r="AJ203" s="113"/>
      <c r="AK203" s="31"/>
      <c r="AL203" s="111">
        <v>4.5</v>
      </c>
      <c r="AM203" s="112">
        <v>4.5</v>
      </c>
      <c r="AN203" s="104">
        <f t="shared" si="23"/>
        <v>4.5</v>
      </c>
    </row>
    <row r="204" spans="1:40">
      <c r="A204" s="3">
        <v>1966</v>
      </c>
      <c r="C204" s="31"/>
      <c r="D204" s="3">
        <v>34.230625000000003</v>
      </c>
      <c r="E204" s="31">
        <f t="shared" si="21"/>
        <v>169.23191963237352</v>
      </c>
      <c r="F204" s="100">
        <v>169.23191963237352</v>
      </c>
      <c r="G204" s="45"/>
      <c r="H204" s="2"/>
      <c r="I204" s="2"/>
      <c r="J204" s="107">
        <v>18.213999999999999</v>
      </c>
      <c r="K204" s="108">
        <f t="shared" si="29"/>
        <v>1086.7541766109784</v>
      </c>
      <c r="L204" s="109">
        <f t="shared" ref="L204:L248" si="30">K204</f>
        <v>1086.7541766109784</v>
      </c>
      <c r="M204" s="31">
        <v>187.63778716390232</v>
      </c>
      <c r="N204" s="31"/>
      <c r="O204" s="32">
        <v>1966</v>
      </c>
      <c r="P204" s="32">
        <v>4006.63</v>
      </c>
      <c r="Q204" s="33">
        <v>19559.099999999999</v>
      </c>
      <c r="R204" s="45"/>
      <c r="S204" s="3" t="s">
        <v>126</v>
      </c>
      <c r="T204" s="3" t="s">
        <v>126</v>
      </c>
      <c r="U204" s="3">
        <v>2.2000000000000002</v>
      </c>
      <c r="V204" s="31"/>
      <c r="W204" s="31">
        <v>127.1</v>
      </c>
      <c r="X204" s="31">
        <v>30.2</v>
      </c>
      <c r="Y204" s="31">
        <f t="shared" si="24"/>
        <v>134.22222222222223</v>
      </c>
      <c r="Z204" s="31">
        <f t="shared" si="25"/>
        <v>134.22222222222223</v>
      </c>
      <c r="AA204" s="24">
        <f t="shared" si="27"/>
        <v>584.60614460614454</v>
      </c>
      <c r="AB204" s="54">
        <v>1966</v>
      </c>
      <c r="AC204" s="98">
        <v>3.14</v>
      </c>
      <c r="AD204" s="98">
        <v>32.46</v>
      </c>
      <c r="AE204" s="98">
        <f t="shared" si="19"/>
        <v>112.24066390041493</v>
      </c>
      <c r="AF204" s="98">
        <f t="shared" si="20"/>
        <v>2.7975600739371536</v>
      </c>
      <c r="AG204" s="98">
        <f t="shared" si="28"/>
        <v>663.74709701881602</v>
      </c>
      <c r="AH204" s="98">
        <f t="shared" si="26"/>
        <v>113.53748213953338</v>
      </c>
      <c r="AI204" s="98">
        <v>116.866973161982</v>
      </c>
      <c r="AJ204" s="113"/>
      <c r="AK204" s="31"/>
      <c r="AL204" s="111">
        <v>3.8</v>
      </c>
      <c r="AM204" s="112">
        <v>3.8</v>
      </c>
      <c r="AN204" s="104">
        <f t="shared" si="23"/>
        <v>3.8</v>
      </c>
    </row>
    <row r="205" spans="1:40">
      <c r="A205" s="3">
        <v>1967</v>
      </c>
      <c r="C205" s="31"/>
      <c r="D205" s="3">
        <v>34.969524999999997</v>
      </c>
      <c r="E205" s="31">
        <f t="shared" si="21"/>
        <v>172.88494862078258</v>
      </c>
      <c r="F205" s="100">
        <v>172.88494862078258</v>
      </c>
      <c r="G205" s="45"/>
      <c r="H205" s="2"/>
      <c r="I205" s="2"/>
      <c r="J205" s="107">
        <v>17.989999999999998</v>
      </c>
      <c r="K205" s="108">
        <f t="shared" si="29"/>
        <v>1073.3890214797136</v>
      </c>
      <c r="L205" s="109">
        <f t="shared" si="30"/>
        <v>1073.3890214797136</v>
      </c>
      <c r="M205" s="31">
        <v>185.33017410116409</v>
      </c>
      <c r="N205" s="31"/>
      <c r="O205" s="32">
        <v>1967</v>
      </c>
      <c r="P205" s="32">
        <v>4188.13</v>
      </c>
      <c r="Q205" s="33">
        <v>19836.28</v>
      </c>
      <c r="R205" s="45"/>
      <c r="S205" s="3" t="s">
        <v>127</v>
      </c>
      <c r="T205" s="3" t="s">
        <v>127</v>
      </c>
      <c r="U205" s="3">
        <v>0.5</v>
      </c>
      <c r="V205" s="31"/>
      <c r="W205" s="31"/>
      <c r="X205" s="31">
        <v>30.2</v>
      </c>
      <c r="Y205" s="31">
        <f t="shared" si="24"/>
        <v>134.22222222222223</v>
      </c>
      <c r="Z205" s="31">
        <f t="shared" si="25"/>
        <v>134.22222222222223</v>
      </c>
      <c r="AA205" s="24">
        <f t="shared" si="27"/>
        <v>584.60614460614454</v>
      </c>
      <c r="AB205" s="54">
        <v>1967</v>
      </c>
      <c r="AC205" s="98">
        <v>3.29</v>
      </c>
      <c r="AD205" s="98">
        <v>33.4</v>
      </c>
      <c r="AE205" s="98">
        <f t="shared" si="19"/>
        <v>115.49100968188104</v>
      </c>
      <c r="AF205" s="98">
        <f t="shared" si="20"/>
        <v>2.8487065868263475</v>
      </c>
      <c r="AG205" s="98">
        <f t="shared" si="28"/>
        <v>675.88208198986638</v>
      </c>
      <c r="AH205" s="98">
        <f t="shared" si="26"/>
        <v>115.61323606087231</v>
      </c>
      <c r="AI205" s="98">
        <v>115.55514672589401</v>
      </c>
      <c r="AJ205" s="113"/>
      <c r="AK205" s="31"/>
      <c r="AL205" s="111">
        <v>3.8</v>
      </c>
      <c r="AM205" s="112">
        <v>3.8</v>
      </c>
      <c r="AN205" s="104">
        <f t="shared" si="23"/>
        <v>3.8</v>
      </c>
    </row>
    <row r="206" spans="1:40">
      <c r="A206" s="3">
        <v>1968</v>
      </c>
      <c r="C206" s="31"/>
      <c r="D206" s="3">
        <v>36.912050000000001</v>
      </c>
      <c r="E206" s="31">
        <f t="shared" si="21"/>
        <v>182.48854875031211</v>
      </c>
      <c r="F206" s="100">
        <v>182.48854875031211</v>
      </c>
      <c r="G206" s="45"/>
      <c r="H206" s="2"/>
      <c r="I206" s="2"/>
      <c r="J206" s="107">
        <v>18.812000000000001</v>
      </c>
      <c r="K206" s="108">
        <f t="shared" si="29"/>
        <v>1122.4343675417663</v>
      </c>
      <c r="L206" s="109">
        <f t="shared" si="30"/>
        <v>1122.4343675417663</v>
      </c>
      <c r="M206" s="31">
        <v>193.79828989389102</v>
      </c>
      <c r="N206" s="31"/>
      <c r="O206" s="32">
        <v>1968</v>
      </c>
      <c r="P206" s="32">
        <v>4532.12</v>
      </c>
      <c r="Q206" s="33">
        <v>20590.3</v>
      </c>
      <c r="R206" s="45"/>
      <c r="S206" s="101" t="s">
        <v>136</v>
      </c>
      <c r="T206" s="48">
        <f>1+T194</f>
        <v>1840</v>
      </c>
      <c r="U206" s="3">
        <v>-1.2</v>
      </c>
      <c r="V206" s="31"/>
      <c r="W206" s="31"/>
      <c r="X206" s="31">
        <v>31.4</v>
      </c>
      <c r="Y206" s="31">
        <f t="shared" si="24"/>
        <v>139.55555555555554</v>
      </c>
      <c r="Z206" s="31">
        <f t="shared" si="25"/>
        <v>139.55555555555554</v>
      </c>
      <c r="AA206" s="24">
        <f t="shared" si="27"/>
        <v>607.83552783552773</v>
      </c>
      <c r="AB206" s="54">
        <v>1968</v>
      </c>
      <c r="AC206" s="98">
        <v>3.52</v>
      </c>
      <c r="AD206" s="98">
        <v>34.799999999999997</v>
      </c>
      <c r="AE206" s="98">
        <f t="shared" si="19"/>
        <v>120.33195020746885</v>
      </c>
      <c r="AF206" s="98">
        <f t="shared" si="20"/>
        <v>2.9252413793103456</v>
      </c>
      <c r="AG206" s="98">
        <f t="shared" si="28"/>
        <v>694.0406719717065</v>
      </c>
      <c r="AH206" s="98">
        <f t="shared" si="26"/>
        <v>114.18231416040308</v>
      </c>
      <c r="AI206" s="98">
        <v>114.282417345583</v>
      </c>
      <c r="AJ206" s="113"/>
      <c r="AK206" s="31"/>
      <c r="AL206" s="111">
        <v>3.6</v>
      </c>
      <c r="AM206" s="112">
        <v>3.6</v>
      </c>
      <c r="AN206" s="104">
        <f t="shared" si="23"/>
        <v>3.6</v>
      </c>
    </row>
    <row r="207" spans="1:40">
      <c r="A207" s="3">
        <v>1969</v>
      </c>
      <c r="C207" s="31"/>
      <c r="D207" s="3">
        <v>38.625574999999998</v>
      </c>
      <c r="E207" s="31">
        <f t="shared" si="21"/>
        <v>190.96000158203989</v>
      </c>
      <c r="F207" s="100">
        <v>190.96000158203989</v>
      </c>
      <c r="G207" s="45"/>
      <c r="H207" s="2"/>
      <c r="I207" s="2"/>
      <c r="J207" s="107">
        <v>20.268999999999998</v>
      </c>
      <c r="K207" s="108">
        <f t="shared" si="29"/>
        <v>1209.3675417661098</v>
      </c>
      <c r="L207" s="109">
        <f t="shared" si="30"/>
        <v>1209.3675417661098</v>
      </c>
      <c r="M207" s="31">
        <v>208.80807664571958</v>
      </c>
      <c r="N207" s="31"/>
      <c r="O207" s="32">
        <v>1969</v>
      </c>
      <c r="P207" s="32">
        <v>4855.58</v>
      </c>
      <c r="Q207" s="33">
        <v>21021.43</v>
      </c>
      <c r="R207" s="45"/>
      <c r="S207" s="3" t="s">
        <v>117</v>
      </c>
      <c r="T207" s="3" t="s">
        <v>117</v>
      </c>
      <c r="U207" s="3">
        <v>-2.9</v>
      </c>
      <c r="V207" s="31"/>
      <c r="W207" s="31"/>
      <c r="X207" s="31">
        <v>31.8</v>
      </c>
      <c r="Y207" s="31">
        <f t="shared" si="24"/>
        <v>141.33333333333334</v>
      </c>
      <c r="Z207" s="31">
        <f t="shared" si="25"/>
        <v>141.33333333333334</v>
      </c>
      <c r="AA207" s="24">
        <f t="shared" si="27"/>
        <v>615.57865557865557</v>
      </c>
      <c r="AB207" s="54">
        <v>1969</v>
      </c>
      <c r="AC207" s="98">
        <v>3.72</v>
      </c>
      <c r="AD207" s="98">
        <v>36.67</v>
      </c>
      <c r="AE207" s="98">
        <f t="shared" si="19"/>
        <v>126.79806362378976</v>
      </c>
      <c r="AF207" s="98">
        <f t="shared" si="20"/>
        <v>2.933798745568585</v>
      </c>
      <c r="AG207" s="98">
        <f t="shared" si="28"/>
        <v>696.07098655366997</v>
      </c>
      <c r="AH207" s="98">
        <f t="shared" si="26"/>
        <v>113.07588075797561</v>
      </c>
      <c r="AI207" s="98">
        <v>113.024520303522</v>
      </c>
      <c r="AJ207" s="113"/>
      <c r="AK207" s="31"/>
      <c r="AL207" s="111">
        <v>3.5</v>
      </c>
      <c r="AM207" s="112">
        <v>3.5</v>
      </c>
      <c r="AN207" s="104">
        <f t="shared" si="23"/>
        <v>3.5</v>
      </c>
    </row>
    <row r="208" spans="1:40">
      <c r="A208" s="3">
        <v>1970</v>
      </c>
      <c r="C208" s="31"/>
      <c r="D208" s="3">
        <v>37.351875</v>
      </c>
      <c r="E208" s="31">
        <f t="shared" si="21"/>
        <v>184.66298842391748</v>
      </c>
      <c r="F208" s="100">
        <v>184.66298842391748</v>
      </c>
      <c r="G208" s="45"/>
      <c r="H208" s="2"/>
      <c r="I208" s="2"/>
      <c r="J208" s="107">
        <v>20.04</v>
      </c>
      <c r="K208" s="108">
        <f t="shared" si="29"/>
        <v>1195.7040572792364</v>
      </c>
      <c r="L208" s="109">
        <f t="shared" si="30"/>
        <v>1195.7040572792364</v>
      </c>
      <c r="M208" s="31">
        <v>206.44895436283096</v>
      </c>
      <c r="N208" s="31"/>
      <c r="O208" s="32">
        <v>1970</v>
      </c>
      <c r="P208" s="32">
        <v>5062.68</v>
      </c>
      <c r="Q208" s="33">
        <v>20819.740000000002</v>
      </c>
      <c r="R208" s="45"/>
      <c r="S208" s="3" t="s">
        <v>118</v>
      </c>
      <c r="T208" s="3" t="s">
        <v>118</v>
      </c>
      <c r="U208" s="3">
        <v>-5.8</v>
      </c>
      <c r="V208" s="31"/>
      <c r="W208" s="31"/>
      <c r="X208" s="31">
        <v>31.9</v>
      </c>
      <c r="Y208" s="31">
        <f t="shared" si="24"/>
        <v>141.77777777777777</v>
      </c>
      <c r="Z208" s="31">
        <f t="shared" si="25"/>
        <v>141.77777777777777</v>
      </c>
      <c r="AA208" s="24">
        <f t="shared" si="27"/>
        <v>617.51443751443742</v>
      </c>
      <c r="AB208" s="54">
        <v>1970</v>
      </c>
      <c r="AC208" s="98">
        <v>3.93</v>
      </c>
      <c r="AD208" s="98">
        <v>38.840000000000003</v>
      </c>
      <c r="AE208" s="98">
        <f t="shared" si="19"/>
        <v>134.30152143845092</v>
      </c>
      <c r="AF208" s="98">
        <f t="shared" si="20"/>
        <v>2.9262512873326463</v>
      </c>
      <c r="AG208" s="98">
        <f t="shared" si="28"/>
        <v>694.28028202487496</v>
      </c>
      <c r="AH208" s="98">
        <f t="shared" si="26"/>
        <v>112.4314250561377</v>
      </c>
      <c r="AI208" s="98">
        <v>111.75616670872699</v>
      </c>
      <c r="AJ208" s="113"/>
      <c r="AK208" s="31"/>
      <c r="AL208" s="111">
        <v>4.9000000000000004</v>
      </c>
      <c r="AM208" s="112">
        <v>4.9000000000000004</v>
      </c>
      <c r="AN208" s="104">
        <f t="shared" si="23"/>
        <v>4.9000000000000004</v>
      </c>
    </row>
    <row r="209" spans="1:40">
      <c r="A209" s="3">
        <v>1971</v>
      </c>
      <c r="C209" s="31"/>
      <c r="D209" s="3">
        <v>37.862499999999997</v>
      </c>
      <c r="E209" s="31">
        <f t="shared" si="21"/>
        <v>187.18745442365545</v>
      </c>
      <c r="F209" s="100">
        <v>187.18745442365545</v>
      </c>
      <c r="G209" s="45"/>
      <c r="H209" s="2"/>
      <c r="I209" s="2"/>
      <c r="J209" s="107">
        <v>20.010999999999999</v>
      </c>
      <c r="K209" s="108">
        <f t="shared" si="29"/>
        <v>1193.9737470167065</v>
      </c>
      <c r="L209" s="109">
        <f t="shared" si="30"/>
        <v>1193.9737470167065</v>
      </c>
      <c r="M209" s="31">
        <v>206.15020088595858</v>
      </c>
      <c r="N209" s="31"/>
      <c r="O209" s="32">
        <v>1971</v>
      </c>
      <c r="P209" s="32">
        <v>5425.34</v>
      </c>
      <c r="Q209" s="33">
        <v>21249.25</v>
      </c>
      <c r="R209" s="45"/>
      <c r="S209" s="3" t="s">
        <v>119</v>
      </c>
      <c r="T209" s="3" t="s">
        <v>119</v>
      </c>
      <c r="U209" s="3">
        <v>-6</v>
      </c>
      <c r="V209" s="31"/>
      <c r="W209" s="31"/>
      <c r="X209" s="31">
        <v>34</v>
      </c>
      <c r="Y209" s="31">
        <f t="shared" si="24"/>
        <v>151.11111111111111</v>
      </c>
      <c r="Z209" s="31">
        <f t="shared" si="25"/>
        <v>151.11111111111111</v>
      </c>
      <c r="AA209" s="24">
        <f t="shared" si="27"/>
        <v>658.16585816585814</v>
      </c>
      <c r="AB209" s="54">
        <v>1971</v>
      </c>
      <c r="AC209" s="98">
        <v>4.26</v>
      </c>
      <c r="AD209" s="98">
        <v>40.51</v>
      </c>
      <c r="AE209" s="98">
        <f t="shared" si="19"/>
        <v>140.07607192254494</v>
      </c>
      <c r="AF209" s="98">
        <f t="shared" si="20"/>
        <v>3.0412046408294251</v>
      </c>
      <c r="AG209" s="98">
        <f t="shared" si="28"/>
        <v>721.55403224275108</v>
      </c>
      <c r="AH209" s="98">
        <f t="shared" si="26"/>
        <v>109.63103346830232</v>
      </c>
      <c r="AI209" s="98">
        <v>110.452622467181</v>
      </c>
      <c r="AJ209" s="113"/>
      <c r="AK209" s="31"/>
      <c r="AL209" s="111"/>
      <c r="AM209" s="112">
        <v>5.9</v>
      </c>
      <c r="AN209" s="104">
        <f t="shared" si="23"/>
        <v>5.9</v>
      </c>
    </row>
    <row r="210" spans="1:40">
      <c r="A210" s="3">
        <v>1972</v>
      </c>
      <c r="C210" s="31"/>
      <c r="D210" s="3">
        <v>41.50365</v>
      </c>
      <c r="E210" s="31">
        <f t="shared" si="21"/>
        <v>205.18884365243574</v>
      </c>
      <c r="F210" s="100">
        <v>205.18884365243574</v>
      </c>
      <c r="G210" s="45"/>
      <c r="H210" s="2"/>
      <c r="I210" s="2"/>
      <c r="J210" s="107">
        <v>21.931999999999999</v>
      </c>
      <c r="K210" s="108">
        <f t="shared" si="29"/>
        <v>1308.5918854415274</v>
      </c>
      <c r="L210" s="109">
        <f t="shared" si="30"/>
        <v>1308.5918854415274</v>
      </c>
      <c r="M210" s="31">
        <v>225.9400432677449</v>
      </c>
      <c r="N210" s="31"/>
      <c r="O210" s="32">
        <v>1972</v>
      </c>
      <c r="P210" s="32">
        <v>5896.9</v>
      </c>
      <c r="Q210" s="33">
        <v>22139.919999999998</v>
      </c>
      <c r="R210" s="45"/>
      <c r="S210" s="3" t="s">
        <v>120</v>
      </c>
      <c r="T210" s="3" t="s">
        <v>120</v>
      </c>
      <c r="U210" s="3">
        <v>-6.9</v>
      </c>
      <c r="V210" s="31"/>
      <c r="W210" s="31"/>
      <c r="X210" s="31">
        <v>35.4</v>
      </c>
      <c r="Y210" s="31">
        <f t="shared" si="24"/>
        <v>157.33333333333334</v>
      </c>
      <c r="Z210" s="31">
        <f t="shared" si="25"/>
        <v>157.33333333333334</v>
      </c>
      <c r="AA210" s="24">
        <f t="shared" si="27"/>
        <v>685.26680526680525</v>
      </c>
      <c r="AB210" s="54">
        <v>1972</v>
      </c>
      <c r="AC210" s="98">
        <v>4.59</v>
      </c>
      <c r="AD210" s="98">
        <v>41.85</v>
      </c>
      <c r="AE210" s="98">
        <f t="shared" si="19"/>
        <v>144.70954356846471</v>
      </c>
      <c r="AF210" s="98">
        <f t="shared" si="20"/>
        <v>3.1718709677419361</v>
      </c>
      <c r="AG210" s="98">
        <f t="shared" si="28"/>
        <v>752.55583126550869</v>
      </c>
      <c r="AH210" s="98">
        <f t="shared" si="26"/>
        <v>109.81939085353841</v>
      </c>
      <c r="AI210" s="98">
        <v>109.09589181778</v>
      </c>
      <c r="AJ210" s="113"/>
      <c r="AK210" s="31"/>
      <c r="AL210" s="111"/>
      <c r="AM210" s="112">
        <v>5.6</v>
      </c>
      <c r="AN210" s="104">
        <f t="shared" si="23"/>
        <v>5.6</v>
      </c>
    </row>
    <row r="211" spans="1:40">
      <c r="A211" s="3">
        <v>1973</v>
      </c>
      <c r="C211" s="31"/>
      <c r="D211" s="3">
        <v>44.902850000000001</v>
      </c>
      <c r="E211" s="31">
        <f t="shared" si="21"/>
        <v>221.99406240652988</v>
      </c>
      <c r="F211" s="100">
        <v>221.99406240652988</v>
      </c>
      <c r="G211" s="45"/>
      <c r="H211" s="2"/>
      <c r="I211" s="2"/>
      <c r="J211" s="107">
        <v>25.117999999999999</v>
      </c>
      <c r="K211" s="108">
        <f t="shared" si="29"/>
        <v>1498.6873508353221</v>
      </c>
      <c r="L211" s="109">
        <f t="shared" si="30"/>
        <v>1498.6873508353221</v>
      </c>
      <c r="M211" s="31">
        <v>258.76171834758424</v>
      </c>
      <c r="N211" s="31"/>
      <c r="O211" s="32">
        <v>1973</v>
      </c>
      <c r="P211" s="32">
        <v>6522.16</v>
      </c>
      <c r="Q211" s="33">
        <v>23200.07</v>
      </c>
      <c r="R211" s="45"/>
      <c r="S211" s="3" t="s">
        <v>121</v>
      </c>
      <c r="T211" s="3" t="s">
        <v>121</v>
      </c>
      <c r="U211" s="3">
        <v>-6.9</v>
      </c>
      <c r="V211" s="31"/>
      <c r="W211" s="31"/>
      <c r="X211" s="31">
        <v>37.200000000000003</v>
      </c>
      <c r="Y211" s="31">
        <f t="shared" si="24"/>
        <v>165.33333333333334</v>
      </c>
      <c r="Z211" s="31">
        <f t="shared" si="25"/>
        <v>165.33333333333334</v>
      </c>
      <c r="AA211" s="24">
        <f t="shared" si="27"/>
        <v>720.1108801108802</v>
      </c>
      <c r="AB211" s="54">
        <v>1973</v>
      </c>
      <c r="AC211" s="98">
        <v>4.95</v>
      </c>
      <c r="AD211" s="98">
        <v>44.45</v>
      </c>
      <c r="AE211" s="98">
        <f t="shared" si="19"/>
        <v>153.69986168741355</v>
      </c>
      <c r="AF211" s="98">
        <f t="shared" si="20"/>
        <v>3.220562429696288</v>
      </c>
      <c r="AG211" s="98">
        <f t="shared" si="28"/>
        <v>764.10833261226946</v>
      </c>
      <c r="AH211" s="98">
        <f t="shared" si="26"/>
        <v>106.10981637919632</v>
      </c>
      <c r="AI211" s="98">
        <v>107.65975277474401</v>
      </c>
      <c r="AJ211" s="113"/>
      <c r="AK211" s="31"/>
      <c r="AL211" s="111"/>
      <c r="AM211" s="112">
        <v>4.9000000000000004</v>
      </c>
      <c r="AN211" s="104">
        <f t="shared" si="23"/>
        <v>4.9000000000000004</v>
      </c>
    </row>
    <row r="212" spans="1:40">
      <c r="A212" s="3">
        <v>1974</v>
      </c>
      <c r="C212" s="31"/>
      <c r="D212" s="3">
        <v>44.772725000000001</v>
      </c>
      <c r="E212" s="31">
        <f t="shared" si="21"/>
        <v>221.35074071602139</v>
      </c>
      <c r="F212" s="100">
        <v>221.35074071602139</v>
      </c>
      <c r="G212" s="45"/>
      <c r="H212" s="2"/>
      <c r="I212" s="2"/>
      <c r="J212" s="107">
        <v>25.265999999999998</v>
      </c>
      <c r="K212" s="108">
        <f t="shared" si="29"/>
        <v>1507.5178997613366</v>
      </c>
      <c r="L212" s="109">
        <f t="shared" si="30"/>
        <v>1507.5178997613366</v>
      </c>
      <c r="M212" s="31">
        <v>260.2863912640363</v>
      </c>
      <c r="N212" s="31"/>
      <c r="O212" s="32">
        <v>1974</v>
      </c>
      <c r="P212" s="32">
        <v>7010.35</v>
      </c>
      <c r="Q212" s="33">
        <v>22860.9</v>
      </c>
      <c r="R212" s="45"/>
      <c r="S212" s="3" t="s">
        <v>122</v>
      </c>
      <c r="T212" s="3" t="s">
        <v>122</v>
      </c>
      <c r="U212" s="3">
        <v>-6.3</v>
      </c>
      <c r="V212" s="31"/>
      <c r="W212" s="31"/>
      <c r="X212" s="31">
        <v>36.299999999999997</v>
      </c>
      <c r="Y212" s="31">
        <f t="shared" si="24"/>
        <v>161.33333333333331</v>
      </c>
      <c r="Z212" s="31">
        <f t="shared" si="25"/>
        <v>161.33333333333331</v>
      </c>
      <c r="AA212" s="24">
        <f t="shared" si="27"/>
        <v>702.68884268884256</v>
      </c>
      <c r="AB212" s="54">
        <v>1974</v>
      </c>
      <c r="AC212" s="98">
        <v>5.44</v>
      </c>
      <c r="AD212" s="98">
        <v>49.33</v>
      </c>
      <c r="AE212" s="98">
        <f t="shared" si="19"/>
        <v>170.57399723374826</v>
      </c>
      <c r="AF212" s="98">
        <f t="shared" si="20"/>
        <v>3.1892317048449224</v>
      </c>
      <c r="AG212" s="98">
        <f t="shared" si="28"/>
        <v>756.67482730122094</v>
      </c>
      <c r="AH212" s="98">
        <f t="shared" si="26"/>
        <v>107.68277242111897</v>
      </c>
      <c r="AI212" s="98">
        <v>106.12522443412099</v>
      </c>
      <c r="AJ212" s="113"/>
      <c r="AK212" s="31"/>
      <c r="AL212" s="111"/>
      <c r="AM212" s="112">
        <v>5.6</v>
      </c>
      <c r="AN212" s="104">
        <f t="shared" si="23"/>
        <v>5.6</v>
      </c>
    </row>
    <row r="213" spans="1:40">
      <c r="A213" s="3">
        <v>1975</v>
      </c>
      <c r="C213" s="31"/>
      <c r="D213" s="3">
        <v>40.820025000000001</v>
      </c>
      <c r="E213" s="31">
        <f t="shared" si="21"/>
        <v>201.80908733601788</v>
      </c>
      <c r="F213" s="100">
        <v>201.80908733601788</v>
      </c>
      <c r="G213" s="45"/>
      <c r="H213" s="2"/>
      <c r="I213" s="2"/>
      <c r="J213" s="107">
        <v>22.853999999999999</v>
      </c>
      <c r="K213" s="108">
        <f t="shared" si="29"/>
        <v>1363.6038186157518</v>
      </c>
      <c r="L213" s="109">
        <f t="shared" si="30"/>
        <v>1363.6038186157518</v>
      </c>
      <c r="M213" s="31">
        <v>235.43834346347995</v>
      </c>
      <c r="N213" s="31"/>
      <c r="O213" s="32">
        <v>1975</v>
      </c>
      <c r="P213" s="32">
        <v>7582.61</v>
      </c>
      <c r="Q213" s="33">
        <v>22592.27</v>
      </c>
      <c r="R213" s="45"/>
      <c r="S213" s="3" t="s">
        <v>123</v>
      </c>
      <c r="T213" s="3" t="s">
        <v>123</v>
      </c>
      <c r="U213" s="3">
        <v>-7</v>
      </c>
      <c r="V213" s="31"/>
      <c r="W213" s="31"/>
      <c r="X213" s="31">
        <v>37.6</v>
      </c>
      <c r="Y213" s="31">
        <f t="shared" si="24"/>
        <v>167.11111111111111</v>
      </c>
      <c r="Z213" s="31">
        <f t="shared" si="25"/>
        <v>167.11111111111111</v>
      </c>
      <c r="AA213" s="24">
        <f t="shared" si="27"/>
        <v>727.85400785400793</v>
      </c>
      <c r="AB213" s="54">
        <v>1975</v>
      </c>
      <c r="AC213" s="98">
        <v>6.02</v>
      </c>
      <c r="AD213" s="98">
        <v>53.84</v>
      </c>
      <c r="AE213" s="98">
        <f t="shared" si="19"/>
        <v>186.16874135546334</v>
      </c>
      <c r="AF213" s="98">
        <f t="shared" si="20"/>
        <v>3.2336255572065382</v>
      </c>
      <c r="AG213" s="98">
        <f t="shared" si="28"/>
        <v>767.20768087781448</v>
      </c>
      <c r="AH213" s="98">
        <f t="shared" si="26"/>
        <v>105.40680859061781</v>
      </c>
      <c r="AI213" s="98">
        <v>104.457828364207</v>
      </c>
      <c r="AJ213" s="113"/>
      <c r="AK213" s="31"/>
      <c r="AL213" s="111"/>
      <c r="AM213" s="112">
        <v>8.5</v>
      </c>
      <c r="AN213" s="104">
        <f t="shared" si="23"/>
        <v>8.5</v>
      </c>
    </row>
    <row r="214" spans="1:40">
      <c r="A214" s="3">
        <v>1976</v>
      </c>
      <c r="C214" s="31"/>
      <c r="D214" s="3">
        <v>44.024825</v>
      </c>
      <c r="E214" s="31">
        <f t="shared" si="21"/>
        <v>217.65321685564629</v>
      </c>
      <c r="F214" s="100">
        <v>217.65321685564629</v>
      </c>
      <c r="G214" s="45"/>
      <c r="H214" s="2"/>
      <c r="I214" s="2"/>
      <c r="J214" s="107">
        <v>23.864999999999998</v>
      </c>
      <c r="K214" s="108">
        <f t="shared" si="29"/>
        <v>1423.9260143198092</v>
      </c>
      <c r="L214" s="109">
        <f t="shared" si="30"/>
        <v>1423.9260143198092</v>
      </c>
      <c r="M214" s="31">
        <v>245.85350777789222</v>
      </c>
      <c r="N214" s="31"/>
      <c r="O214" s="32">
        <v>1976</v>
      </c>
      <c r="P214" s="32">
        <v>8366.42</v>
      </c>
      <c r="Q214" s="33">
        <v>23574.65</v>
      </c>
      <c r="R214" s="45"/>
      <c r="S214" s="3" t="s">
        <v>124</v>
      </c>
      <c r="T214" s="3" t="s">
        <v>124</v>
      </c>
      <c r="U214" s="3">
        <v>-6.2</v>
      </c>
      <c r="V214" s="31"/>
      <c r="W214" s="31"/>
      <c r="X214" s="31">
        <v>39.6</v>
      </c>
      <c r="Y214" s="31">
        <f t="shared" si="24"/>
        <v>176</v>
      </c>
      <c r="Z214" s="31">
        <f t="shared" si="25"/>
        <v>176</v>
      </c>
      <c r="AA214" s="24">
        <f t="shared" si="27"/>
        <v>766.56964656964647</v>
      </c>
      <c r="AB214" s="54">
        <v>1976</v>
      </c>
      <c r="AC214" s="98">
        <v>6.53</v>
      </c>
      <c r="AD214" s="98">
        <v>56.94</v>
      </c>
      <c r="AE214" s="98">
        <f t="shared" si="19"/>
        <v>196.88796680497924</v>
      </c>
      <c r="AF214" s="98">
        <f t="shared" si="20"/>
        <v>3.3166069546891466</v>
      </c>
      <c r="AG214" s="98">
        <f t="shared" si="28"/>
        <v>786.8957877387802</v>
      </c>
      <c r="AH214" s="98">
        <f t="shared" si="26"/>
        <v>102.65157135559593</v>
      </c>
      <c r="AI214" s="98">
        <v>102.63863388896</v>
      </c>
      <c r="AJ214" s="113"/>
      <c r="AK214" s="31"/>
      <c r="AL214" s="111"/>
      <c r="AM214" s="112">
        <v>7.7</v>
      </c>
      <c r="AN214" s="104">
        <f t="shared" si="23"/>
        <v>7.7</v>
      </c>
    </row>
    <row r="215" spans="1:40">
      <c r="A215" s="3">
        <v>1977</v>
      </c>
      <c r="C215" s="31"/>
      <c r="D215" s="3">
        <v>47.374000000000002</v>
      </c>
      <c r="E215" s="31">
        <f t="shared" si="21"/>
        <v>234.21111827972942</v>
      </c>
      <c r="F215" s="100">
        <v>234.21111827972942</v>
      </c>
      <c r="G215" s="45"/>
      <c r="H215" s="2"/>
      <c r="I215" s="2"/>
      <c r="J215" s="107">
        <v>26.568000000000001</v>
      </c>
      <c r="K215" s="108">
        <f t="shared" si="29"/>
        <v>1585.202863961814</v>
      </c>
      <c r="L215" s="109">
        <f t="shared" si="30"/>
        <v>1585.202863961814</v>
      </c>
      <c r="M215" s="31">
        <v>273.69939219120226</v>
      </c>
      <c r="N215" s="31"/>
      <c r="O215" s="32">
        <v>1977</v>
      </c>
      <c r="P215" s="32">
        <v>9215.6200000000008</v>
      </c>
      <c r="Q215" s="33">
        <v>24412.02</v>
      </c>
      <c r="R215" s="45"/>
      <c r="S215" s="3" t="s">
        <v>125</v>
      </c>
      <c r="T215" s="3" t="s">
        <v>125</v>
      </c>
      <c r="U215" s="3">
        <v>-5.3</v>
      </c>
      <c r="V215" s="31"/>
      <c r="W215" s="31"/>
      <c r="X215" s="31">
        <v>41.1</v>
      </c>
      <c r="Y215" s="31">
        <f t="shared" si="24"/>
        <v>182.66666666666666</v>
      </c>
      <c r="Z215" s="31">
        <f t="shared" si="25"/>
        <v>182.66666666666666</v>
      </c>
      <c r="AA215" s="24">
        <f t="shared" si="27"/>
        <v>795.60637560637542</v>
      </c>
      <c r="AB215" s="54">
        <v>1977</v>
      </c>
      <c r="AC215" s="98">
        <v>7.15</v>
      </c>
      <c r="AD215" s="98">
        <v>60.61</v>
      </c>
      <c r="AE215" s="98">
        <f t="shared" si="19"/>
        <v>209.57814661134162</v>
      </c>
      <c r="AF215" s="98">
        <f t="shared" si="20"/>
        <v>3.4116152450090746</v>
      </c>
      <c r="AG215" s="98">
        <f t="shared" si="28"/>
        <v>809.43738656987296</v>
      </c>
      <c r="AH215" s="98">
        <f t="shared" si="26"/>
        <v>101.73842384721416</v>
      </c>
      <c r="AI215" s="98">
        <v>100.658232048692</v>
      </c>
      <c r="AJ215" s="113"/>
      <c r="AK215" s="31"/>
      <c r="AL215" s="111"/>
      <c r="AM215" s="112">
        <v>7.1</v>
      </c>
      <c r="AN215" s="104">
        <f t="shared" si="23"/>
        <v>7.1</v>
      </c>
    </row>
    <row r="216" spans="1:40">
      <c r="A216" s="3">
        <v>1978</v>
      </c>
      <c r="C216" s="31"/>
      <c r="D216" s="3">
        <v>49.968325</v>
      </c>
      <c r="E216" s="31">
        <f t="shared" si="21"/>
        <v>247.03713591453032</v>
      </c>
      <c r="F216" s="100">
        <v>247.03713591453032</v>
      </c>
      <c r="G216" s="45"/>
      <c r="H216" s="2"/>
      <c r="I216" s="2"/>
      <c r="J216" s="107">
        <v>30.550999999999998</v>
      </c>
      <c r="K216" s="108">
        <f t="shared" si="29"/>
        <v>1822.8520286396181</v>
      </c>
      <c r="L216" s="109">
        <f t="shared" si="30"/>
        <v>1822.8520286396181</v>
      </c>
      <c r="M216" s="31">
        <v>314.73163696301634</v>
      </c>
      <c r="N216" s="31"/>
      <c r="O216" s="32">
        <v>1978</v>
      </c>
      <c r="P216" s="32">
        <v>10303.24</v>
      </c>
      <c r="Q216" s="33">
        <v>25502.52</v>
      </c>
      <c r="R216" s="45"/>
      <c r="S216" s="3" t="s">
        <v>126</v>
      </c>
      <c r="T216" s="3" t="s">
        <v>126</v>
      </c>
      <c r="U216" s="3">
        <v>-4.4000000000000004</v>
      </c>
      <c r="V216" s="31"/>
      <c r="W216" s="31"/>
      <c r="X216" s="31">
        <v>41.5</v>
      </c>
      <c r="Y216" s="31">
        <f t="shared" si="24"/>
        <v>184.44444444444446</v>
      </c>
      <c r="Z216" s="31">
        <f t="shared" si="25"/>
        <v>184.44444444444446</v>
      </c>
      <c r="AA216" s="24">
        <f t="shared" si="27"/>
        <v>803.34950334950327</v>
      </c>
      <c r="AB216" s="54">
        <v>1978</v>
      </c>
      <c r="AC216" s="98">
        <v>7.77</v>
      </c>
      <c r="AD216" s="98">
        <v>65.22</v>
      </c>
      <c r="AE216" s="98">
        <f t="shared" si="19"/>
        <v>225.51867219917011</v>
      </c>
      <c r="AF216" s="98">
        <f t="shared" si="20"/>
        <v>3.4453909843606256</v>
      </c>
      <c r="AG216" s="98">
        <f t="shared" si="28"/>
        <v>817.45099426792137</v>
      </c>
      <c r="AH216" s="98">
        <f t="shared" si="26"/>
        <v>101.75533698093085</v>
      </c>
      <c r="AI216" s="98">
        <v>98.507327544830403</v>
      </c>
      <c r="AJ216" s="113"/>
      <c r="AK216" s="31"/>
      <c r="AL216" s="111"/>
      <c r="AM216" s="112">
        <v>6.1</v>
      </c>
      <c r="AN216" s="104">
        <f t="shared" si="23"/>
        <v>6.1</v>
      </c>
    </row>
    <row r="217" spans="1:40">
      <c r="A217" s="3">
        <v>1979</v>
      </c>
      <c r="C217" s="31"/>
      <c r="D217" s="3">
        <v>51.479075000000002</v>
      </c>
      <c r="E217" s="31">
        <f t="shared" si="21"/>
        <v>254.5060945614907</v>
      </c>
      <c r="F217" s="100">
        <v>254.5060945614907</v>
      </c>
      <c r="G217" s="45"/>
      <c r="H217" s="2"/>
      <c r="I217" s="2"/>
      <c r="J217" s="107">
        <v>33.722000000000001</v>
      </c>
      <c r="K217" s="108">
        <f t="shared" si="29"/>
        <v>2012.0525059665874</v>
      </c>
      <c r="L217" s="109">
        <f t="shared" si="30"/>
        <v>2012.0525059665874</v>
      </c>
      <c r="M217" s="31">
        <v>347.39878438240447</v>
      </c>
      <c r="N217" s="31"/>
      <c r="O217" s="32">
        <v>1979</v>
      </c>
      <c r="P217" s="32">
        <v>11382.19</v>
      </c>
      <c r="Q217" s="33">
        <v>26009.97</v>
      </c>
      <c r="R217" s="45"/>
      <c r="S217" s="3" t="s">
        <v>127</v>
      </c>
      <c r="T217" s="3" t="s">
        <v>127</v>
      </c>
      <c r="U217" s="3">
        <v>-3.5</v>
      </c>
      <c r="V217" s="31"/>
      <c r="W217" s="31"/>
      <c r="X217" s="31">
        <v>42</v>
      </c>
      <c r="Y217" s="31">
        <f t="shared" si="24"/>
        <v>186.66666666666666</v>
      </c>
      <c r="Z217" s="31">
        <f t="shared" si="25"/>
        <v>186.66666666666666</v>
      </c>
      <c r="AA217" s="24">
        <f t="shared" si="27"/>
        <v>813.02841302841284</v>
      </c>
      <c r="AB217" s="54">
        <v>1979</v>
      </c>
      <c r="AC217" s="98">
        <v>8.34</v>
      </c>
      <c r="AD217" s="98">
        <v>72.569999999999993</v>
      </c>
      <c r="AE217" s="98">
        <f t="shared" si="19"/>
        <v>250.93360995850617</v>
      </c>
      <c r="AF217" s="98">
        <f t="shared" si="20"/>
        <v>3.3235882596114106</v>
      </c>
      <c r="AG217" s="98">
        <f t="shared" si="28"/>
        <v>788.55216713835989</v>
      </c>
      <c r="AH217" s="98">
        <f t="shared" si="26"/>
        <v>96.989496861630883</v>
      </c>
      <c r="AI217" s="98">
        <v>96.187442758311093</v>
      </c>
      <c r="AJ217" s="113"/>
      <c r="AK217" s="31"/>
      <c r="AL217" s="111"/>
      <c r="AM217" s="112">
        <v>5.8</v>
      </c>
      <c r="AN217" s="104">
        <f t="shared" si="23"/>
        <v>5.8</v>
      </c>
    </row>
    <row r="218" spans="1:40">
      <c r="A218" s="3">
        <v>1980</v>
      </c>
      <c r="C218" s="31"/>
      <c r="D218" s="3">
        <v>50.169249999999998</v>
      </c>
      <c r="E218" s="31">
        <f t="shared" si="21"/>
        <v>248.0304839311714</v>
      </c>
      <c r="F218" s="100">
        <v>248.0304839311714</v>
      </c>
      <c r="G218" s="45"/>
      <c r="H218" s="2"/>
      <c r="I218" s="2"/>
      <c r="J218" s="107">
        <v>33.561</v>
      </c>
      <c r="K218" s="108">
        <f t="shared" si="29"/>
        <v>2002.4463007159904</v>
      </c>
      <c r="L218" s="109">
        <f t="shared" si="30"/>
        <v>2002.4463007159904</v>
      </c>
      <c r="M218" s="31">
        <v>345.74018749356128</v>
      </c>
      <c r="N218" s="31"/>
      <c r="O218" s="32">
        <v>1980</v>
      </c>
      <c r="P218" s="32">
        <v>12243.22</v>
      </c>
      <c r="Q218" s="33">
        <v>25640.46</v>
      </c>
      <c r="R218" s="45"/>
      <c r="S218" s="101" t="s">
        <v>137</v>
      </c>
      <c r="T218" s="48">
        <f>1+T206</f>
        <v>1841</v>
      </c>
      <c r="U218" s="3">
        <v>-2.6</v>
      </c>
      <c r="V218" s="31"/>
      <c r="W218" s="31"/>
      <c r="X218" s="31">
        <v>41.7</v>
      </c>
      <c r="Y218" s="31">
        <f t="shared" si="24"/>
        <v>185.33333333333334</v>
      </c>
      <c r="Z218" s="31">
        <f t="shared" si="25"/>
        <v>185.33333333333334</v>
      </c>
      <c r="AA218" s="24">
        <f t="shared" si="27"/>
        <v>807.2210672210673</v>
      </c>
      <c r="AB218" s="54">
        <v>1980</v>
      </c>
      <c r="AC218" s="98">
        <v>9.1199999999999992</v>
      </c>
      <c r="AD218" s="98">
        <v>82.38</v>
      </c>
      <c r="AE218" s="98">
        <f t="shared" si="19"/>
        <v>284.85477178423236</v>
      </c>
      <c r="AF218" s="98">
        <f t="shared" si="20"/>
        <v>3.2016314639475598</v>
      </c>
      <c r="AG218" s="98">
        <f t="shared" si="28"/>
        <v>759.61678525407569</v>
      </c>
      <c r="AH218" s="98">
        <f t="shared" si="26"/>
        <v>94.102695791764489</v>
      </c>
      <c r="AI218" s="98">
        <v>93.732626794624096</v>
      </c>
      <c r="AJ218" s="113"/>
      <c r="AK218" s="31"/>
      <c r="AL218" s="111"/>
      <c r="AM218" s="112">
        <v>7.1</v>
      </c>
      <c r="AN218" s="104">
        <f t="shared" si="23"/>
        <v>7.1</v>
      </c>
    </row>
    <row r="219" spans="1:40">
      <c r="A219" s="3">
        <v>1981</v>
      </c>
      <c r="C219" s="31"/>
      <c r="D219" s="3">
        <v>50.839275000000001</v>
      </c>
      <c r="E219" s="31">
        <f t="shared" si="21"/>
        <v>251.34300355217397</v>
      </c>
      <c r="F219" s="100">
        <v>251.34300355217397</v>
      </c>
      <c r="G219" s="45"/>
      <c r="H219" s="2"/>
      <c r="I219" s="2"/>
      <c r="J219" s="107">
        <v>35.378</v>
      </c>
      <c r="K219" s="108">
        <f t="shared" si="29"/>
        <v>2110.8591885441529</v>
      </c>
      <c r="L219" s="109">
        <f t="shared" si="30"/>
        <v>2110.8591885441529</v>
      </c>
      <c r="M219" s="31">
        <v>364.45863809621926</v>
      </c>
      <c r="N219" s="31"/>
      <c r="O219" s="32">
        <v>1981</v>
      </c>
      <c r="P219" s="32">
        <v>13594.31</v>
      </c>
      <c r="Q219" s="33">
        <v>26030.400000000001</v>
      </c>
      <c r="R219" s="45"/>
      <c r="S219" s="3" t="s">
        <v>117</v>
      </c>
      <c r="T219" s="3" t="s">
        <v>117</v>
      </c>
      <c r="U219" s="3">
        <v>-2.9</v>
      </c>
      <c r="V219" s="31"/>
      <c r="W219" s="31"/>
      <c r="X219" s="31">
        <v>44</v>
      </c>
      <c r="Y219" s="31">
        <f t="shared" si="24"/>
        <v>195.55555555555554</v>
      </c>
      <c r="Z219" s="31">
        <f t="shared" si="25"/>
        <v>195.55555555555554</v>
      </c>
      <c r="AA219" s="24">
        <f t="shared" si="27"/>
        <v>851.7440517440516</v>
      </c>
      <c r="AB219" s="54">
        <v>1981</v>
      </c>
      <c r="AC219" s="98">
        <v>10</v>
      </c>
      <c r="AD219" s="98">
        <v>90.93</v>
      </c>
      <c r="AE219" s="98">
        <f t="shared" si="19"/>
        <v>314.41908713692942</v>
      </c>
      <c r="AF219" s="98">
        <f t="shared" si="20"/>
        <v>3.1804684922467836</v>
      </c>
      <c r="AG219" s="98">
        <f t="shared" si="28"/>
        <v>754.59567376426492</v>
      </c>
      <c r="AH219" s="98">
        <f t="shared" si="26"/>
        <v>88.59418181073724</v>
      </c>
      <c r="AI219" s="98">
        <v>91.184954331676195</v>
      </c>
      <c r="AJ219" s="113"/>
      <c r="AK219" s="31"/>
      <c r="AL219" s="111"/>
      <c r="AM219" s="112">
        <v>7.6</v>
      </c>
      <c r="AN219" s="104">
        <f t="shared" si="23"/>
        <v>7.6</v>
      </c>
    </row>
    <row r="220" spans="1:40">
      <c r="A220" s="3">
        <v>1982</v>
      </c>
      <c r="C220" s="31"/>
      <c r="D220" s="3">
        <v>48.21575</v>
      </c>
      <c r="E220" s="31">
        <f t="shared" si="21"/>
        <v>238.37262477721666</v>
      </c>
      <c r="F220" s="100">
        <v>238.37262477721666</v>
      </c>
      <c r="G220" s="45"/>
      <c r="H220" s="2"/>
      <c r="I220" s="2"/>
      <c r="J220" s="107">
        <v>33.765000000000001</v>
      </c>
      <c r="K220" s="108">
        <f t="shared" si="29"/>
        <v>2014.6181384248212</v>
      </c>
      <c r="L220" s="109">
        <f t="shared" si="30"/>
        <v>2014.6181384248212</v>
      </c>
      <c r="M220" s="31">
        <v>347.84176367569796</v>
      </c>
      <c r="N220" s="31"/>
      <c r="O220" s="32">
        <v>1982</v>
      </c>
      <c r="P220" s="32">
        <v>14009.25</v>
      </c>
      <c r="Q220" s="33">
        <v>25281.85</v>
      </c>
      <c r="R220" s="45"/>
      <c r="S220" s="3" t="s">
        <v>118</v>
      </c>
      <c r="T220" s="3" t="s">
        <v>118</v>
      </c>
      <c r="U220" s="3">
        <v>-3.7</v>
      </c>
      <c r="V220" s="31"/>
      <c r="W220" s="31"/>
      <c r="X220" s="31">
        <v>44.4</v>
      </c>
      <c r="Y220" s="31">
        <f t="shared" si="24"/>
        <v>197.33333333333334</v>
      </c>
      <c r="Z220" s="31">
        <f t="shared" si="25"/>
        <v>197.33333333333334</v>
      </c>
      <c r="AA220" s="24">
        <f t="shared" si="27"/>
        <v>859.48717948717956</v>
      </c>
      <c r="AB220" s="54">
        <v>1982</v>
      </c>
      <c r="AC220" s="98">
        <v>10.8</v>
      </c>
      <c r="AD220" s="98">
        <v>96.5</v>
      </c>
      <c r="AE220" s="98">
        <f t="shared" si="19"/>
        <v>333.67911479944672</v>
      </c>
      <c r="AF220" s="98">
        <f t="shared" si="20"/>
        <v>3.2366424870466326</v>
      </c>
      <c r="AG220" s="98">
        <f t="shared" si="28"/>
        <v>767.92347548824227</v>
      </c>
      <c r="AH220" s="98">
        <f t="shared" si="26"/>
        <v>89.346705083655863</v>
      </c>
      <c r="AI220" s="98">
        <v>88.590173779427403</v>
      </c>
      <c r="AJ220" s="113"/>
      <c r="AK220" s="31"/>
      <c r="AL220" s="111"/>
      <c r="AM220" s="112">
        <v>9.6999999999999993</v>
      </c>
      <c r="AN220" s="104">
        <f t="shared" si="23"/>
        <v>9.6999999999999993</v>
      </c>
    </row>
    <row r="221" spans="1:40">
      <c r="A221" s="3">
        <v>1983</v>
      </c>
      <c r="C221" s="31"/>
      <c r="D221" s="3">
        <v>49.542475000000003</v>
      </c>
      <c r="E221" s="31">
        <f t="shared" si="21"/>
        <v>244.93178688933881</v>
      </c>
      <c r="F221" s="100">
        <v>244.93178688933881</v>
      </c>
      <c r="G221" s="45"/>
      <c r="H221" s="2"/>
      <c r="I221" s="2"/>
      <c r="J221" s="107">
        <v>33.308999999999997</v>
      </c>
      <c r="K221" s="108">
        <f t="shared" si="29"/>
        <v>1987.4105011933173</v>
      </c>
      <c r="L221" s="109">
        <f t="shared" si="30"/>
        <v>1987.4105011933173</v>
      </c>
      <c r="M221" s="31">
        <v>343.14412279798074</v>
      </c>
      <c r="N221" s="31"/>
      <c r="O221" s="32">
        <v>1983</v>
      </c>
      <c r="P221" s="32">
        <v>15083.66</v>
      </c>
      <c r="Q221" s="33">
        <v>26185.81</v>
      </c>
      <c r="R221" s="45"/>
      <c r="S221" s="3" t="s">
        <v>119</v>
      </c>
      <c r="T221" s="3" t="s">
        <v>119</v>
      </c>
      <c r="U221" s="3">
        <v>-3.6</v>
      </c>
      <c r="V221" s="31"/>
      <c r="W221" s="31"/>
      <c r="X221" s="31">
        <v>47.5</v>
      </c>
      <c r="Y221" s="31">
        <f t="shared" si="24"/>
        <v>211.11111111111111</v>
      </c>
      <c r="Z221" s="31">
        <f t="shared" si="25"/>
        <v>211.11111111111111</v>
      </c>
      <c r="AA221" s="24">
        <f t="shared" si="27"/>
        <v>919.49641949641955</v>
      </c>
      <c r="AB221" s="54">
        <v>1983</v>
      </c>
      <c r="AC221" s="98">
        <v>11.22</v>
      </c>
      <c r="AD221" s="98">
        <v>99.6</v>
      </c>
      <c r="AE221" s="98">
        <f t="shared" ref="AE221:AE248" si="31">AD221*100/$AD$196</f>
        <v>344.39834024896265</v>
      </c>
      <c r="AF221" s="98">
        <f t="shared" ref="AF221:AF248" si="32">AC221*100/AE221</f>
        <v>3.257855421686747</v>
      </c>
      <c r="AG221" s="98">
        <f t="shared" si="28"/>
        <v>772.95644114921208</v>
      </c>
      <c r="AH221" s="98">
        <f t="shared" si="26"/>
        <v>84.06301805639842</v>
      </c>
      <c r="AI221" s="98">
        <v>85.968084004521003</v>
      </c>
      <c r="AJ221" s="113"/>
      <c r="AK221" s="31"/>
      <c r="AL221" s="111"/>
      <c r="AM221" s="112">
        <v>9.6</v>
      </c>
      <c r="AN221" s="104">
        <f t="shared" si="23"/>
        <v>9.6</v>
      </c>
    </row>
    <row r="222" spans="1:40">
      <c r="A222" s="3">
        <v>1984</v>
      </c>
      <c r="C222" s="31"/>
      <c r="D222" s="3">
        <v>53.955824999999997</v>
      </c>
      <c r="E222" s="31">
        <f t="shared" ref="E222:E248" si="33">D222*100/$D$196</f>
        <v>266.75083613280236</v>
      </c>
      <c r="F222" s="100">
        <v>266.75083613280236</v>
      </c>
      <c r="G222" s="45"/>
      <c r="H222" s="2"/>
      <c r="I222" s="2"/>
      <c r="J222" s="107">
        <v>39.319000000000003</v>
      </c>
      <c r="K222" s="108">
        <f t="shared" si="29"/>
        <v>2346.0023866348452</v>
      </c>
      <c r="L222" s="109">
        <f t="shared" si="30"/>
        <v>2346.0023866348452</v>
      </c>
      <c r="M222" s="31">
        <v>405.05820541877</v>
      </c>
      <c r="N222" s="31"/>
      <c r="O222" s="32">
        <v>1984</v>
      </c>
      <c r="P222" s="32">
        <v>16628.599999999999</v>
      </c>
      <c r="Q222" s="33">
        <v>27822.62</v>
      </c>
      <c r="R222" s="45"/>
      <c r="S222" s="3" t="s">
        <v>120</v>
      </c>
      <c r="T222" s="3" t="s">
        <v>120</v>
      </c>
      <c r="U222" s="3">
        <v>-3.4</v>
      </c>
      <c r="V222" s="31"/>
      <c r="W222" s="31"/>
      <c r="X222" s="31">
        <v>48.8</v>
      </c>
      <c r="Y222" s="31">
        <f t="shared" si="24"/>
        <v>216.88888888888889</v>
      </c>
      <c r="Z222" s="31">
        <f t="shared" si="25"/>
        <v>216.88888888888889</v>
      </c>
      <c r="AA222" s="24">
        <f t="shared" si="27"/>
        <v>944.66158466158447</v>
      </c>
      <c r="AB222" s="54">
        <v>1984</v>
      </c>
      <c r="AC222" s="98">
        <v>11.78</v>
      </c>
      <c r="AD222" s="98">
        <v>103.9</v>
      </c>
      <c r="AE222" s="98">
        <f t="shared" si="31"/>
        <v>359.26694329183954</v>
      </c>
      <c r="AF222" s="98">
        <f t="shared" si="32"/>
        <v>3.2788989412897016</v>
      </c>
      <c r="AG222" s="98">
        <f t="shared" si="28"/>
        <v>777.94921151995254</v>
      </c>
      <c r="AH222" s="98">
        <f t="shared" si="26"/>
        <v>82.352159138411992</v>
      </c>
      <c r="AI222" s="98">
        <v>83.3460821358061</v>
      </c>
      <c r="AJ222" s="113"/>
      <c r="AK222" s="31"/>
      <c r="AL222" s="111"/>
      <c r="AM222" s="112">
        <v>7.5</v>
      </c>
      <c r="AN222" s="104">
        <f t="shared" si="23"/>
        <v>7.5</v>
      </c>
    </row>
    <row r="223" spans="1:40">
      <c r="A223" s="3">
        <v>1985</v>
      </c>
      <c r="C223" s="31"/>
      <c r="D223" s="3">
        <v>54.607349999999997</v>
      </c>
      <c r="E223" s="31">
        <f t="shared" si="33"/>
        <v>269.97189407254149</v>
      </c>
      <c r="F223" s="100">
        <v>269.97189407254149</v>
      </c>
      <c r="G223" s="45"/>
      <c r="H223" s="2"/>
      <c r="I223" s="2"/>
      <c r="J223" s="107">
        <v>42.142000000000003</v>
      </c>
      <c r="K223" s="108">
        <f t="shared" si="29"/>
        <v>2514.4391408114566</v>
      </c>
      <c r="L223" s="109">
        <f t="shared" si="30"/>
        <v>2514.4391408114566</v>
      </c>
      <c r="M223" s="31">
        <v>434.14031111568983</v>
      </c>
      <c r="N223" s="31"/>
      <c r="O223" s="32">
        <v>1985</v>
      </c>
      <c r="P223" s="32">
        <v>17682.990000000002</v>
      </c>
      <c r="Q223" s="33">
        <v>28717.52</v>
      </c>
      <c r="R223" s="45"/>
      <c r="S223" s="3" t="s">
        <v>121</v>
      </c>
      <c r="T223" s="3" t="s">
        <v>121</v>
      </c>
      <c r="U223" s="3">
        <v>-2.9</v>
      </c>
      <c r="V223" s="31"/>
      <c r="W223" s="31"/>
      <c r="X223" s="31">
        <v>50.6</v>
      </c>
      <c r="Y223" s="31">
        <f t="shared" si="24"/>
        <v>224.88888888888889</v>
      </c>
      <c r="Z223" s="31">
        <f t="shared" si="25"/>
        <v>224.88888888888889</v>
      </c>
      <c r="AA223" s="24">
        <f t="shared" si="27"/>
        <v>979.50565950565931</v>
      </c>
      <c r="AB223" s="54">
        <v>1985</v>
      </c>
      <c r="AC223" s="98">
        <v>12.5</v>
      </c>
      <c r="AD223" s="98">
        <v>107.6</v>
      </c>
      <c r="AE223" s="98">
        <f t="shared" si="31"/>
        <v>372.06085753803592</v>
      </c>
      <c r="AF223" s="98">
        <f t="shared" si="32"/>
        <v>3.3596654275092939</v>
      </c>
      <c r="AG223" s="98">
        <f t="shared" si="28"/>
        <v>797.11181012296242</v>
      </c>
      <c r="AH223" s="98">
        <f t="shared" si="26"/>
        <v>81.378989737052862</v>
      </c>
      <c r="AI223" s="98">
        <v>80.732484462086603</v>
      </c>
      <c r="AJ223" s="113"/>
      <c r="AK223" s="31"/>
      <c r="AL223" s="111"/>
      <c r="AM223" s="112">
        <v>7.2</v>
      </c>
      <c r="AN223" s="104">
        <f t="shared" si="23"/>
        <v>7.2</v>
      </c>
    </row>
    <row r="224" spans="1:40">
      <c r="A224" s="3">
        <v>1986</v>
      </c>
      <c r="C224" s="31"/>
      <c r="D224" s="3">
        <v>55.157575000000001</v>
      </c>
      <c r="E224" s="31">
        <f t="shared" si="33"/>
        <v>272.69213750892987</v>
      </c>
      <c r="F224" s="100">
        <v>272.69213750892987</v>
      </c>
      <c r="G224" s="45"/>
      <c r="H224" s="2"/>
      <c r="I224" s="2"/>
      <c r="J224" s="114">
        <v>40.603999999999999</v>
      </c>
      <c r="K224" s="108">
        <f t="shared" si="29"/>
        <v>2422.6730310262533</v>
      </c>
      <c r="L224" s="109">
        <f t="shared" si="30"/>
        <v>2422.6730310262533</v>
      </c>
      <c r="M224" s="31">
        <v>418.29607499742457</v>
      </c>
      <c r="N224" s="31"/>
      <c r="O224" s="32">
        <v>1986</v>
      </c>
      <c r="P224" s="32">
        <v>18531.009999999998</v>
      </c>
      <c r="Q224" s="33">
        <v>29443.29</v>
      </c>
      <c r="R224" s="45"/>
      <c r="S224" s="3" t="s">
        <v>122</v>
      </c>
      <c r="T224" s="3" t="s">
        <v>122</v>
      </c>
      <c r="U224" s="3">
        <v>-1.7</v>
      </c>
      <c r="V224" s="31"/>
      <c r="W224" s="31"/>
      <c r="X224" s="31">
        <v>51.4</v>
      </c>
      <c r="Y224" s="31">
        <f t="shared" si="24"/>
        <v>228.44444444444446</v>
      </c>
      <c r="Z224" s="31">
        <f t="shared" si="25"/>
        <v>228.44444444444446</v>
      </c>
      <c r="AA224" s="24">
        <f t="shared" si="27"/>
        <v>994.991914991915</v>
      </c>
      <c r="AB224" s="54">
        <v>1986</v>
      </c>
      <c r="AC224" s="98">
        <v>12.9</v>
      </c>
      <c r="AD224" s="98">
        <v>109.6</v>
      </c>
      <c r="AE224" s="98">
        <f t="shared" si="31"/>
        <v>378.97648686030425</v>
      </c>
      <c r="AF224" s="98">
        <f t="shared" si="32"/>
        <v>3.4039051094890516</v>
      </c>
      <c r="AG224" s="98">
        <f t="shared" si="28"/>
        <v>807.60808534531157</v>
      </c>
      <c r="AH224" s="98">
        <f t="shared" si="26"/>
        <v>81.167301279214314</v>
      </c>
      <c r="AI224" s="98">
        <v>78.125646450808404</v>
      </c>
      <c r="AJ224" s="113"/>
      <c r="AK224" s="31"/>
      <c r="AL224" s="111"/>
      <c r="AM224" s="112">
        <v>7</v>
      </c>
      <c r="AN224" s="104">
        <f t="shared" si="23"/>
        <v>7</v>
      </c>
    </row>
    <row r="225" spans="1:41" ht="13.5">
      <c r="A225" s="3">
        <v>1987</v>
      </c>
      <c r="C225" s="31"/>
      <c r="D225" s="3">
        <v>58.008299999999998</v>
      </c>
      <c r="E225" s="31">
        <f t="shared" si="33"/>
        <v>286.78576460729568</v>
      </c>
      <c r="F225" s="100">
        <v>286.78576460729568</v>
      </c>
      <c r="G225" s="45"/>
      <c r="H225" s="2"/>
      <c r="I225" s="2"/>
      <c r="J225" s="115">
        <v>40.926000000000002</v>
      </c>
      <c r="K225" s="108">
        <f t="shared" si="29"/>
        <v>2441.8854415274468</v>
      </c>
      <c r="L225" s="109">
        <f t="shared" si="30"/>
        <v>2441.8854415274468</v>
      </c>
      <c r="M225" s="31">
        <v>421.61326877511078</v>
      </c>
      <c r="N225" s="31"/>
      <c r="O225" s="32">
        <v>1987</v>
      </c>
      <c r="P225" s="32">
        <v>19503.96</v>
      </c>
      <c r="Q225" s="33">
        <v>30115.34</v>
      </c>
      <c r="R225" s="45"/>
      <c r="S225" s="3" t="s">
        <v>123</v>
      </c>
      <c r="T225" s="3" t="s">
        <v>123</v>
      </c>
      <c r="U225" s="3">
        <v>-0.8</v>
      </c>
      <c r="V225" s="31"/>
      <c r="W225" s="31"/>
      <c r="X225" s="31">
        <v>55</v>
      </c>
      <c r="Y225" s="31">
        <f t="shared" si="24"/>
        <v>244.44444444444446</v>
      </c>
      <c r="Z225" s="31">
        <f t="shared" si="25"/>
        <v>244.44444444444446</v>
      </c>
      <c r="AA225" s="24">
        <f t="shared" si="27"/>
        <v>1064.6800646800646</v>
      </c>
      <c r="AB225" s="54">
        <v>1987</v>
      </c>
      <c r="AC225" s="98">
        <v>13.05</v>
      </c>
      <c r="AD225" s="98">
        <v>113.6</v>
      </c>
      <c r="AE225" s="98">
        <f t="shared" si="31"/>
        <v>392.80774550484091</v>
      </c>
      <c r="AF225" s="98">
        <f t="shared" si="32"/>
        <v>3.3222359154929579</v>
      </c>
      <c r="AG225" s="98">
        <f t="shared" si="28"/>
        <v>788.23131094257849</v>
      </c>
      <c r="AH225" s="98">
        <f t="shared" si="26"/>
        <v>74.034570298772465</v>
      </c>
      <c r="AI225" s="98">
        <v>75.530398724796498</v>
      </c>
      <c r="AJ225" s="113"/>
      <c r="AK225" s="31"/>
      <c r="AL225" s="111"/>
      <c r="AM225" s="112">
        <v>6.2</v>
      </c>
      <c r="AN225" s="104">
        <f t="shared" si="23"/>
        <v>6.2</v>
      </c>
    </row>
    <row r="226" spans="1:41" ht="13.5">
      <c r="A226" s="3">
        <v>1988</v>
      </c>
      <c r="C226" s="31"/>
      <c r="D226" s="3">
        <v>61.001824999999997</v>
      </c>
      <c r="E226" s="31">
        <f t="shared" si="33"/>
        <v>301.58537700752214</v>
      </c>
      <c r="F226" s="100">
        <v>301.58537700752214</v>
      </c>
      <c r="G226" s="45"/>
      <c r="H226" s="2"/>
      <c r="I226" s="2"/>
      <c r="J226" s="115">
        <v>42.936999999999998</v>
      </c>
      <c r="K226" s="108">
        <f t="shared" si="29"/>
        <v>2561.873508353222</v>
      </c>
      <c r="L226" s="109">
        <f t="shared" si="30"/>
        <v>2561.873508353222</v>
      </c>
      <c r="M226" s="31">
        <v>442.33027711960438</v>
      </c>
      <c r="N226" s="31"/>
      <c r="O226" s="32">
        <v>1988</v>
      </c>
      <c r="P226" s="32">
        <v>20812.78</v>
      </c>
      <c r="Q226" s="33">
        <v>31069.41</v>
      </c>
      <c r="R226" s="45"/>
      <c r="S226" s="3" t="s">
        <v>124</v>
      </c>
      <c r="T226" s="3" t="s">
        <v>124</v>
      </c>
      <c r="U226" s="3">
        <v>-0.9</v>
      </c>
      <c r="V226" s="31"/>
      <c r="W226" s="31"/>
      <c r="X226" s="31">
        <v>57.1</v>
      </c>
      <c r="Y226" s="31">
        <f t="shared" si="24"/>
        <v>253.77777777777777</v>
      </c>
      <c r="Z226" s="31">
        <f t="shared" si="25"/>
        <v>253.77777777777777</v>
      </c>
      <c r="AA226" s="24">
        <f t="shared" si="27"/>
        <v>1105.3314853314853</v>
      </c>
      <c r="AB226" s="54">
        <v>1988</v>
      </c>
      <c r="AC226" s="98">
        <v>13.58</v>
      </c>
      <c r="AD226" s="98">
        <v>118.3</v>
      </c>
      <c r="AE226" s="98">
        <f t="shared" si="31"/>
        <v>409.05947441217148</v>
      </c>
      <c r="AF226" s="98">
        <f t="shared" si="32"/>
        <v>3.319810650887574</v>
      </c>
      <c r="AG226" s="98">
        <f t="shared" si="28"/>
        <v>787.65589440145641</v>
      </c>
      <c r="AH226" s="98">
        <f t="shared" si="26"/>
        <v>71.259699452534903</v>
      </c>
      <c r="AI226" s="98">
        <v>72.982015442367597</v>
      </c>
      <c r="AJ226" s="113"/>
      <c r="AK226" s="31"/>
      <c r="AL226" s="111"/>
      <c r="AM226" s="112">
        <v>5.5</v>
      </c>
      <c r="AN226" s="104">
        <f t="shared" si="23"/>
        <v>5.5</v>
      </c>
    </row>
    <row r="227" spans="1:41" ht="13.5">
      <c r="A227" s="3">
        <v>1989</v>
      </c>
      <c r="C227" s="31"/>
      <c r="D227" s="3">
        <v>61.542850000000001</v>
      </c>
      <c r="E227" s="31">
        <f t="shared" si="33"/>
        <v>304.26013679701197</v>
      </c>
      <c r="F227" s="100">
        <v>304.26013679701197</v>
      </c>
      <c r="G227" s="45"/>
      <c r="H227" s="2"/>
      <c r="I227" s="2"/>
      <c r="J227" s="115">
        <v>45.219000000000001</v>
      </c>
      <c r="K227" s="108">
        <f t="shared" si="29"/>
        <v>2698.0310262529838</v>
      </c>
      <c r="L227" s="109">
        <f t="shared" si="30"/>
        <v>2698.0310262529838</v>
      </c>
      <c r="M227" s="31">
        <v>465.83908519625015</v>
      </c>
      <c r="N227" s="31"/>
      <c r="O227" s="32">
        <v>1989</v>
      </c>
      <c r="P227" s="32">
        <v>22160.02</v>
      </c>
      <c r="Q227" s="33">
        <v>31876.78</v>
      </c>
      <c r="R227" s="45"/>
      <c r="S227" s="3" t="s">
        <v>125</v>
      </c>
      <c r="T227" s="3" t="s">
        <v>125</v>
      </c>
      <c r="U227" s="3">
        <v>-1.7</v>
      </c>
      <c r="V227" s="31"/>
      <c r="W227" s="31"/>
      <c r="X227" s="31">
        <v>57.4</v>
      </c>
      <c r="Y227" s="31">
        <f t="shared" si="24"/>
        <v>255.11111111111111</v>
      </c>
      <c r="Z227" s="31">
        <f t="shared" si="25"/>
        <v>255.11111111111111</v>
      </c>
      <c r="AA227" s="24">
        <f t="shared" si="27"/>
        <v>1111.1388311388312</v>
      </c>
      <c r="AB227" s="54">
        <v>1989</v>
      </c>
      <c r="AC227" s="98">
        <v>14</v>
      </c>
      <c r="AD227" s="98">
        <v>124</v>
      </c>
      <c r="AE227" s="98">
        <f t="shared" si="31"/>
        <v>428.76901798063619</v>
      </c>
      <c r="AF227" s="98">
        <f t="shared" si="32"/>
        <v>3.2651612903225811</v>
      </c>
      <c r="AG227" s="98">
        <f t="shared" si="28"/>
        <v>774.68982630272956</v>
      </c>
      <c r="AH227" s="98">
        <f t="shared" si="26"/>
        <v>69.720344982339654</v>
      </c>
      <c r="AI227" s="98">
        <v>70.5007667745909</v>
      </c>
      <c r="AJ227" s="113"/>
      <c r="AK227" s="31"/>
      <c r="AL227" s="111"/>
      <c r="AM227" s="112">
        <v>5.3</v>
      </c>
      <c r="AN227" s="104">
        <f t="shared" si="23"/>
        <v>5.3</v>
      </c>
    </row>
    <row r="228" spans="1:41" ht="13.5">
      <c r="A228" s="3">
        <v>1990</v>
      </c>
      <c r="C228" s="31"/>
      <c r="D228" s="3">
        <v>62.127749999999999</v>
      </c>
      <c r="E228" s="31">
        <f t="shared" si="33"/>
        <v>307.15180908733601</v>
      </c>
      <c r="F228" s="100">
        <v>307.15180908733601</v>
      </c>
      <c r="G228" s="45"/>
      <c r="H228" s="2"/>
      <c r="I228" s="2"/>
      <c r="J228" s="115">
        <v>45.774999999999999</v>
      </c>
      <c r="K228" s="108">
        <f t="shared" si="29"/>
        <v>2731.205250596659</v>
      </c>
      <c r="L228" s="109">
        <f t="shared" si="30"/>
        <v>2731.205250596659</v>
      </c>
      <c r="M228" s="31">
        <v>471.56691047697541</v>
      </c>
      <c r="N228" s="31"/>
      <c r="O228" s="32">
        <v>1990</v>
      </c>
      <c r="P228" s="32">
        <v>23185.21</v>
      </c>
      <c r="Q228" s="33">
        <v>32112.35</v>
      </c>
      <c r="R228" s="45"/>
      <c r="S228" s="3" t="s">
        <v>126</v>
      </c>
      <c r="T228" s="3" t="s">
        <v>126</v>
      </c>
      <c r="U228" s="3">
        <v>-2.8</v>
      </c>
      <c r="V228" s="31"/>
      <c r="W228" s="31"/>
      <c r="X228" s="31">
        <v>58.1</v>
      </c>
      <c r="Y228" s="31">
        <f t="shared" si="24"/>
        <v>258.22222222222223</v>
      </c>
      <c r="Z228" s="31">
        <f t="shared" si="25"/>
        <v>258.22222222222223</v>
      </c>
      <c r="AA228" s="24">
        <f t="shared" si="27"/>
        <v>1124.6893046893047</v>
      </c>
      <c r="AB228" s="54">
        <v>1990</v>
      </c>
      <c r="AC228" s="98">
        <v>14.41</v>
      </c>
      <c r="AD228" s="98">
        <v>130.69999999999999</v>
      </c>
      <c r="AE228" s="98">
        <f t="shared" si="31"/>
        <v>451.93637621023504</v>
      </c>
      <c r="AF228" s="98">
        <f t="shared" si="32"/>
        <v>3.1885019127773533</v>
      </c>
      <c r="AG228" s="98">
        <f t="shared" si="28"/>
        <v>756.50167735860168</v>
      </c>
      <c r="AH228" s="98">
        <f t="shared" si="26"/>
        <v>67.263169855392661</v>
      </c>
      <c r="AI228" s="98">
        <v>68.089702738111598</v>
      </c>
      <c r="AJ228" s="113"/>
      <c r="AK228" s="31"/>
      <c r="AL228" s="111"/>
      <c r="AM228" s="112">
        <v>5.6</v>
      </c>
      <c r="AN228" s="104">
        <f t="shared" si="23"/>
        <v>5.6</v>
      </c>
    </row>
    <row r="229" spans="1:41" ht="13.5">
      <c r="A229" s="3">
        <v>1991</v>
      </c>
      <c r="C229" s="31"/>
      <c r="D229" s="3">
        <v>61.167625000000001</v>
      </c>
      <c r="E229" s="31">
        <f t="shared" si="33"/>
        <v>302.40507142662921</v>
      </c>
      <c r="F229" s="100">
        <v>302.40507142662921</v>
      </c>
      <c r="G229" s="45"/>
      <c r="H229" s="2"/>
      <c r="I229" s="2"/>
      <c r="J229" s="115">
        <v>43.186</v>
      </c>
      <c r="K229" s="108">
        <f t="shared" si="29"/>
        <v>2576.7303102625301</v>
      </c>
      <c r="L229" s="109">
        <f t="shared" si="30"/>
        <v>2576.7303102625301</v>
      </c>
      <c r="M229" s="31">
        <v>444.89543628309468</v>
      </c>
      <c r="N229" s="31"/>
      <c r="O229" s="32">
        <v>1991</v>
      </c>
      <c r="P229" s="32">
        <v>23634.68</v>
      </c>
      <c r="Q229" s="33">
        <v>31614.01</v>
      </c>
      <c r="R229" s="45"/>
      <c r="S229" s="3" t="s">
        <v>127</v>
      </c>
      <c r="T229" s="3" t="s">
        <v>127</v>
      </c>
      <c r="U229" s="3">
        <v>-4.5999999999999996</v>
      </c>
      <c r="V229" s="31"/>
      <c r="W229" s="31"/>
      <c r="X229" s="31">
        <v>59.7</v>
      </c>
      <c r="Y229" s="31">
        <f t="shared" si="24"/>
        <v>265.33333333333331</v>
      </c>
      <c r="Z229" s="31">
        <f t="shared" si="25"/>
        <v>265.33333333333331</v>
      </c>
      <c r="AA229" s="24">
        <f t="shared" si="27"/>
        <v>1155.6618156618156</v>
      </c>
      <c r="AB229" s="54">
        <v>1991</v>
      </c>
      <c r="AC229" s="98">
        <v>14.93</v>
      </c>
      <c r="AD229" s="98">
        <v>136.19999999999999</v>
      </c>
      <c r="AE229" s="98">
        <f t="shared" si="31"/>
        <v>470.95435684647293</v>
      </c>
      <c r="AF229" s="98">
        <f t="shared" si="32"/>
        <v>3.1701585903083709</v>
      </c>
      <c r="AG229" s="98">
        <f t="shared" si="28"/>
        <v>752.14955382356266</v>
      </c>
      <c r="AH229" s="98">
        <f t="shared" si="26"/>
        <v>65.083880390460706</v>
      </c>
      <c r="AI229" s="98">
        <v>65.744065681829099</v>
      </c>
      <c r="AJ229" s="113"/>
      <c r="AK229" s="31"/>
      <c r="AL229" s="111"/>
      <c r="AM229" s="112">
        <v>6.8</v>
      </c>
      <c r="AN229" s="104">
        <f t="shared" si="23"/>
        <v>6.8</v>
      </c>
    </row>
    <row r="230" spans="1:41" ht="13.5">
      <c r="A230" s="3">
        <v>1992</v>
      </c>
      <c r="C230" s="31"/>
      <c r="D230" s="3">
        <v>62.896574999999999</v>
      </c>
      <c r="E230" s="31">
        <f t="shared" si="33"/>
        <v>310.95278352503209</v>
      </c>
      <c r="F230" s="100">
        <v>310.95278352503209</v>
      </c>
      <c r="G230" s="45"/>
      <c r="H230" s="2"/>
      <c r="I230" s="2"/>
      <c r="J230" s="115">
        <v>44.320999999999998</v>
      </c>
      <c r="K230" s="108">
        <f t="shared" si="29"/>
        <v>2644.4510739856801</v>
      </c>
      <c r="L230" s="109">
        <f t="shared" si="30"/>
        <v>2644.4510739856801</v>
      </c>
      <c r="M230" s="31">
        <v>456.588029257237</v>
      </c>
      <c r="N230" s="31"/>
      <c r="O230" s="32">
        <v>1992</v>
      </c>
      <c r="P230" s="32">
        <v>24685.7</v>
      </c>
      <c r="Q230" s="33">
        <v>32255.32</v>
      </c>
      <c r="R230" s="45"/>
      <c r="S230" s="101" t="s">
        <v>138</v>
      </c>
      <c r="T230" s="48">
        <f>1+T218</f>
        <v>1842</v>
      </c>
      <c r="U230" s="3">
        <v>-6.5</v>
      </c>
      <c r="V230" s="31"/>
      <c r="W230" s="31"/>
      <c r="X230" s="31">
        <v>62</v>
      </c>
      <c r="Y230" s="31">
        <f t="shared" si="24"/>
        <v>275.55555555555554</v>
      </c>
      <c r="Z230" s="31">
        <f t="shared" si="25"/>
        <v>275.55555555555554</v>
      </c>
      <c r="AA230" s="24">
        <f t="shared" si="27"/>
        <v>1200.1848001848</v>
      </c>
      <c r="AB230" s="54">
        <v>1992</v>
      </c>
      <c r="AC230" s="98">
        <v>15.63</v>
      </c>
      <c r="AD230" s="98">
        <v>140.30000000000001</v>
      </c>
      <c r="AE230" s="98">
        <f t="shared" si="31"/>
        <v>485.13139695712312</v>
      </c>
      <c r="AF230" s="98">
        <f t="shared" si="32"/>
        <v>3.2218075552387742</v>
      </c>
      <c r="AG230" s="98">
        <f t="shared" si="28"/>
        <v>764.40375020560327</v>
      </c>
      <c r="AH230" s="98">
        <f t="shared" si="26"/>
        <v>63.690504169683138</v>
      </c>
      <c r="AI230" s="98">
        <v>63.450800927261497</v>
      </c>
      <c r="AJ230" s="113"/>
      <c r="AK230" s="31"/>
      <c r="AL230" s="111"/>
      <c r="AM230" s="112">
        <v>7.5</v>
      </c>
      <c r="AN230" s="104">
        <f t="shared" si="23"/>
        <v>7.5</v>
      </c>
    </row>
    <row r="231" spans="1:41" ht="13.5">
      <c r="A231" s="3">
        <v>1993</v>
      </c>
      <c r="C231" s="31"/>
      <c r="D231" s="3">
        <v>64.951475000000002</v>
      </c>
      <c r="E231" s="31">
        <f t="shared" si="33"/>
        <v>321.11195156980381</v>
      </c>
      <c r="F231" s="100">
        <v>321.11195156980381</v>
      </c>
      <c r="G231" s="45"/>
      <c r="H231" s="2"/>
      <c r="I231" s="2"/>
      <c r="J231" s="115">
        <v>48.77</v>
      </c>
      <c r="K231" s="108">
        <f t="shared" si="29"/>
        <v>2909.9045346062053</v>
      </c>
      <c r="L231" s="109">
        <f t="shared" si="30"/>
        <v>2909.9045346062053</v>
      </c>
      <c r="M231" s="31">
        <v>502.42093334706914</v>
      </c>
      <c r="N231" s="31"/>
      <c r="O231" s="32">
        <v>1993</v>
      </c>
      <c r="P231" s="32">
        <v>25616.06</v>
      </c>
      <c r="Q231" s="33">
        <v>32746.79</v>
      </c>
      <c r="R231" s="45"/>
      <c r="S231" s="3" t="s">
        <v>117</v>
      </c>
      <c r="T231" s="3" t="s">
        <v>117</v>
      </c>
      <c r="U231" s="3">
        <v>-7.7</v>
      </c>
      <c r="V231" s="31"/>
      <c r="W231" s="31"/>
      <c r="X231" s="31">
        <v>63.6</v>
      </c>
      <c r="Y231" s="31">
        <f t="shared" si="24"/>
        <v>282.66666666666669</v>
      </c>
      <c r="Z231" s="31">
        <f t="shared" si="25"/>
        <v>282.66666666666669</v>
      </c>
      <c r="AA231" s="24">
        <f t="shared" si="27"/>
        <v>1231.1573111573111</v>
      </c>
      <c r="AB231" s="54">
        <v>1993</v>
      </c>
      <c r="AC231" s="98">
        <v>16.12</v>
      </c>
      <c r="AD231" s="98">
        <v>144.5</v>
      </c>
      <c r="AE231" s="98">
        <f t="shared" si="31"/>
        <v>499.65421853388654</v>
      </c>
      <c r="AF231" s="98">
        <f t="shared" si="32"/>
        <v>3.2262311418685123</v>
      </c>
      <c r="AG231" s="98">
        <f t="shared" si="28"/>
        <v>765.45328719723182</v>
      </c>
      <c r="AH231" s="98">
        <f t="shared" si="26"/>
        <v>62.173475335795324</v>
      </c>
      <c r="AI231" s="98">
        <v>61.1902131391087</v>
      </c>
      <c r="AJ231" s="113"/>
      <c r="AK231" s="31"/>
      <c r="AL231" s="111"/>
      <c r="AM231" s="112">
        <v>6.9</v>
      </c>
      <c r="AN231" s="104">
        <f t="shared" si="23"/>
        <v>6.9</v>
      </c>
    </row>
    <row r="232" spans="1:41" ht="13.5">
      <c r="A232" s="3">
        <v>1994</v>
      </c>
      <c r="C232" s="31"/>
      <c r="D232" s="3">
        <v>68.381450000000001</v>
      </c>
      <c r="E232" s="31">
        <f t="shared" si="33"/>
        <v>338.06931806664841</v>
      </c>
      <c r="F232" s="100">
        <v>338.06931806664841</v>
      </c>
      <c r="G232" s="45"/>
      <c r="H232" s="2"/>
      <c r="I232" s="2"/>
      <c r="J232" s="115">
        <v>53.137999999999998</v>
      </c>
      <c r="K232" s="108">
        <f t="shared" si="29"/>
        <v>3170.5250596658711</v>
      </c>
      <c r="L232" s="109">
        <f t="shared" si="30"/>
        <v>3170.5250596658711</v>
      </c>
      <c r="M232" s="31">
        <v>547.41938807046461</v>
      </c>
      <c r="N232" s="31"/>
      <c r="O232" s="32">
        <v>1994</v>
      </c>
      <c r="P232" s="32">
        <v>26893.4</v>
      </c>
      <c r="Q232" s="33">
        <v>33670.65</v>
      </c>
      <c r="R232" s="45"/>
      <c r="S232" s="3" t="s">
        <v>118</v>
      </c>
      <c r="T232" s="3" t="s">
        <v>118</v>
      </c>
      <c r="U232" s="3">
        <v>-8.1</v>
      </c>
      <c r="V232" s="31"/>
      <c r="W232" s="31"/>
      <c r="X232" s="31">
        <v>66.3</v>
      </c>
      <c r="Y232" s="31">
        <f t="shared" si="24"/>
        <v>294.66666666666669</v>
      </c>
      <c r="Z232" s="31">
        <f t="shared" si="25"/>
        <v>294.66666666666669</v>
      </c>
      <c r="AA232" s="24">
        <f t="shared" si="27"/>
        <v>1283.4234234234234</v>
      </c>
      <c r="AB232" s="54">
        <v>1994</v>
      </c>
      <c r="AC232" s="98">
        <v>16.559999999999999</v>
      </c>
      <c r="AD232" s="98">
        <v>148.19999999999999</v>
      </c>
      <c r="AE232" s="98">
        <f t="shared" si="31"/>
        <v>512.44813278008291</v>
      </c>
      <c r="AF232" s="98">
        <f t="shared" si="32"/>
        <v>3.2315465587044536</v>
      </c>
      <c r="AG232" s="98">
        <f t="shared" si="28"/>
        <v>766.71441918405469</v>
      </c>
      <c r="AH232" s="98">
        <f t="shared" si="26"/>
        <v>59.739786978401014</v>
      </c>
      <c r="AI232" s="98">
        <v>58.944998972798203</v>
      </c>
      <c r="AJ232" s="113"/>
      <c r="AK232" s="31"/>
      <c r="AL232" s="111"/>
      <c r="AM232" s="112">
        <v>6.1</v>
      </c>
      <c r="AN232" s="104">
        <f t="shared" si="23"/>
        <v>6.1</v>
      </c>
    </row>
    <row r="233" spans="1:41" ht="13.5">
      <c r="A233" s="3">
        <v>1995</v>
      </c>
      <c r="C233" s="31"/>
      <c r="D233" s="3">
        <v>71.626575000000003</v>
      </c>
      <c r="E233" s="31">
        <f t="shared" si="33"/>
        <v>354.11280933205785</v>
      </c>
      <c r="F233" s="100">
        <v>354.11280933205785</v>
      </c>
      <c r="G233" s="45"/>
      <c r="H233" s="2"/>
      <c r="I233" s="2"/>
      <c r="J233" s="115">
        <v>58.898000000000003</v>
      </c>
      <c r="K233" s="108">
        <f t="shared" si="29"/>
        <v>3514.2004773269691</v>
      </c>
      <c r="L233" s="109">
        <f t="shared" si="30"/>
        <v>3514.2004773269691</v>
      </c>
      <c r="M233" s="31">
        <v>606.75800968373335</v>
      </c>
      <c r="N233" s="31"/>
      <c r="O233" s="32">
        <v>1995</v>
      </c>
      <c r="P233" s="32">
        <v>27813.33</v>
      </c>
      <c r="Q233" s="33">
        <v>34111.440000000002</v>
      </c>
      <c r="R233" s="45"/>
      <c r="S233" s="3" t="s">
        <v>119</v>
      </c>
      <c r="T233" s="3" t="s">
        <v>119</v>
      </c>
      <c r="U233" s="3">
        <v>-10.8</v>
      </c>
      <c r="V233" s="31"/>
      <c r="W233" s="31"/>
      <c r="X233" s="31">
        <v>68.5</v>
      </c>
      <c r="Y233" s="31">
        <f t="shared" si="24"/>
        <v>304.44444444444446</v>
      </c>
      <c r="Z233" s="31">
        <f t="shared" si="25"/>
        <v>304.44444444444446</v>
      </c>
      <c r="AA233" s="24">
        <f t="shared" si="27"/>
        <v>1326.0106260106259</v>
      </c>
      <c r="AB233" s="54">
        <v>1995</v>
      </c>
      <c r="AC233" s="98">
        <v>16.66</v>
      </c>
      <c r="AD233" s="98">
        <v>152.4</v>
      </c>
      <c r="AE233" s="98">
        <f t="shared" si="31"/>
        <v>526.97095435684639</v>
      </c>
      <c r="AF233" s="98">
        <f t="shared" si="32"/>
        <v>3.1614645669291344</v>
      </c>
      <c r="AG233" s="98">
        <f t="shared" si="28"/>
        <v>750.08681607106803</v>
      </c>
      <c r="AH233" s="98">
        <f t="shared" si="26"/>
        <v>56.567179882090727</v>
      </c>
      <c r="AI233" s="98">
        <v>56.707652952366303</v>
      </c>
      <c r="AJ233" s="113"/>
      <c r="AK233" s="31"/>
      <c r="AL233" s="111"/>
      <c r="AM233" s="112">
        <v>5.6</v>
      </c>
      <c r="AN233" s="104">
        <f t="shared" si="23"/>
        <v>5.6</v>
      </c>
    </row>
    <row r="234" spans="1:41" ht="13.5">
      <c r="A234" s="3">
        <v>1996</v>
      </c>
      <c r="C234" s="31"/>
      <c r="D234" s="3">
        <v>74.810550000000006</v>
      </c>
      <c r="E234" s="31">
        <f t="shared" si="33"/>
        <v>369.85398266183159</v>
      </c>
      <c r="F234" s="100">
        <v>369.85398266183159</v>
      </c>
      <c r="G234" s="45"/>
      <c r="H234" s="2"/>
      <c r="I234" s="2"/>
      <c r="J234" s="115">
        <v>64.881</v>
      </c>
      <c r="K234" s="108">
        <f t="shared" si="29"/>
        <v>3871.1813842482102</v>
      </c>
      <c r="L234" s="109">
        <f t="shared" si="30"/>
        <v>3871.1813842482102</v>
      </c>
      <c r="M234" s="31">
        <v>668.39394251571025</v>
      </c>
      <c r="N234" s="31"/>
      <c r="O234" s="32">
        <v>1996</v>
      </c>
      <c r="P234" s="32">
        <v>29062.27</v>
      </c>
      <c r="Q234" s="33">
        <v>34977.42</v>
      </c>
      <c r="R234" s="45"/>
      <c r="S234" s="3" t="s">
        <v>120</v>
      </c>
      <c r="T234" s="3" t="s">
        <v>120</v>
      </c>
      <c r="U234" s="3">
        <v>-11.3</v>
      </c>
      <c r="V234" s="31"/>
      <c r="W234" s="31"/>
      <c r="X234" s="31">
        <v>70.900000000000006</v>
      </c>
      <c r="Y234" s="31">
        <f t="shared" si="24"/>
        <v>315.11111111111114</v>
      </c>
      <c r="Z234" s="31">
        <f t="shared" si="25"/>
        <v>315.11111111111114</v>
      </c>
      <c r="AA234" s="24">
        <f t="shared" si="27"/>
        <v>1372.4693924693925</v>
      </c>
      <c r="AB234" s="54">
        <v>1996</v>
      </c>
      <c r="AC234" s="98">
        <v>16.84</v>
      </c>
      <c r="AD234" s="98">
        <v>156.9</v>
      </c>
      <c r="AE234" s="98">
        <f t="shared" si="31"/>
        <v>542.53112033195021</v>
      </c>
      <c r="AF234" s="98">
        <f t="shared" si="32"/>
        <v>3.1039694072657742</v>
      </c>
      <c r="AG234" s="98">
        <f t="shared" si="28"/>
        <v>736.4455557189782</v>
      </c>
      <c r="AH234" s="98">
        <f t="shared" si="26"/>
        <v>53.658432002912718</v>
      </c>
      <c r="AI234" s="98">
        <v>54.4786196121212</v>
      </c>
      <c r="AJ234" s="113"/>
      <c r="AK234" s="31"/>
      <c r="AL234" s="111"/>
      <c r="AM234" s="112">
        <v>5.4</v>
      </c>
      <c r="AN234" s="104">
        <f t="shared" si="23"/>
        <v>5.4</v>
      </c>
    </row>
    <row r="235" spans="1:41" ht="13.5">
      <c r="A235" s="3">
        <v>1997</v>
      </c>
      <c r="C235" s="31"/>
      <c r="D235" s="3">
        <v>80.203249999999997</v>
      </c>
      <c r="E235" s="31">
        <f t="shared" si="33"/>
        <v>396.51481555639606</v>
      </c>
      <c r="F235" s="100">
        <v>396.51481555639606</v>
      </c>
      <c r="G235" s="45"/>
      <c r="H235" s="2"/>
      <c r="I235" s="2"/>
      <c r="J235" s="115">
        <v>72.337000000000003</v>
      </c>
      <c r="K235" s="108">
        <f t="shared" si="29"/>
        <v>4316.0501193317432</v>
      </c>
      <c r="L235" s="109">
        <f t="shared" si="30"/>
        <v>4316.0501193317432</v>
      </c>
      <c r="M235" s="31">
        <v>745.20449160399721</v>
      </c>
      <c r="N235" s="31"/>
      <c r="O235" s="32">
        <v>1997</v>
      </c>
      <c r="P235" s="32">
        <v>30526.31</v>
      </c>
      <c r="Q235" s="33">
        <v>36101.89</v>
      </c>
      <c r="R235" s="45"/>
      <c r="S235" s="3" t="s">
        <v>121</v>
      </c>
      <c r="T235" s="3" t="s">
        <v>121</v>
      </c>
      <c r="U235" s="3">
        <v>-12.2</v>
      </c>
      <c r="V235" s="31"/>
      <c r="W235" s="31"/>
      <c r="X235" s="31">
        <v>73.8</v>
      </c>
      <c r="Y235" s="31">
        <f t="shared" si="24"/>
        <v>328</v>
      </c>
      <c r="Z235" s="31">
        <f t="shared" si="25"/>
        <v>328</v>
      </c>
      <c r="AA235" s="24">
        <f t="shared" si="27"/>
        <v>1428.6070686070684</v>
      </c>
      <c r="AB235" s="54">
        <v>1997</v>
      </c>
      <c r="AC235" s="98">
        <v>18.12</v>
      </c>
      <c r="AD235" s="98">
        <v>160.5</v>
      </c>
      <c r="AE235" s="98">
        <f t="shared" si="31"/>
        <v>554.97925311203312</v>
      </c>
      <c r="AF235" s="98">
        <f t="shared" si="32"/>
        <v>3.2649869158878508</v>
      </c>
      <c r="AG235" s="98">
        <f t="shared" si="28"/>
        <v>774.648454349389</v>
      </c>
      <c r="AH235" s="98">
        <f t="shared" si="26"/>
        <v>54.224039021778935</v>
      </c>
      <c r="AI235" s="98">
        <v>52.256966956847698</v>
      </c>
      <c r="AJ235" s="113"/>
      <c r="AK235" s="31"/>
      <c r="AL235" s="111"/>
      <c r="AM235" s="31">
        <v>4.9000000000000004</v>
      </c>
      <c r="AN235" s="31">
        <f t="shared" si="23"/>
        <v>4.9000000000000004</v>
      </c>
      <c r="AO235" s="31"/>
    </row>
    <row r="236" spans="1:41" ht="13.5">
      <c r="A236" s="3">
        <v>1998</v>
      </c>
      <c r="C236" s="31"/>
      <c r="D236" s="3">
        <v>84.863600000000005</v>
      </c>
      <c r="E236" s="31">
        <f t="shared" si="33"/>
        <v>419.55500184159337</v>
      </c>
      <c r="F236" s="100">
        <v>419.55500184159337</v>
      </c>
      <c r="G236" s="45"/>
      <c r="H236" s="2"/>
      <c r="I236" s="2"/>
      <c r="J236" s="115">
        <v>81.037000000000006</v>
      </c>
      <c r="K236" s="108">
        <f t="shared" si="29"/>
        <v>4835.1431980906927</v>
      </c>
      <c r="L236" s="109">
        <f t="shared" si="30"/>
        <v>4835.1431980906927</v>
      </c>
      <c r="M236" s="31">
        <v>834.83053466570516</v>
      </c>
      <c r="N236" s="31"/>
      <c r="O236" s="32">
        <v>1998</v>
      </c>
      <c r="P236" s="32">
        <v>31842.74</v>
      </c>
      <c r="Q236" s="33">
        <v>37238.28</v>
      </c>
      <c r="R236" s="45"/>
      <c r="S236" s="3" t="s">
        <v>122</v>
      </c>
      <c r="T236" s="3" t="s">
        <v>122</v>
      </c>
      <c r="U236" s="3">
        <v>-14.3</v>
      </c>
      <c r="V236" s="31"/>
      <c r="W236" s="31"/>
      <c r="X236" s="31">
        <v>77.7</v>
      </c>
      <c r="Y236" s="31">
        <f t="shared" si="24"/>
        <v>345.33333333333331</v>
      </c>
      <c r="Z236" s="31">
        <f t="shared" si="25"/>
        <v>345.33333333333331</v>
      </c>
      <c r="AA236" s="24">
        <f t="shared" si="27"/>
        <v>1504.1025641025637</v>
      </c>
      <c r="AB236" s="54">
        <v>1998</v>
      </c>
      <c r="AC236" s="98">
        <v>18.18</v>
      </c>
      <c r="AD236" s="98">
        <v>163</v>
      </c>
      <c r="AE236" s="98">
        <f t="shared" si="31"/>
        <v>563.62378976486855</v>
      </c>
      <c r="AF236" s="98">
        <f t="shared" si="32"/>
        <v>3.2255558282208594</v>
      </c>
      <c r="AG236" s="98">
        <f t="shared" si="28"/>
        <v>765.29306276545549</v>
      </c>
      <c r="AH236" s="98">
        <f t="shared" si="26"/>
        <v>50.880377510829824</v>
      </c>
      <c r="AI236" s="98">
        <v>50.033576795209299</v>
      </c>
      <c r="AJ236" s="113"/>
      <c r="AK236" s="31"/>
      <c r="AL236" s="111"/>
      <c r="AM236" s="31">
        <v>4.5</v>
      </c>
      <c r="AN236" s="31">
        <f t="shared" si="23"/>
        <v>4.5</v>
      </c>
      <c r="AO236" s="31"/>
    </row>
    <row r="237" spans="1:41" ht="13.5">
      <c r="A237" s="3">
        <v>1999</v>
      </c>
      <c r="D237" s="3">
        <v>88.500574999999998</v>
      </c>
      <c r="E237" s="31">
        <f t="shared" si="33"/>
        <v>437.53575039365603</v>
      </c>
      <c r="F237" s="100">
        <v>437.53575039365603</v>
      </c>
      <c r="G237" s="45"/>
      <c r="H237" s="2"/>
      <c r="I237" s="2"/>
      <c r="J237" s="115">
        <v>89.212000000000003</v>
      </c>
      <c r="K237" s="108">
        <f t="shared" si="29"/>
        <v>5322.9116945107407</v>
      </c>
      <c r="L237" s="109">
        <f t="shared" si="30"/>
        <v>5322.9116945107407</v>
      </c>
      <c r="M237" s="31">
        <v>919.04810961162059</v>
      </c>
      <c r="O237" s="29">
        <v>1999</v>
      </c>
      <c r="P237" s="43">
        <v>33485.72</v>
      </c>
      <c r="Q237" s="30">
        <v>38591.910000000003</v>
      </c>
      <c r="R237" s="45"/>
      <c r="S237" s="3" t="s">
        <v>123</v>
      </c>
      <c r="T237" s="3" t="s">
        <v>123</v>
      </c>
      <c r="U237" s="3">
        <v>-14.7</v>
      </c>
      <c r="X237" s="3">
        <v>82.4</v>
      </c>
      <c r="Y237" s="31">
        <f t="shared" si="24"/>
        <v>366.22222222222223</v>
      </c>
      <c r="Z237" s="31">
        <f t="shared" si="25"/>
        <v>366.22222222222223</v>
      </c>
      <c r="AA237" s="24">
        <f t="shared" si="27"/>
        <v>1595.0843150843152</v>
      </c>
      <c r="AB237" s="54">
        <v>1999</v>
      </c>
      <c r="AC237" s="98">
        <v>18.75</v>
      </c>
      <c r="AD237" s="98">
        <v>166.6</v>
      </c>
      <c r="AE237" s="98">
        <f t="shared" si="31"/>
        <v>576.07192254495158</v>
      </c>
      <c r="AF237" s="98">
        <f t="shared" si="32"/>
        <v>3.2548019207683074</v>
      </c>
      <c r="AG237" s="98">
        <f t="shared" si="28"/>
        <v>772.23196971096127</v>
      </c>
      <c r="AH237" s="98">
        <f t="shared" si="26"/>
        <v>48.413238247543141</v>
      </c>
      <c r="AI237" s="98">
        <v>47.818961266301002</v>
      </c>
      <c r="AJ237" s="113"/>
      <c r="AL237" s="111"/>
      <c r="AM237" s="112">
        <v>4.2</v>
      </c>
      <c r="AN237" s="104">
        <f t="shared" si="23"/>
        <v>4.2</v>
      </c>
    </row>
    <row r="238" spans="1:41" ht="13.5">
      <c r="A238" s="3">
        <v>2000</v>
      </c>
      <c r="D238" s="3">
        <v>92.053025000000005</v>
      </c>
      <c r="E238" s="31">
        <f t="shared" si="33"/>
        <v>455.09861793983799</v>
      </c>
      <c r="F238" s="100">
        <v>455.09861793983799</v>
      </c>
      <c r="G238" s="45"/>
      <c r="H238" s="2"/>
      <c r="I238" s="2"/>
      <c r="J238" s="115">
        <v>97.87</v>
      </c>
      <c r="K238" s="108">
        <f t="shared" si="29"/>
        <v>5839.4988066825781</v>
      </c>
      <c r="L238" s="109">
        <f t="shared" si="30"/>
        <v>5839.4988066825781</v>
      </c>
      <c r="M238" s="31">
        <v>1008.2414752240652</v>
      </c>
      <c r="O238" s="29">
        <v>2000</v>
      </c>
      <c r="P238" s="43">
        <v>35236.78</v>
      </c>
      <c r="Q238" s="30">
        <v>39749.589999999997</v>
      </c>
      <c r="R238" s="45"/>
      <c r="S238" s="3" t="s">
        <v>124</v>
      </c>
      <c r="T238" s="3" t="s">
        <v>124</v>
      </c>
      <c r="U238" s="3">
        <v>-14.2</v>
      </c>
      <c r="X238" s="3">
        <v>88.8</v>
      </c>
      <c r="Y238" s="31">
        <f t="shared" si="24"/>
        <v>394.66666666666669</v>
      </c>
      <c r="Z238" s="31">
        <f t="shared" si="25"/>
        <v>394.66666666666669</v>
      </c>
      <c r="AA238" s="24">
        <f t="shared" si="27"/>
        <v>1718.9743589743591</v>
      </c>
      <c r="AB238" s="54">
        <v>2000</v>
      </c>
      <c r="AC238" s="98">
        <v>19.36</v>
      </c>
      <c r="AD238" s="98">
        <v>172.2</v>
      </c>
      <c r="AE238" s="98">
        <f t="shared" si="31"/>
        <v>595.43568464730288</v>
      </c>
      <c r="AF238" s="98">
        <f t="shared" si="32"/>
        <v>3.2514006968641116</v>
      </c>
      <c r="AG238" s="98">
        <f t="shared" si="28"/>
        <v>771.42499776646105</v>
      </c>
      <c r="AH238" s="98">
        <f t="shared" si="26"/>
        <v>44.877050884385412</v>
      </c>
      <c r="AI238" s="98">
        <v>45.632096741265698</v>
      </c>
      <c r="AJ238" s="113"/>
      <c r="AL238" s="111"/>
      <c r="AM238" s="112">
        <v>4</v>
      </c>
      <c r="AN238" s="104">
        <f t="shared" si="23"/>
        <v>4</v>
      </c>
    </row>
    <row r="239" spans="1:41" ht="13.5">
      <c r="A239" s="3">
        <v>2001</v>
      </c>
      <c r="D239" s="3">
        <v>88.917249999999996</v>
      </c>
      <c r="E239" s="31">
        <f t="shared" si="33"/>
        <v>439.5957393688156</v>
      </c>
      <c r="F239" s="100">
        <v>439.5957393688156</v>
      </c>
      <c r="G239" s="45"/>
      <c r="H239" s="2"/>
      <c r="I239" s="2"/>
      <c r="J239" s="115">
        <v>94.564999999999998</v>
      </c>
      <c r="K239" s="108">
        <f t="shared" si="29"/>
        <v>5642.3031026252984</v>
      </c>
      <c r="L239" s="109">
        <f t="shared" si="30"/>
        <v>5642.3031026252984</v>
      </c>
      <c r="M239" s="31">
        <v>974.19388070464618</v>
      </c>
      <c r="O239" s="29">
        <v>2001</v>
      </c>
      <c r="P239" s="43">
        <v>36049.56</v>
      </c>
      <c r="Q239" s="30">
        <v>39767.99</v>
      </c>
      <c r="R239" s="45"/>
      <c r="S239" s="3" t="s">
        <v>125</v>
      </c>
      <c r="T239" s="3" t="s">
        <v>125</v>
      </c>
      <c r="U239" s="3">
        <v>-16.7</v>
      </c>
      <c r="X239" s="3">
        <v>90.7</v>
      </c>
      <c r="Y239" s="31">
        <f t="shared" si="24"/>
        <v>403.11111111111109</v>
      </c>
      <c r="Z239" s="31">
        <f t="shared" si="25"/>
        <v>403.11111111111109</v>
      </c>
      <c r="AA239" s="24">
        <f t="shared" si="27"/>
        <v>1755.7542157542155</v>
      </c>
      <c r="AB239" s="54">
        <v>2001</v>
      </c>
      <c r="AC239" s="98">
        <v>19.36</v>
      </c>
      <c r="AD239" s="98">
        <v>177.1</v>
      </c>
      <c r="AE239" s="98">
        <f t="shared" si="31"/>
        <v>612.37897648686032</v>
      </c>
      <c r="AF239" s="98">
        <f t="shared" si="32"/>
        <v>3.1614409937888199</v>
      </c>
      <c r="AG239" s="98">
        <f t="shared" si="28"/>
        <v>750.0812231247013</v>
      </c>
      <c r="AH239" s="98">
        <f t="shared" si="26"/>
        <v>42.721311240166408</v>
      </c>
      <c r="AI239" s="98">
        <v>43.497869978583303</v>
      </c>
      <c r="AJ239" s="113"/>
      <c r="AL239" s="111"/>
      <c r="AM239" s="112">
        <v>4.7</v>
      </c>
      <c r="AN239" s="104">
        <f t="shared" si="23"/>
        <v>4.7</v>
      </c>
    </row>
    <row r="240" spans="1:41" ht="13.5">
      <c r="A240" s="3">
        <v>2002</v>
      </c>
      <c r="D240" s="3">
        <v>89.100624999999994</v>
      </c>
      <c r="E240" s="31">
        <f t="shared" si="33"/>
        <v>440.50232238512291</v>
      </c>
      <c r="F240" s="100">
        <v>440.50232238512291</v>
      </c>
      <c r="J240" s="115">
        <v>86.8</v>
      </c>
      <c r="K240" s="108">
        <f t="shared" si="29"/>
        <v>5178.9976133651553</v>
      </c>
      <c r="L240" s="109">
        <f t="shared" si="30"/>
        <v>5178.9976133651553</v>
      </c>
      <c r="M240" s="31">
        <v>894.20006181106419</v>
      </c>
      <c r="O240" s="29">
        <v>2002</v>
      </c>
      <c r="P240" s="43">
        <v>36935.370000000003</v>
      </c>
      <c r="Q240" s="30">
        <v>40061.71</v>
      </c>
      <c r="S240" s="3" t="s">
        <v>126</v>
      </c>
      <c r="T240" s="3" t="s">
        <v>126</v>
      </c>
      <c r="U240" s="3">
        <v>-16.7</v>
      </c>
      <c r="X240" s="3">
        <v>100</v>
      </c>
      <c r="Y240" s="31">
        <f t="shared" si="24"/>
        <v>444.44444444444446</v>
      </c>
      <c r="Z240" s="31">
        <f t="shared" si="25"/>
        <v>444.44444444444446</v>
      </c>
      <c r="AA240" s="24">
        <f t="shared" si="27"/>
        <v>1935.7819357819355</v>
      </c>
      <c r="AB240" s="54">
        <v>2002</v>
      </c>
      <c r="AC240" s="98">
        <v>21.02</v>
      </c>
      <c r="AD240" s="98">
        <v>179.9</v>
      </c>
      <c r="AE240" s="98">
        <f t="shared" si="31"/>
        <v>622.06085753803598</v>
      </c>
      <c r="AF240" s="98">
        <f t="shared" si="32"/>
        <v>3.3790906058921624</v>
      </c>
      <c r="AG240" s="98">
        <f t="shared" si="28"/>
        <v>801.72061401633368</v>
      </c>
      <c r="AH240" s="98">
        <f t="shared" si="26"/>
        <v>41.415853676333043</v>
      </c>
      <c r="AI240" s="98">
        <v>41.4336467693212</v>
      </c>
      <c r="AJ240" s="113"/>
      <c r="AL240" s="111"/>
      <c r="AM240" s="112">
        <v>5.8</v>
      </c>
      <c r="AN240" s="104">
        <f t="shared" si="23"/>
        <v>5.8</v>
      </c>
    </row>
    <row r="241" spans="1:42" ht="13.5">
      <c r="A241" s="3">
        <v>2003</v>
      </c>
      <c r="D241" s="3">
        <v>90.230400000000003</v>
      </c>
      <c r="E241" s="31">
        <f t="shared" si="33"/>
        <v>446.08778838238902</v>
      </c>
      <c r="F241" s="100">
        <v>446.08778838238902</v>
      </c>
      <c r="J241" s="115">
        <v>87.572000000000003</v>
      </c>
      <c r="K241" s="108">
        <f t="shared" si="29"/>
        <v>5225.059665871122</v>
      </c>
      <c r="L241" s="109">
        <f t="shared" si="30"/>
        <v>5225.059665871122</v>
      </c>
      <c r="M241" s="31">
        <v>902.15308540228693</v>
      </c>
      <c r="O241" s="29">
        <v>2003</v>
      </c>
      <c r="P241" s="43">
        <v>38309.75</v>
      </c>
      <c r="Q241" s="30">
        <v>40696.589999999997</v>
      </c>
      <c r="S241" s="3" t="s">
        <v>127</v>
      </c>
      <c r="T241" s="3" t="s">
        <v>127</v>
      </c>
      <c r="U241" s="3">
        <v>-18.100000000000001</v>
      </c>
      <c r="X241" s="3">
        <v>108.2</v>
      </c>
      <c r="Y241" s="31">
        <f t="shared" si="24"/>
        <v>480.88888888888891</v>
      </c>
      <c r="Z241" s="31">
        <f t="shared" si="25"/>
        <v>480.88888888888891</v>
      </c>
      <c r="AA241" s="24">
        <f t="shared" si="27"/>
        <v>2094.5160545160543</v>
      </c>
      <c r="AB241" s="54">
        <v>2003</v>
      </c>
      <c r="AC241" s="98">
        <v>21.54</v>
      </c>
      <c r="AD241" s="98">
        <v>184</v>
      </c>
      <c r="AE241" s="98">
        <f t="shared" si="31"/>
        <v>636.23789764868604</v>
      </c>
      <c r="AF241" s="98">
        <f t="shared" si="32"/>
        <v>3.3855260869565216</v>
      </c>
      <c r="AG241" s="98">
        <f t="shared" si="28"/>
        <v>803.24749163879585</v>
      </c>
      <c r="AH241" s="98">
        <f t="shared" si="26"/>
        <v>38.350027917278922</v>
      </c>
      <c r="AI241" s="98">
        <v>39.449014204760502</v>
      </c>
      <c r="AJ241" s="113"/>
      <c r="AL241" s="111"/>
      <c r="AM241" s="112">
        <v>6</v>
      </c>
      <c r="AN241" s="104">
        <f t="shared" si="23"/>
        <v>6</v>
      </c>
    </row>
    <row r="242" spans="1:42">
      <c r="A242" s="3">
        <v>2004</v>
      </c>
      <c r="D242" s="3">
        <v>92.328824999999995</v>
      </c>
      <c r="E242" s="31">
        <f t="shared" si="33"/>
        <v>456.46213857186297</v>
      </c>
      <c r="F242" s="100">
        <v>456.46213857186297</v>
      </c>
      <c r="J242" s="3">
        <v>93.367000000000004</v>
      </c>
      <c r="K242" s="108">
        <f t="shared" si="29"/>
        <v>5570.8233890214806</v>
      </c>
      <c r="L242" s="109">
        <f t="shared" si="30"/>
        <v>5570.8233890214806</v>
      </c>
      <c r="M242" s="31">
        <v>961.85227155660868</v>
      </c>
      <c r="O242" s="29">
        <v>2004</v>
      </c>
      <c r="P242" s="43">
        <v>40385.760000000002</v>
      </c>
      <c r="Q242" s="30">
        <v>41726.800000000003</v>
      </c>
      <c r="S242" s="101" t="s">
        <v>139</v>
      </c>
      <c r="T242" s="48">
        <f>1+T230</f>
        <v>1843</v>
      </c>
      <c r="U242" s="3">
        <v>-18.600000000000001</v>
      </c>
      <c r="X242" s="3">
        <v>117.5</v>
      </c>
      <c r="Y242" s="31">
        <f t="shared" si="24"/>
        <v>522.22222222222217</v>
      </c>
      <c r="Z242" s="31">
        <f t="shared" si="25"/>
        <v>522.22222222222217</v>
      </c>
      <c r="AA242" s="24">
        <f t="shared" si="27"/>
        <v>2274.5437745437744</v>
      </c>
      <c r="AB242" s="54">
        <v>2004</v>
      </c>
      <c r="AC242" s="98">
        <v>23.07</v>
      </c>
      <c r="AD242" s="98">
        <v>188.9</v>
      </c>
      <c r="AE242" s="98">
        <f t="shared" si="31"/>
        <v>653.18118948824338</v>
      </c>
      <c r="AF242" s="98">
        <f t="shared" si="32"/>
        <v>3.5319449444150348</v>
      </c>
      <c r="AG242" s="98">
        <f t="shared" si="28"/>
        <v>837.98672476279671</v>
      </c>
      <c r="AH242" s="98">
        <f t="shared" si="26"/>
        <v>36.841969547536152</v>
      </c>
      <c r="AI242" s="98">
        <v>37.553422908489701</v>
      </c>
      <c r="AJ242" s="113"/>
      <c r="AM242" s="112">
        <v>5.5</v>
      </c>
      <c r="AN242" s="104">
        <f t="shared" si="23"/>
        <v>5.5</v>
      </c>
    </row>
    <row r="243" spans="1:42">
      <c r="A243" s="3">
        <v>2005</v>
      </c>
      <c r="D243" s="3">
        <v>95.318275</v>
      </c>
      <c r="E243" s="31">
        <f t="shared" si="33"/>
        <v>471.2416046828381</v>
      </c>
      <c r="F243" s="100">
        <v>471.2416046828381</v>
      </c>
      <c r="J243" s="3">
        <v>100</v>
      </c>
      <c r="K243" s="108">
        <f t="shared" si="29"/>
        <v>5966.5871121718383</v>
      </c>
      <c r="L243" s="109">
        <f t="shared" si="30"/>
        <v>5966.5871121718383</v>
      </c>
      <c r="M243" s="31">
        <v>1030.1844030081386</v>
      </c>
      <c r="O243" s="29">
        <v>2005</v>
      </c>
      <c r="P243" s="43">
        <v>42612.3</v>
      </c>
      <c r="Q243" s="30">
        <v>42612.3</v>
      </c>
      <c r="S243" s="3" t="s">
        <v>117</v>
      </c>
      <c r="T243" s="3" t="s">
        <v>117</v>
      </c>
      <c r="U243" s="3">
        <v>-19.100000000000001</v>
      </c>
      <c r="X243" s="3">
        <v>122.8</v>
      </c>
      <c r="Y243" s="31">
        <f t="shared" si="24"/>
        <v>545.77777777777783</v>
      </c>
      <c r="Z243" s="31">
        <f t="shared" si="25"/>
        <v>545.77777777777783</v>
      </c>
      <c r="AA243" s="24">
        <f t="shared" si="27"/>
        <v>2377.1402171402169</v>
      </c>
      <c r="AB243" s="54">
        <v>2005</v>
      </c>
      <c r="AC243" s="27">
        <v>23.92</v>
      </c>
      <c r="AD243" s="27">
        <v>195.3</v>
      </c>
      <c r="AE243" s="98">
        <f t="shared" si="31"/>
        <v>675.31120331950206</v>
      </c>
      <c r="AF243" s="98">
        <f t="shared" si="32"/>
        <v>3.5420706605222736</v>
      </c>
      <c r="AG243" s="98">
        <f t="shared" si="28"/>
        <v>840.38914490527372</v>
      </c>
      <c r="AH243" s="98">
        <f t="shared" si="26"/>
        <v>35.352948002212983</v>
      </c>
      <c r="AI243" s="98">
        <v>35.745333362049301</v>
      </c>
      <c r="AM243" s="116">
        <v>5.0999999999999996</v>
      </c>
      <c r="AN243" s="104">
        <f t="shared" si="23"/>
        <v>5.0999999999999996</v>
      </c>
    </row>
    <row r="244" spans="1:42">
      <c r="A244" s="3">
        <v>2006</v>
      </c>
      <c r="D244" s="3">
        <v>97.406175000000005</v>
      </c>
      <c r="E244" s="31">
        <f t="shared" si="33"/>
        <v>481.56392059148521</v>
      </c>
      <c r="F244" s="100">
        <v>481.56392059148521</v>
      </c>
      <c r="J244" s="3">
        <v>107.874</v>
      </c>
      <c r="K244" s="108">
        <f t="shared" si="29"/>
        <v>6436.3961813842479</v>
      </c>
      <c r="L244" s="109">
        <f t="shared" si="30"/>
        <v>6436.3961813842479</v>
      </c>
      <c r="M244" s="31">
        <v>1111.3011229009992</v>
      </c>
      <c r="O244" s="29">
        <v>2006</v>
      </c>
      <c r="P244" s="43">
        <v>44732.02</v>
      </c>
      <c r="Q244" s="30">
        <v>43331.93</v>
      </c>
      <c r="S244" s="3" t="s">
        <v>118</v>
      </c>
      <c r="T244" s="3" t="s">
        <v>118</v>
      </c>
      <c r="U244" s="3">
        <v>-18.399999999999999</v>
      </c>
      <c r="X244" s="3">
        <v>127.2</v>
      </c>
      <c r="Y244" s="31">
        <f t="shared" si="24"/>
        <v>565.33333333333337</v>
      </c>
      <c r="Z244" s="31">
        <f t="shared" si="25"/>
        <v>565.33333333333337</v>
      </c>
      <c r="AA244" s="24">
        <f t="shared" si="27"/>
        <v>2462.3146223146223</v>
      </c>
      <c r="AB244" s="54">
        <v>2006</v>
      </c>
      <c r="AC244" s="27">
        <v>24.37</v>
      </c>
      <c r="AD244" s="27">
        <v>201.6</v>
      </c>
      <c r="AE244" s="98">
        <f t="shared" si="31"/>
        <v>697.09543568464721</v>
      </c>
      <c r="AF244" s="98">
        <f t="shared" si="32"/>
        <v>3.4959345238095243</v>
      </c>
      <c r="AG244" s="98">
        <f t="shared" si="28"/>
        <v>829.44291819291823</v>
      </c>
      <c r="AH244" s="98">
        <f t="shared" si="26"/>
        <v>33.685496998479678</v>
      </c>
      <c r="AI244" s="98">
        <v>34.016071817894897</v>
      </c>
      <c r="AM244" s="116">
        <v>4.5999999999999996</v>
      </c>
      <c r="AN244" s="104">
        <f t="shared" si="23"/>
        <v>4.5999999999999996</v>
      </c>
    </row>
    <row r="245" spans="1:42">
      <c r="A245" s="3">
        <f>A244+1</f>
        <v>2007</v>
      </c>
      <c r="D245" s="3">
        <v>100</v>
      </c>
      <c r="E245" s="31">
        <f t="shared" si="33"/>
        <v>494.38746628895467</v>
      </c>
      <c r="F245" s="100">
        <v>494.38746628895467</v>
      </c>
      <c r="J245" s="3">
        <v>115.193</v>
      </c>
      <c r="K245" s="108">
        <f t="shared" si="29"/>
        <v>6873.0906921241049</v>
      </c>
      <c r="L245" s="109">
        <f t="shared" si="30"/>
        <v>6873.0906921241049</v>
      </c>
      <c r="M245" s="31">
        <v>1186.7003193571647</v>
      </c>
      <c r="O245" s="29">
        <v>2007</v>
      </c>
      <c r="P245" s="43">
        <v>46448.800000000003</v>
      </c>
      <c r="Q245" s="30">
        <v>43726.18</v>
      </c>
      <c r="S245" s="3" t="s">
        <v>119</v>
      </c>
      <c r="T245" s="3" t="s">
        <v>119</v>
      </c>
      <c r="U245" s="3">
        <v>-18.8</v>
      </c>
      <c r="X245" s="3">
        <v>135.19999999999999</v>
      </c>
      <c r="Y245" s="31">
        <f t="shared" si="24"/>
        <v>600.8888888888888</v>
      </c>
      <c r="Z245" s="31">
        <f t="shared" si="25"/>
        <v>600.8888888888888</v>
      </c>
      <c r="AA245" s="24">
        <f t="shared" si="27"/>
        <v>2617.1771771771769</v>
      </c>
      <c r="AB245" s="54">
        <v>2007</v>
      </c>
      <c r="AC245" s="27">
        <v>25.07</v>
      </c>
      <c r="AD245" s="27">
        <v>207.34</v>
      </c>
      <c r="AE245" s="98">
        <f t="shared" si="31"/>
        <v>716.94329183955733</v>
      </c>
      <c r="AF245" s="98">
        <f t="shared" si="32"/>
        <v>3.4967898138323528</v>
      </c>
      <c r="AG245" s="98">
        <f t="shared" si="28"/>
        <v>829.64584369040813</v>
      </c>
      <c r="AH245" s="98">
        <f t="shared" si="26"/>
        <v>31.70002592584289</v>
      </c>
      <c r="AI245" s="98">
        <v>32.353011194861899</v>
      </c>
      <c r="AM245" s="116">
        <v>4.5999999999999996</v>
      </c>
      <c r="AN245" s="104">
        <f t="shared" si="23"/>
        <v>4.5999999999999996</v>
      </c>
    </row>
    <row r="246" spans="1:42">
      <c r="A246" s="3">
        <f t="shared" ref="A246:A268" si="34">A245+1</f>
        <v>2008</v>
      </c>
      <c r="D246" s="3">
        <v>96.290649999999999</v>
      </c>
      <c r="E246" s="31">
        <f t="shared" si="33"/>
        <v>476.04890480816539</v>
      </c>
      <c r="F246" s="100">
        <v>476.04890480816539</v>
      </c>
      <c r="J246" s="3">
        <v>114.476</v>
      </c>
      <c r="K246" s="108">
        <f t="shared" si="29"/>
        <v>6830.3102625298334</v>
      </c>
      <c r="L246" s="109">
        <f t="shared" si="30"/>
        <v>6830.3102625298334</v>
      </c>
      <c r="M246" s="31">
        <v>1179.3138971875967</v>
      </c>
      <c r="O246" s="29">
        <v>2008</v>
      </c>
      <c r="P246" s="43">
        <v>46883.360000000001</v>
      </c>
      <c r="Q246" s="30">
        <v>43177.7</v>
      </c>
      <c r="S246" s="3" t="s">
        <v>120</v>
      </c>
      <c r="T246" s="3" t="s">
        <v>120</v>
      </c>
      <c r="U246" s="3">
        <v>-17</v>
      </c>
      <c r="X246" s="3">
        <v>135.69999999999999</v>
      </c>
      <c r="Y246" s="31">
        <f t="shared" si="24"/>
        <v>603.11111111111109</v>
      </c>
      <c r="Z246" s="31">
        <f t="shared" si="25"/>
        <v>603.11111111111109</v>
      </c>
      <c r="AA246" s="24">
        <f t="shared" si="27"/>
        <v>2626.8560868560867</v>
      </c>
      <c r="AB246" s="54">
        <v>2008</v>
      </c>
      <c r="AC246" s="27">
        <v>25.87</v>
      </c>
      <c r="AD246" s="27">
        <v>215.3</v>
      </c>
      <c r="AE246" s="98">
        <f t="shared" si="31"/>
        <v>744.46749654218524</v>
      </c>
      <c r="AF246" s="98">
        <f t="shared" si="32"/>
        <v>3.4749670227589413</v>
      </c>
      <c r="AG246" s="98">
        <f t="shared" si="28"/>
        <v>824.46818392940077</v>
      </c>
      <c r="AH246" s="98">
        <f t="shared" si="26"/>
        <v>31.386119249347733</v>
      </c>
      <c r="AI246" s="98">
        <v>30.740263693606401</v>
      </c>
      <c r="AM246" s="116">
        <v>5.8</v>
      </c>
      <c r="AN246" s="104">
        <f t="shared" si="23"/>
        <v>5.8</v>
      </c>
    </row>
    <row r="247" spans="1:42">
      <c r="A247" s="3">
        <f t="shared" si="34"/>
        <v>2009</v>
      </c>
      <c r="D247" s="3">
        <v>85.545249999999996</v>
      </c>
      <c r="E247" s="31">
        <f t="shared" si="33"/>
        <v>422.92499400555198</v>
      </c>
      <c r="F247" s="100">
        <v>422.92499400555198</v>
      </c>
      <c r="J247" s="3">
        <v>94.421999999999997</v>
      </c>
      <c r="K247" s="108">
        <f t="shared" si="29"/>
        <v>5633.7708830548918</v>
      </c>
      <c r="L247" s="109">
        <f t="shared" si="30"/>
        <v>5633.7708830548918</v>
      </c>
      <c r="M247" s="31">
        <v>972.7207170083442</v>
      </c>
      <c r="O247" s="29">
        <v>2009</v>
      </c>
      <c r="P247" s="43">
        <v>45332.59</v>
      </c>
      <c r="Q247" s="30">
        <v>41313.18</v>
      </c>
      <c r="S247" s="3" t="s">
        <v>121</v>
      </c>
      <c r="T247" s="3" t="s">
        <v>121</v>
      </c>
      <c r="U247" s="3">
        <v>-12.3</v>
      </c>
      <c r="X247" s="3">
        <v>146.19999999999999</v>
      </c>
      <c r="Y247" s="31">
        <f t="shared" si="24"/>
        <v>649.77777777777771</v>
      </c>
      <c r="Z247" s="31">
        <f t="shared" si="25"/>
        <v>649.77777777777771</v>
      </c>
      <c r="AA247" s="24">
        <f t="shared" si="27"/>
        <v>2830.1131901131898</v>
      </c>
      <c r="AB247" s="54">
        <v>2009</v>
      </c>
      <c r="AC247" s="27">
        <v>26.15</v>
      </c>
      <c r="AD247" s="27">
        <v>214.54</v>
      </c>
      <c r="AE247" s="98">
        <f t="shared" si="31"/>
        <v>741.83955739972328</v>
      </c>
      <c r="AF247" s="98">
        <f t="shared" si="32"/>
        <v>3.5250209751095372</v>
      </c>
      <c r="AG247" s="98">
        <f t="shared" si="28"/>
        <v>836.34394877053592</v>
      </c>
      <c r="AH247" s="98">
        <f t="shared" si="26"/>
        <v>29.551607748136977</v>
      </c>
      <c r="AI247" s="98">
        <v>29.155411402836101</v>
      </c>
      <c r="AM247" s="116">
        <v>9.3000000000000007</v>
      </c>
      <c r="AN247" s="104">
        <f t="shared" si="23"/>
        <v>9.3000000000000007</v>
      </c>
    </row>
    <row r="248" spans="1:42">
      <c r="A248" s="3">
        <f t="shared" si="34"/>
        <v>2010</v>
      </c>
      <c r="D248" s="3">
        <v>90.065775000000002</v>
      </c>
      <c r="E248" s="31">
        <f t="shared" si="33"/>
        <v>445.27390301601076</v>
      </c>
      <c r="F248" s="100">
        <v>445.27390301601076</v>
      </c>
      <c r="J248" s="3">
        <v>98.358000000000004</v>
      </c>
      <c r="K248" s="108">
        <f t="shared" si="29"/>
        <v>5868.6157517899774</v>
      </c>
      <c r="L248" s="109">
        <f t="shared" si="30"/>
        <v>5868.6157517899774</v>
      </c>
      <c r="M248" s="31">
        <v>1013.2687751107449</v>
      </c>
      <c r="O248" s="29">
        <v>2010</v>
      </c>
      <c r="P248" s="43">
        <v>46843.66</v>
      </c>
      <c r="Q248" s="30">
        <v>42204.92</v>
      </c>
      <c r="S248" s="3" t="s">
        <v>122</v>
      </c>
      <c r="T248" s="3" t="s">
        <v>122</v>
      </c>
      <c r="U248" s="3">
        <v>-11.4</v>
      </c>
      <c r="X248" s="31">
        <f>X247*(Q248/Q247)</f>
        <v>149.35570934021536</v>
      </c>
      <c r="Y248" s="31">
        <f t="shared" si="24"/>
        <v>663.80315262317936</v>
      </c>
      <c r="Z248" s="31">
        <f t="shared" si="25"/>
        <v>663.80315262317936</v>
      </c>
      <c r="AA248" s="24">
        <f t="shared" si="27"/>
        <v>2891.2008414668621</v>
      </c>
      <c r="AB248" s="54">
        <v>2010</v>
      </c>
      <c r="AC248" s="27">
        <v>26.44</v>
      </c>
      <c r="AD248" s="27">
        <v>218.06</v>
      </c>
      <c r="AE248" s="98">
        <f t="shared" si="31"/>
        <v>754.0110650069156</v>
      </c>
      <c r="AF248" s="98">
        <f t="shared" si="32"/>
        <v>3.5065798404108963</v>
      </c>
      <c r="AG248" s="98">
        <f t="shared" si="28"/>
        <v>831.96861837602899</v>
      </c>
      <c r="AH248" s="98">
        <f t="shared" si="26"/>
        <v>28.775884623564458</v>
      </c>
      <c r="AI248" s="98">
        <v>27.582533774322599</v>
      </c>
      <c r="AM248" s="116">
        <v>9.6</v>
      </c>
      <c r="AN248" s="104">
        <f t="shared" si="23"/>
        <v>9.6</v>
      </c>
    </row>
    <row r="249" spans="1:42">
      <c r="A249" s="3">
        <f t="shared" si="34"/>
        <v>2011</v>
      </c>
      <c r="E249" s="31"/>
      <c r="S249" s="3" t="s">
        <v>123</v>
      </c>
      <c r="T249" s="3" t="s">
        <v>123</v>
      </c>
      <c r="U249" s="3">
        <v>-11.5</v>
      </c>
      <c r="AB249" s="46">
        <v>1842</v>
      </c>
      <c r="AC249" s="2">
        <v>0.06</v>
      </c>
    </row>
    <row r="250" spans="1:42">
      <c r="A250" s="3">
        <f t="shared" si="34"/>
        <v>2012</v>
      </c>
      <c r="S250" s="3" t="s">
        <v>124</v>
      </c>
      <c r="T250" s="3" t="s">
        <v>124</v>
      </c>
      <c r="U250" s="3">
        <v>-10.7</v>
      </c>
      <c r="AB250" s="46">
        <v>1843</v>
      </c>
      <c r="AC250" s="2">
        <v>0.06</v>
      </c>
    </row>
    <row r="251" spans="1:42">
      <c r="A251" s="3">
        <f t="shared" si="34"/>
        <v>2013</v>
      </c>
      <c r="S251" s="3" t="s">
        <v>125</v>
      </c>
      <c r="T251" s="3" t="s">
        <v>125</v>
      </c>
      <c r="U251" s="3">
        <v>-9.3000000000000007</v>
      </c>
      <c r="AB251" s="46">
        <v>1844</v>
      </c>
      <c r="AC251" s="2">
        <v>0.06</v>
      </c>
      <c r="AP251" s="9"/>
    </row>
    <row r="252" spans="1:42">
      <c r="A252" s="3">
        <f t="shared" si="34"/>
        <v>2014</v>
      </c>
      <c r="S252" s="3" t="s">
        <v>126</v>
      </c>
      <c r="T252" s="3" t="s">
        <v>126</v>
      </c>
      <c r="U252" s="3">
        <v>-8.4</v>
      </c>
      <c r="AB252" s="46">
        <v>1845</v>
      </c>
      <c r="AC252" s="2">
        <v>0.06</v>
      </c>
      <c r="AP252" s="9"/>
    </row>
    <row r="253" spans="1:42">
      <c r="A253" s="3">
        <f t="shared" si="34"/>
        <v>2015</v>
      </c>
      <c r="S253" s="3" t="s">
        <v>127</v>
      </c>
      <c r="T253" s="3" t="s">
        <v>127</v>
      </c>
      <c r="U253" s="3">
        <v>-4.9000000000000004</v>
      </c>
      <c r="AB253" s="46">
        <v>1846</v>
      </c>
      <c r="AC253" s="2">
        <v>0.06</v>
      </c>
      <c r="AP253" s="9"/>
    </row>
    <row r="254" spans="1:42">
      <c r="A254" s="3">
        <f t="shared" si="34"/>
        <v>2016</v>
      </c>
      <c r="S254" s="101" t="s">
        <v>140</v>
      </c>
      <c r="T254" s="48">
        <f>1+T242</f>
        <v>1844</v>
      </c>
      <c r="U254" s="3">
        <v>-4.0999999999999996</v>
      </c>
      <c r="AB254" s="46">
        <v>1847</v>
      </c>
      <c r="AC254" s="2">
        <v>0.06</v>
      </c>
      <c r="AP254" s="9"/>
    </row>
    <row r="255" spans="1:42">
      <c r="A255" s="3">
        <f t="shared" si="34"/>
        <v>2017</v>
      </c>
      <c r="S255" s="3" t="s">
        <v>117</v>
      </c>
      <c r="T255" s="3" t="s">
        <v>117</v>
      </c>
      <c r="U255" s="3">
        <v>-2.9</v>
      </c>
      <c r="AB255" s="46">
        <v>1848</v>
      </c>
      <c r="AC255" s="2">
        <v>7.0000000000000007E-2</v>
      </c>
    </row>
    <row r="256" spans="1:42">
      <c r="A256" s="3">
        <f t="shared" si="34"/>
        <v>2018</v>
      </c>
      <c r="S256" s="3" t="s">
        <v>118</v>
      </c>
      <c r="T256" s="3" t="s">
        <v>118</v>
      </c>
      <c r="U256" s="3">
        <v>-2</v>
      </c>
      <c r="AB256" s="46">
        <v>1849</v>
      </c>
      <c r="AC256" s="2">
        <v>0.06</v>
      </c>
    </row>
    <row r="257" spans="1:29">
      <c r="A257" s="3">
        <f t="shared" si="34"/>
        <v>2019</v>
      </c>
      <c r="S257" s="3" t="s">
        <v>119</v>
      </c>
      <c r="T257" s="3" t="s">
        <v>119</v>
      </c>
      <c r="U257" s="3">
        <v>-1.5</v>
      </c>
      <c r="AB257" s="46">
        <v>1850</v>
      </c>
      <c r="AC257" s="2">
        <v>0.06</v>
      </c>
    </row>
    <row r="258" spans="1:29">
      <c r="A258" s="3">
        <f t="shared" si="34"/>
        <v>2020</v>
      </c>
      <c r="S258" s="3" t="s">
        <v>120</v>
      </c>
      <c r="T258" s="3" t="s">
        <v>120</v>
      </c>
      <c r="U258" s="3">
        <v>-1</v>
      </c>
      <c r="AB258" s="46">
        <v>1851</v>
      </c>
      <c r="AC258" s="2">
        <v>0.06</v>
      </c>
    </row>
    <row r="259" spans="1:29">
      <c r="A259" s="3">
        <f t="shared" si="34"/>
        <v>2021</v>
      </c>
      <c r="S259" s="3" t="s">
        <v>121</v>
      </c>
      <c r="T259" s="3" t="s">
        <v>121</v>
      </c>
      <c r="U259" s="3">
        <v>-0.7</v>
      </c>
      <c r="AB259" s="46">
        <v>1852</v>
      </c>
      <c r="AC259" s="2">
        <v>7.0000000000000007E-2</v>
      </c>
    </row>
    <row r="260" spans="1:29">
      <c r="A260" s="3">
        <f t="shared" si="34"/>
        <v>2022</v>
      </c>
      <c r="S260" s="3" t="s">
        <v>122</v>
      </c>
      <c r="T260" s="3" t="s">
        <v>122</v>
      </c>
      <c r="U260" s="3">
        <v>-0.5</v>
      </c>
      <c r="AB260" s="46">
        <v>1853</v>
      </c>
      <c r="AC260" s="2">
        <v>7.0000000000000007E-2</v>
      </c>
    </row>
    <row r="261" spans="1:29">
      <c r="A261" s="3">
        <f t="shared" si="34"/>
        <v>2023</v>
      </c>
      <c r="S261" s="3" t="s">
        <v>123</v>
      </c>
      <c r="T261" s="3" t="s">
        <v>123</v>
      </c>
      <c r="U261" s="3">
        <v>-0.6</v>
      </c>
      <c r="AB261" s="46">
        <v>1854</v>
      </c>
      <c r="AC261" s="2">
        <v>7.0000000000000007E-2</v>
      </c>
    </row>
    <row r="262" spans="1:29">
      <c r="A262" s="3">
        <f t="shared" si="34"/>
        <v>2024</v>
      </c>
      <c r="S262" s="3" t="s">
        <v>124</v>
      </c>
      <c r="T262" s="3" t="s">
        <v>124</v>
      </c>
      <c r="U262" s="3">
        <v>-1.1000000000000001</v>
      </c>
      <c r="AB262" s="46">
        <v>1855</v>
      </c>
      <c r="AC262" s="2">
        <v>7.0000000000000007E-2</v>
      </c>
    </row>
    <row r="263" spans="1:29">
      <c r="A263" s="3">
        <f t="shared" si="34"/>
        <v>2025</v>
      </c>
      <c r="S263" s="3" t="s">
        <v>125</v>
      </c>
      <c r="T263" s="3" t="s">
        <v>125</v>
      </c>
      <c r="U263" s="3">
        <v>-1.5</v>
      </c>
      <c r="AB263" s="46">
        <v>1856</v>
      </c>
      <c r="AC263" s="2">
        <v>7.0000000000000007E-2</v>
      </c>
    </row>
    <row r="264" spans="1:29">
      <c r="A264" s="3">
        <f t="shared" si="34"/>
        <v>2026</v>
      </c>
      <c r="S264" s="3" t="s">
        <v>126</v>
      </c>
      <c r="T264" s="3" t="s">
        <v>126</v>
      </c>
      <c r="U264" s="3">
        <v>-1.8</v>
      </c>
      <c r="AB264" s="46">
        <v>1857</v>
      </c>
      <c r="AC264" s="2">
        <v>7.0000000000000007E-2</v>
      </c>
    </row>
    <row r="265" spans="1:29">
      <c r="A265" s="3">
        <f t="shared" si="34"/>
        <v>2027</v>
      </c>
      <c r="S265" s="3" t="s">
        <v>127</v>
      </c>
      <c r="T265" s="3" t="s">
        <v>127</v>
      </c>
      <c r="U265" s="3">
        <v>-1.8</v>
      </c>
      <c r="AB265" s="46">
        <v>1858</v>
      </c>
      <c r="AC265" s="2">
        <v>0.08</v>
      </c>
    </row>
    <row r="266" spans="1:29">
      <c r="A266" s="3">
        <f t="shared" si="34"/>
        <v>2028</v>
      </c>
      <c r="S266" s="101" t="s">
        <v>141</v>
      </c>
      <c r="T266" s="48">
        <f>1+T254</f>
        <v>1845</v>
      </c>
      <c r="U266" s="3">
        <v>-1.6</v>
      </c>
      <c r="AB266" s="46">
        <v>1859</v>
      </c>
      <c r="AC266" s="2">
        <v>0.08</v>
      </c>
    </row>
    <row r="267" spans="1:29">
      <c r="A267" s="3">
        <f t="shared" si="34"/>
        <v>2029</v>
      </c>
      <c r="S267" s="3" t="s">
        <v>117</v>
      </c>
      <c r="T267" s="3" t="s">
        <v>117</v>
      </c>
      <c r="U267" s="3">
        <v>-1.7</v>
      </c>
      <c r="AB267" s="46">
        <v>1860</v>
      </c>
      <c r="AC267" s="2">
        <v>0.08</v>
      </c>
    </row>
    <row r="268" spans="1:29">
      <c r="A268" s="3">
        <f t="shared" si="34"/>
        <v>2030</v>
      </c>
      <c r="S268" s="3" t="s">
        <v>118</v>
      </c>
      <c r="T268" s="3" t="s">
        <v>118</v>
      </c>
      <c r="U268" s="3">
        <v>-1</v>
      </c>
      <c r="AB268" s="46">
        <v>1861</v>
      </c>
      <c r="AC268" s="2">
        <v>0.08</v>
      </c>
    </row>
    <row r="269" spans="1:29">
      <c r="S269" s="3" t="s">
        <v>119</v>
      </c>
      <c r="T269" s="3" t="s">
        <v>119</v>
      </c>
      <c r="U269" s="3">
        <v>-0.5</v>
      </c>
      <c r="AB269" s="46">
        <v>1862</v>
      </c>
      <c r="AC269" s="2">
        <v>0.09</v>
      </c>
    </row>
    <row r="270" spans="1:29">
      <c r="S270" s="3" t="s">
        <v>120</v>
      </c>
      <c r="T270" s="3" t="s">
        <v>120</v>
      </c>
      <c r="U270" s="3">
        <v>-0.1</v>
      </c>
      <c r="AB270" s="46">
        <v>1863</v>
      </c>
      <c r="AC270" s="2">
        <v>0.1</v>
      </c>
    </row>
    <row r="271" spans="1:29">
      <c r="S271" s="3" t="s">
        <v>121</v>
      </c>
      <c r="T271" s="3" t="s">
        <v>121</v>
      </c>
      <c r="U271" s="3">
        <v>-0.2</v>
      </c>
      <c r="AB271" s="46">
        <v>1864</v>
      </c>
      <c r="AC271" s="2">
        <v>0.11</v>
      </c>
    </row>
    <row r="272" spans="1:29">
      <c r="S272" s="3" t="s">
        <v>122</v>
      </c>
      <c r="T272" s="3" t="s">
        <v>122</v>
      </c>
      <c r="U272" s="3">
        <v>-0.3</v>
      </c>
      <c r="AB272" s="46">
        <v>1865</v>
      </c>
      <c r="AC272" s="2">
        <v>0.11</v>
      </c>
    </row>
    <row r="273" spans="19:29">
      <c r="S273" s="3" t="s">
        <v>123</v>
      </c>
      <c r="T273" s="3" t="s">
        <v>123</v>
      </c>
      <c r="U273" s="3">
        <v>-0.1</v>
      </c>
      <c r="AB273" s="46">
        <v>1866</v>
      </c>
      <c r="AC273" s="2">
        <v>0.11</v>
      </c>
    </row>
    <row r="274" spans="19:29">
      <c r="S274" s="3" t="s">
        <v>124</v>
      </c>
      <c r="T274" s="3" t="s">
        <v>124</v>
      </c>
      <c r="U274" s="3">
        <v>0.4</v>
      </c>
      <c r="AB274" s="46">
        <v>1867</v>
      </c>
      <c r="AC274" s="2">
        <v>0.11</v>
      </c>
    </row>
    <row r="275" spans="19:29">
      <c r="S275" s="3" t="s">
        <v>125</v>
      </c>
      <c r="T275" s="3" t="s">
        <v>125</v>
      </c>
      <c r="U275" s="3">
        <v>1.5</v>
      </c>
      <c r="AB275" s="46">
        <v>1868</v>
      </c>
      <c r="AC275" s="2">
        <v>0.11</v>
      </c>
    </row>
    <row r="276" spans="19:29">
      <c r="S276" s="3" t="s">
        <v>126</v>
      </c>
      <c r="T276" s="3" t="s">
        <v>126</v>
      </c>
      <c r="U276" s="3">
        <v>2.5</v>
      </c>
      <c r="AB276" s="46">
        <v>1869</v>
      </c>
      <c r="AC276" s="2">
        <v>0.11</v>
      </c>
    </row>
    <row r="277" spans="19:29">
      <c r="S277" s="3" t="s">
        <v>127</v>
      </c>
      <c r="T277" s="3" t="s">
        <v>127</v>
      </c>
      <c r="U277" s="3">
        <v>3.6</v>
      </c>
      <c r="AB277" s="46">
        <v>1870</v>
      </c>
      <c r="AC277" s="2">
        <v>0.11</v>
      </c>
    </row>
    <row r="278" spans="19:29">
      <c r="S278" s="101" t="s">
        <v>142</v>
      </c>
      <c r="T278" s="48">
        <f>1+T266</f>
        <v>1846</v>
      </c>
      <c r="U278" s="3">
        <v>4.3</v>
      </c>
      <c r="AB278" s="46">
        <v>1871</v>
      </c>
      <c r="AC278" s="2">
        <v>0.12</v>
      </c>
    </row>
    <row r="279" spans="19:29">
      <c r="S279" s="3" t="s">
        <v>117</v>
      </c>
      <c r="T279" s="3" t="s">
        <v>117</v>
      </c>
      <c r="U279" s="3">
        <v>4.5</v>
      </c>
      <c r="AB279" s="46">
        <v>1872</v>
      </c>
      <c r="AC279" s="2">
        <v>0.12</v>
      </c>
    </row>
    <row r="280" spans="19:29">
      <c r="S280" s="3" t="s">
        <v>118</v>
      </c>
      <c r="T280" s="3" t="s">
        <v>118</v>
      </c>
      <c r="U280" s="3">
        <v>3.7</v>
      </c>
      <c r="AB280" s="46">
        <v>1873</v>
      </c>
      <c r="AC280" s="2">
        <v>0.12</v>
      </c>
    </row>
    <row r="281" spans="19:29">
      <c r="S281" s="3" t="s">
        <v>119</v>
      </c>
      <c r="T281" s="3" t="s">
        <v>119</v>
      </c>
      <c r="U281" s="3">
        <v>2.8</v>
      </c>
      <c r="AB281" s="46">
        <v>1874</v>
      </c>
      <c r="AC281" s="2">
        <v>0.12</v>
      </c>
    </row>
    <row r="282" spans="19:29">
      <c r="S282" s="3" t="s">
        <v>120</v>
      </c>
      <c r="T282" s="3" t="s">
        <v>120</v>
      </c>
      <c r="U282" s="3">
        <v>1.1000000000000001</v>
      </c>
      <c r="AB282" s="46">
        <v>1875</v>
      </c>
      <c r="AC282" s="2">
        <v>0.12</v>
      </c>
    </row>
    <row r="283" spans="19:29">
      <c r="S283" s="3" t="s">
        <v>121</v>
      </c>
      <c r="T283" s="3" t="s">
        <v>121</v>
      </c>
      <c r="U283" s="3">
        <v>-1.4</v>
      </c>
      <c r="AB283" s="46">
        <v>1876</v>
      </c>
      <c r="AC283" s="2">
        <v>0.11</v>
      </c>
    </row>
    <row r="284" spans="19:29">
      <c r="S284" s="3" t="s">
        <v>122</v>
      </c>
      <c r="T284" s="3" t="s">
        <v>122</v>
      </c>
      <c r="U284" s="3">
        <v>1</v>
      </c>
      <c r="AB284" s="46">
        <v>1877</v>
      </c>
      <c r="AC284" s="2">
        <v>0.11</v>
      </c>
    </row>
    <row r="285" spans="19:29">
      <c r="S285" s="3" t="s">
        <v>123</v>
      </c>
      <c r="T285" s="3" t="s">
        <v>123</v>
      </c>
      <c r="U285" s="3">
        <v>1.6</v>
      </c>
      <c r="AB285" s="46">
        <v>1878</v>
      </c>
      <c r="AC285" s="2">
        <v>0.11</v>
      </c>
    </row>
    <row r="286" spans="19:29">
      <c r="S286" s="3" t="s">
        <v>124</v>
      </c>
      <c r="T286" s="3" t="s">
        <v>124</v>
      </c>
      <c r="U286" s="3">
        <v>1.6</v>
      </c>
      <c r="AB286" s="46">
        <v>1879</v>
      </c>
      <c r="AC286" s="2">
        <v>0.11</v>
      </c>
    </row>
    <row r="287" spans="19:29">
      <c r="S287" s="3" t="s">
        <v>125</v>
      </c>
      <c r="T287" s="3" t="s">
        <v>125</v>
      </c>
      <c r="U287" s="3">
        <v>2</v>
      </c>
      <c r="AB287" s="46">
        <v>1880</v>
      </c>
      <c r="AC287" s="2">
        <v>0.11</v>
      </c>
    </row>
    <row r="288" spans="19:29">
      <c r="S288" s="3" t="s">
        <v>126</v>
      </c>
      <c r="T288" s="3" t="s">
        <v>126</v>
      </c>
      <c r="U288" s="3">
        <v>3</v>
      </c>
      <c r="AB288" s="46">
        <v>1881</v>
      </c>
      <c r="AC288" s="2">
        <v>0.11</v>
      </c>
    </row>
    <row r="289" spans="19:29">
      <c r="S289" s="3" t="s">
        <v>127</v>
      </c>
      <c r="T289" s="3" t="s">
        <v>127</v>
      </c>
      <c r="U289" s="3">
        <v>4.7</v>
      </c>
      <c r="AB289" s="46">
        <v>1882</v>
      </c>
      <c r="AC289" s="2">
        <v>0.11</v>
      </c>
    </row>
    <row r="290" spans="19:29">
      <c r="S290" s="101" t="s">
        <v>143</v>
      </c>
      <c r="T290" s="48">
        <f>1+T278</f>
        <v>1847</v>
      </c>
      <c r="U290" s="3">
        <v>6.9</v>
      </c>
      <c r="AB290" s="46">
        <v>1883</v>
      </c>
      <c r="AC290" s="2">
        <v>0.11</v>
      </c>
    </row>
    <row r="291" spans="19:29">
      <c r="S291" s="3" t="s">
        <v>117</v>
      </c>
      <c r="T291" s="3" t="s">
        <v>117</v>
      </c>
      <c r="U291" s="3">
        <v>10.1</v>
      </c>
      <c r="AB291" s="46">
        <v>1884</v>
      </c>
      <c r="AC291" s="2">
        <v>0.12</v>
      </c>
    </row>
    <row r="292" spans="19:29">
      <c r="S292" s="3" t="s">
        <v>118</v>
      </c>
      <c r="T292" s="3" t="s">
        <v>118</v>
      </c>
      <c r="U292" s="3">
        <v>9.8000000000000007</v>
      </c>
      <c r="AB292" s="46">
        <v>1885</v>
      </c>
      <c r="AC292" s="2">
        <v>0.12</v>
      </c>
    </row>
    <row r="293" spans="19:29">
      <c r="S293" s="3" t="s">
        <v>119</v>
      </c>
      <c r="T293" s="3" t="s">
        <v>119</v>
      </c>
      <c r="U293" s="3">
        <v>11.8</v>
      </c>
      <c r="AB293" s="46">
        <v>1886</v>
      </c>
      <c r="AC293" s="2">
        <v>0.12</v>
      </c>
    </row>
    <row r="294" spans="19:29">
      <c r="S294" s="3" t="s">
        <v>120</v>
      </c>
      <c r="T294" s="3" t="s">
        <v>120</v>
      </c>
      <c r="U294" s="3">
        <v>12.5</v>
      </c>
      <c r="AB294" s="46">
        <v>1887</v>
      </c>
      <c r="AC294" s="2">
        <v>0.13</v>
      </c>
    </row>
    <row r="295" spans="19:29">
      <c r="S295" s="3" t="s">
        <v>121</v>
      </c>
      <c r="T295" s="3" t="s">
        <v>121</v>
      </c>
      <c r="U295" s="3">
        <v>14.3</v>
      </c>
      <c r="AB295" s="46">
        <v>1888</v>
      </c>
      <c r="AC295" s="2">
        <v>0.13</v>
      </c>
    </row>
    <row r="296" spans="19:29">
      <c r="S296" s="3" t="s">
        <v>122</v>
      </c>
      <c r="T296" s="3" t="s">
        <v>122</v>
      </c>
      <c r="U296" s="3">
        <v>12</v>
      </c>
      <c r="AB296" s="46">
        <v>1889</v>
      </c>
      <c r="AC296" s="2">
        <v>0.13</v>
      </c>
    </row>
    <row r="297" spans="19:29">
      <c r="S297" s="3" t="s">
        <v>123</v>
      </c>
      <c r="T297" s="3" t="s">
        <v>123</v>
      </c>
      <c r="U297" s="3">
        <v>11.9</v>
      </c>
      <c r="AB297" s="46">
        <v>1890</v>
      </c>
      <c r="AC297" s="2">
        <v>0.13</v>
      </c>
    </row>
    <row r="298" spans="19:29">
      <c r="S298" s="3" t="s">
        <v>124</v>
      </c>
      <c r="T298" s="3" t="s">
        <v>124</v>
      </c>
      <c r="U298" s="3">
        <v>11.9</v>
      </c>
      <c r="AB298" s="46">
        <v>1891</v>
      </c>
      <c r="AC298" s="2">
        <v>0.13</v>
      </c>
    </row>
    <row r="299" spans="19:29">
      <c r="S299" s="3" t="s">
        <v>125</v>
      </c>
      <c r="T299" s="3" t="s">
        <v>125</v>
      </c>
      <c r="U299" s="3">
        <v>9.3000000000000007</v>
      </c>
      <c r="AB299" s="46">
        <v>1892</v>
      </c>
      <c r="AC299" s="2">
        <v>0.13</v>
      </c>
    </row>
    <row r="300" spans="19:29">
      <c r="S300" s="3" t="s">
        <v>126</v>
      </c>
      <c r="T300" s="3" t="s">
        <v>126</v>
      </c>
      <c r="U300" s="3">
        <v>6.8</v>
      </c>
      <c r="AB300" s="46">
        <v>1893</v>
      </c>
      <c r="AC300" s="2">
        <v>0.14000000000000001</v>
      </c>
    </row>
    <row r="301" spans="19:29">
      <c r="S301" s="3" t="s">
        <v>127</v>
      </c>
      <c r="T301" s="3" t="s">
        <v>127</v>
      </c>
      <c r="U301" s="3">
        <v>4.8</v>
      </c>
      <c r="AB301" s="46">
        <v>1894</v>
      </c>
      <c r="AC301" s="2">
        <v>0.13</v>
      </c>
    </row>
    <row r="302" spans="19:29">
      <c r="S302" s="101" t="s">
        <v>144</v>
      </c>
      <c r="T302" s="48">
        <f>1+T290</f>
        <v>1848</v>
      </c>
      <c r="U302" s="3">
        <v>3.4</v>
      </c>
      <c r="AB302" s="46">
        <v>1895</v>
      </c>
      <c r="AC302" s="2">
        <v>0.13</v>
      </c>
    </row>
    <row r="303" spans="19:29">
      <c r="S303" s="3" t="s">
        <v>117</v>
      </c>
      <c r="T303" s="3" t="s">
        <v>117</v>
      </c>
      <c r="U303" s="3">
        <v>2.7</v>
      </c>
      <c r="AB303" s="46">
        <v>1896</v>
      </c>
      <c r="AC303" s="2">
        <v>0.13</v>
      </c>
    </row>
    <row r="304" spans="19:29">
      <c r="S304" s="3" t="s">
        <v>118</v>
      </c>
      <c r="T304" s="3" t="s">
        <v>118</v>
      </c>
      <c r="U304" s="3">
        <v>3.1</v>
      </c>
      <c r="AB304" s="46">
        <v>1897</v>
      </c>
      <c r="AC304" s="2">
        <v>0.13</v>
      </c>
    </row>
    <row r="305" spans="19:29">
      <c r="S305" s="3" t="s">
        <v>119</v>
      </c>
      <c r="T305" s="3" t="s">
        <v>119</v>
      </c>
      <c r="U305" s="3">
        <v>2.6</v>
      </c>
      <c r="AB305" s="46">
        <v>1898</v>
      </c>
      <c r="AC305" s="2">
        <v>0.13</v>
      </c>
    </row>
    <row r="306" spans="19:29">
      <c r="S306" s="3" t="s">
        <v>120</v>
      </c>
      <c r="T306" s="3" t="s">
        <v>120</v>
      </c>
      <c r="U306" s="3">
        <v>1.9</v>
      </c>
      <c r="AB306" s="46">
        <v>1899</v>
      </c>
      <c r="AC306" s="2">
        <v>0.13</v>
      </c>
    </row>
    <row r="307" spans="19:29">
      <c r="S307" s="3" t="s">
        <v>121</v>
      </c>
      <c r="T307" s="3" t="s">
        <v>121</v>
      </c>
      <c r="U307" s="3">
        <v>1.5</v>
      </c>
      <c r="AB307" s="46">
        <v>1900</v>
      </c>
      <c r="AC307" s="2">
        <v>0.14000000000000001</v>
      </c>
    </row>
    <row r="308" spans="19:29">
      <c r="S308" s="3" t="s">
        <v>122</v>
      </c>
      <c r="T308" s="3" t="s">
        <v>122</v>
      </c>
      <c r="U308" s="3">
        <v>-1</v>
      </c>
      <c r="AB308" s="46">
        <v>1901</v>
      </c>
      <c r="AC308" s="2">
        <v>0.14000000000000001</v>
      </c>
    </row>
    <row r="309" spans="19:29">
      <c r="S309" s="3" t="s">
        <v>123</v>
      </c>
      <c r="T309" s="3" t="s">
        <v>123</v>
      </c>
      <c r="U309" s="3">
        <v>-2.2000000000000002</v>
      </c>
      <c r="AB309" s="46">
        <v>1902</v>
      </c>
      <c r="AC309" s="2">
        <v>0.15</v>
      </c>
    </row>
    <row r="310" spans="19:29">
      <c r="S310" s="3" t="s">
        <v>124</v>
      </c>
      <c r="T310" s="3" t="s">
        <v>124</v>
      </c>
      <c r="U310" s="3">
        <v>-2</v>
      </c>
      <c r="AB310" s="46">
        <v>1903</v>
      </c>
      <c r="AC310" s="2">
        <v>0.15</v>
      </c>
    </row>
    <row r="311" spans="19:29">
      <c r="S311" s="3" t="s">
        <v>125</v>
      </c>
      <c r="T311" s="3" t="s">
        <v>125</v>
      </c>
      <c r="U311" s="3">
        <v>-2.9</v>
      </c>
      <c r="AB311" s="46">
        <v>1904</v>
      </c>
      <c r="AC311" s="2">
        <v>0.15</v>
      </c>
    </row>
    <row r="312" spans="19:29">
      <c r="S312" s="3" t="s">
        <v>126</v>
      </c>
      <c r="T312" s="3" t="s">
        <v>126</v>
      </c>
      <c r="U312" s="3">
        <v>-4.4000000000000004</v>
      </c>
      <c r="AB312" s="46">
        <v>1905</v>
      </c>
      <c r="AC312" s="2">
        <v>0.16</v>
      </c>
    </row>
    <row r="313" spans="19:29">
      <c r="S313" s="3" t="s">
        <v>127</v>
      </c>
      <c r="T313" s="3" t="s">
        <v>127</v>
      </c>
      <c r="U313" s="3">
        <v>-5.4</v>
      </c>
      <c r="AB313" s="46">
        <v>1906</v>
      </c>
      <c r="AC313" s="2">
        <v>0.16</v>
      </c>
    </row>
    <row r="314" spans="19:29">
      <c r="S314" s="101" t="s">
        <v>145</v>
      </c>
      <c r="T314" s="48">
        <f>1+T302</f>
        <v>1849</v>
      </c>
      <c r="U314" s="3">
        <v>-4.0999999999999996</v>
      </c>
      <c r="AB314" s="46">
        <v>1907</v>
      </c>
      <c r="AC314" s="2">
        <v>0.17</v>
      </c>
    </row>
    <row r="315" spans="19:29">
      <c r="S315" s="3" t="s">
        <v>117</v>
      </c>
      <c r="T315" s="3" t="s">
        <v>117</v>
      </c>
      <c r="U315" s="3">
        <v>-4.7</v>
      </c>
      <c r="AB315" s="46">
        <v>1908</v>
      </c>
      <c r="AC315" s="2">
        <v>0.16</v>
      </c>
    </row>
    <row r="316" spans="19:29">
      <c r="S316" s="3" t="s">
        <v>118</v>
      </c>
      <c r="T316" s="3" t="s">
        <v>118</v>
      </c>
      <c r="U316" s="3">
        <v>-1.5</v>
      </c>
      <c r="AB316" s="46">
        <v>1909</v>
      </c>
      <c r="AC316" s="2">
        <v>0.17</v>
      </c>
    </row>
    <row r="317" spans="19:29">
      <c r="S317" s="3" t="s">
        <v>119</v>
      </c>
      <c r="T317" s="3" t="s">
        <v>119</v>
      </c>
      <c r="U317" s="3">
        <v>-2.2000000000000002</v>
      </c>
      <c r="AB317" s="46">
        <v>1910</v>
      </c>
      <c r="AC317" s="2">
        <v>0.18</v>
      </c>
    </row>
    <row r="318" spans="19:29">
      <c r="S318" s="3" t="s">
        <v>120</v>
      </c>
      <c r="T318" s="3" t="s">
        <v>120</v>
      </c>
      <c r="U318" s="3">
        <v>-2.1</v>
      </c>
      <c r="AB318" s="46">
        <v>1911</v>
      </c>
      <c r="AC318" s="2">
        <v>0.18</v>
      </c>
    </row>
    <row r="319" spans="19:29">
      <c r="S319" s="3" t="s">
        <v>121</v>
      </c>
      <c r="T319" s="3" t="s">
        <v>121</v>
      </c>
      <c r="U319" s="3">
        <v>-2.5</v>
      </c>
      <c r="AB319" s="46">
        <v>1912</v>
      </c>
      <c r="AC319" s="2">
        <v>0.19</v>
      </c>
    </row>
    <row r="320" spans="19:29">
      <c r="S320" s="3" t="s">
        <v>122</v>
      </c>
      <c r="T320" s="3" t="s">
        <v>122</v>
      </c>
      <c r="U320" s="3">
        <v>-0.7</v>
      </c>
      <c r="AB320" s="46">
        <v>1913</v>
      </c>
      <c r="AC320" s="2">
        <v>0.2</v>
      </c>
    </row>
    <row r="321" spans="19:29">
      <c r="S321" s="3" t="s">
        <v>123</v>
      </c>
      <c r="T321" s="3" t="s">
        <v>123</v>
      </c>
      <c r="U321" s="3">
        <v>-1.3</v>
      </c>
      <c r="AB321" s="46">
        <v>1914</v>
      </c>
      <c r="AC321" s="2">
        <v>0.2</v>
      </c>
    </row>
    <row r="322" spans="19:29">
      <c r="S322" s="3" t="s">
        <v>124</v>
      </c>
      <c r="T322" s="3" t="s">
        <v>124</v>
      </c>
      <c r="U322" s="3">
        <v>-0.7</v>
      </c>
      <c r="AB322" s="46">
        <v>1915</v>
      </c>
      <c r="AC322" s="2">
        <v>0.2</v>
      </c>
    </row>
    <row r="323" spans="19:29">
      <c r="S323" s="3" t="s">
        <v>125</v>
      </c>
      <c r="T323" s="3" t="s">
        <v>125</v>
      </c>
      <c r="U323" s="3">
        <v>-0.7</v>
      </c>
      <c r="AB323" s="46">
        <v>1916</v>
      </c>
      <c r="AC323" s="2">
        <v>0.24</v>
      </c>
    </row>
    <row r="324" spans="19:29">
      <c r="S324" s="3" t="s">
        <v>126</v>
      </c>
      <c r="T324" s="3" t="s">
        <v>126</v>
      </c>
      <c r="U324" s="3">
        <v>-0.5</v>
      </c>
      <c r="AB324" s="46">
        <v>1917</v>
      </c>
      <c r="AC324" s="2">
        <v>0.28999999999999998</v>
      </c>
    </row>
    <row r="325" spans="19:29">
      <c r="S325" s="3" t="s">
        <v>127</v>
      </c>
      <c r="T325" s="3" t="s">
        <v>127</v>
      </c>
      <c r="U325" s="3">
        <v>0.1</v>
      </c>
      <c r="AB325" s="46">
        <v>1918</v>
      </c>
      <c r="AC325" s="2">
        <v>0.36</v>
      </c>
    </row>
    <row r="326" spans="19:29">
      <c r="S326" s="101" t="s">
        <v>146</v>
      </c>
      <c r="T326" s="48">
        <f>1+T314</f>
        <v>1850</v>
      </c>
      <c r="U326" s="3">
        <v>0.2</v>
      </c>
      <c r="AB326" s="46">
        <v>1919</v>
      </c>
      <c r="AC326" s="2">
        <v>0.43</v>
      </c>
    </row>
    <row r="327" spans="19:29">
      <c r="S327" s="3" t="s">
        <v>117</v>
      </c>
      <c r="T327" s="3" t="s">
        <v>117</v>
      </c>
      <c r="U327" s="3">
        <v>-0.6</v>
      </c>
      <c r="AB327" s="46">
        <v>1920</v>
      </c>
      <c r="AC327" s="2">
        <v>0.54</v>
      </c>
    </row>
    <row r="328" spans="19:29">
      <c r="S328" s="3" t="s">
        <v>118</v>
      </c>
      <c r="T328" s="3" t="s">
        <v>118</v>
      </c>
      <c r="U328" s="3">
        <v>0.6</v>
      </c>
      <c r="AB328" s="46">
        <v>1921</v>
      </c>
      <c r="AC328" s="2">
        <v>0.48</v>
      </c>
    </row>
    <row r="329" spans="19:29">
      <c r="S329" s="3" t="s">
        <v>119</v>
      </c>
      <c r="T329" s="3" t="s">
        <v>119</v>
      </c>
      <c r="U329" s="3">
        <v>1.8</v>
      </c>
      <c r="AB329" s="46">
        <v>1922</v>
      </c>
      <c r="AC329" s="2">
        <v>0.44</v>
      </c>
    </row>
    <row r="330" spans="19:29">
      <c r="S330" s="3" t="s">
        <v>120</v>
      </c>
      <c r="T330" s="3" t="s">
        <v>120</v>
      </c>
      <c r="U330" s="3">
        <v>2.1</v>
      </c>
      <c r="AB330" s="46">
        <v>1923</v>
      </c>
      <c r="AC330" s="2">
        <v>0.48</v>
      </c>
    </row>
    <row r="331" spans="19:29">
      <c r="S331" s="3" t="s">
        <v>121</v>
      </c>
      <c r="T331" s="3" t="s">
        <v>121</v>
      </c>
      <c r="U331" s="3">
        <v>2.5</v>
      </c>
      <c r="AB331" s="46">
        <v>1924</v>
      </c>
      <c r="AC331" s="2">
        <v>0.51</v>
      </c>
    </row>
    <row r="332" spans="19:29">
      <c r="S332" s="3" t="s">
        <v>122</v>
      </c>
      <c r="T332" s="3" t="s">
        <v>122</v>
      </c>
      <c r="U332" s="3">
        <v>3.4</v>
      </c>
      <c r="AB332" s="46">
        <v>1925</v>
      </c>
      <c r="AC332" s="2">
        <v>0.5</v>
      </c>
    </row>
    <row r="333" spans="19:29">
      <c r="S333" s="3" t="s">
        <v>123</v>
      </c>
      <c r="T333" s="3" t="s">
        <v>123</v>
      </c>
      <c r="U333" s="3">
        <v>3.7</v>
      </c>
      <c r="AB333" s="46">
        <v>1926</v>
      </c>
      <c r="AC333" s="2">
        <v>0.51</v>
      </c>
    </row>
    <row r="334" spans="19:29">
      <c r="S334" s="3" t="s">
        <v>124</v>
      </c>
      <c r="T334" s="3" t="s">
        <v>124</v>
      </c>
      <c r="U334" s="3">
        <v>4.8</v>
      </c>
      <c r="AB334" s="46">
        <v>1927</v>
      </c>
      <c r="AC334" s="2">
        <v>0.52</v>
      </c>
    </row>
    <row r="335" spans="19:29">
      <c r="S335" s="3" t="s">
        <v>125</v>
      </c>
      <c r="T335" s="3" t="s">
        <v>125</v>
      </c>
      <c r="U335" s="3">
        <v>5.6</v>
      </c>
      <c r="AB335" s="46">
        <v>1928</v>
      </c>
      <c r="AC335" s="2">
        <v>0.52</v>
      </c>
    </row>
    <row r="336" spans="19:29">
      <c r="S336" s="3" t="s">
        <v>126</v>
      </c>
      <c r="T336" s="3" t="s">
        <v>126</v>
      </c>
      <c r="U336" s="3">
        <v>6.8</v>
      </c>
      <c r="AB336" s="46">
        <v>1929</v>
      </c>
      <c r="AC336" s="2">
        <v>0.52</v>
      </c>
    </row>
    <row r="337" spans="19:29">
      <c r="S337" s="3" t="s">
        <v>127</v>
      </c>
      <c r="T337" s="3" t="s">
        <v>127</v>
      </c>
      <c r="U337" s="3">
        <v>8.1999999999999993</v>
      </c>
      <c r="AB337" s="46">
        <v>1930</v>
      </c>
      <c r="AC337" s="2">
        <v>0.53</v>
      </c>
    </row>
    <row r="338" spans="19:29">
      <c r="S338" s="101" t="s">
        <v>147</v>
      </c>
      <c r="T338" s="48">
        <f>1+T326</f>
        <v>1851</v>
      </c>
      <c r="U338" s="3">
        <v>10.9</v>
      </c>
      <c r="AB338" s="46">
        <v>1931</v>
      </c>
      <c r="AC338" s="2">
        <v>0.51</v>
      </c>
    </row>
    <row r="339" spans="19:29">
      <c r="S339" s="3" t="s">
        <v>117</v>
      </c>
      <c r="T339" s="3" t="s">
        <v>117</v>
      </c>
      <c r="U339" s="3">
        <v>9.6</v>
      </c>
      <c r="AB339" s="46">
        <v>1932</v>
      </c>
      <c r="AC339" s="2">
        <v>0.45</v>
      </c>
    </row>
    <row r="340" spans="19:29">
      <c r="S340" s="3" t="s">
        <v>118</v>
      </c>
      <c r="T340" s="3" t="s">
        <v>118</v>
      </c>
      <c r="U340" s="3">
        <v>9.6999999999999993</v>
      </c>
      <c r="AB340" s="46">
        <v>1933</v>
      </c>
      <c r="AC340" s="2">
        <v>0.44</v>
      </c>
    </row>
    <row r="341" spans="19:29">
      <c r="S341" s="3" t="s">
        <v>119</v>
      </c>
      <c r="T341" s="3" t="s">
        <v>119</v>
      </c>
      <c r="U341" s="3">
        <v>9</v>
      </c>
      <c r="AB341" s="46">
        <v>1934</v>
      </c>
      <c r="AC341" s="2">
        <v>0.53</v>
      </c>
    </row>
    <row r="342" spans="19:29">
      <c r="S342" s="3" t="s">
        <v>120</v>
      </c>
      <c r="T342" s="3" t="s">
        <v>120</v>
      </c>
      <c r="U342" s="3">
        <v>7.8</v>
      </c>
      <c r="AB342" s="46">
        <v>1935</v>
      </c>
      <c r="AC342" s="2">
        <v>0.54</v>
      </c>
    </row>
    <row r="343" spans="19:29">
      <c r="S343" s="3" t="s">
        <v>121</v>
      </c>
      <c r="T343" s="3" t="s">
        <v>121</v>
      </c>
      <c r="U343" s="3">
        <v>7.4</v>
      </c>
      <c r="AB343" s="46">
        <v>1936</v>
      </c>
      <c r="AC343" s="2">
        <v>0.55000000000000004</v>
      </c>
    </row>
    <row r="344" spans="19:29">
      <c r="S344" s="3" t="s">
        <v>122</v>
      </c>
      <c r="T344" s="3" t="s">
        <v>122</v>
      </c>
      <c r="U344" s="3">
        <v>4.3</v>
      </c>
      <c r="AB344" s="46">
        <v>1937</v>
      </c>
      <c r="AC344" s="2">
        <v>0.63</v>
      </c>
    </row>
    <row r="345" spans="19:29">
      <c r="S345" s="3" t="s">
        <v>123</v>
      </c>
      <c r="T345" s="3" t="s">
        <v>123</v>
      </c>
      <c r="U345" s="3">
        <v>0.7</v>
      </c>
      <c r="AB345" s="46">
        <v>1938</v>
      </c>
      <c r="AC345" s="2">
        <v>0.64</v>
      </c>
    </row>
    <row r="346" spans="19:29">
      <c r="S346" s="3" t="s">
        <v>124</v>
      </c>
      <c r="T346" s="3" t="s">
        <v>124</v>
      </c>
      <c r="U346" s="3">
        <v>0.7</v>
      </c>
      <c r="AB346" s="46">
        <v>1939</v>
      </c>
      <c r="AC346" s="2">
        <v>0.64</v>
      </c>
    </row>
    <row r="347" spans="19:29">
      <c r="S347" s="3" t="s">
        <v>125</v>
      </c>
      <c r="T347" s="3" t="s">
        <v>125</v>
      </c>
      <c r="U347" s="3">
        <v>-0.9</v>
      </c>
      <c r="AB347" s="46">
        <v>1940</v>
      </c>
      <c r="AC347" s="2">
        <v>0.67</v>
      </c>
    </row>
    <row r="348" spans="19:29">
      <c r="S348" s="3" t="s">
        <v>126</v>
      </c>
      <c r="T348" s="3" t="s">
        <v>126</v>
      </c>
      <c r="U348" s="3">
        <v>0.9</v>
      </c>
      <c r="AB348" s="46">
        <v>1941</v>
      </c>
      <c r="AC348" s="2">
        <v>0.74</v>
      </c>
    </row>
    <row r="349" spans="19:29">
      <c r="S349" s="3" t="s">
        <v>127</v>
      </c>
      <c r="T349" s="3" t="s">
        <v>127</v>
      </c>
      <c r="U349" s="3">
        <v>1.3</v>
      </c>
      <c r="AB349" s="46">
        <v>1942</v>
      </c>
      <c r="AC349" s="2">
        <v>0.86</v>
      </c>
    </row>
    <row r="350" spans="19:29">
      <c r="S350" s="101" t="s">
        <v>148</v>
      </c>
      <c r="T350" s="48">
        <f>1+T338</f>
        <v>1852</v>
      </c>
      <c r="U350" s="3">
        <v>0.3</v>
      </c>
      <c r="AB350" s="46">
        <v>1943</v>
      </c>
      <c r="AC350" s="2">
        <v>0.98</v>
      </c>
    </row>
    <row r="351" spans="19:29">
      <c r="S351" s="3" t="s">
        <v>117</v>
      </c>
      <c r="T351" s="3" t="s">
        <v>117</v>
      </c>
      <c r="U351" s="3">
        <v>1.3</v>
      </c>
      <c r="AB351" s="46">
        <v>1944</v>
      </c>
      <c r="AC351" s="2">
        <v>1.05</v>
      </c>
    </row>
    <row r="352" spans="19:29">
      <c r="S352" s="3" t="s">
        <v>118</v>
      </c>
      <c r="T352" s="3" t="s">
        <v>118</v>
      </c>
      <c r="U352" s="3">
        <v>2.2000000000000002</v>
      </c>
      <c r="AB352" s="46">
        <v>1945</v>
      </c>
      <c r="AC352" s="2">
        <v>1.06</v>
      </c>
    </row>
    <row r="353" spans="19:29">
      <c r="S353" s="3" t="s">
        <v>119</v>
      </c>
      <c r="T353" s="3" t="s">
        <v>119</v>
      </c>
      <c r="U353" s="3">
        <v>2.8</v>
      </c>
      <c r="AB353" s="46">
        <v>1946</v>
      </c>
      <c r="AC353" s="2">
        <v>1.1299999999999999</v>
      </c>
    </row>
    <row r="354" spans="19:29">
      <c r="S354" s="3" t="s">
        <v>120</v>
      </c>
      <c r="T354" s="3" t="s">
        <v>120</v>
      </c>
      <c r="U354" s="3">
        <v>3.5</v>
      </c>
      <c r="AB354" s="46">
        <v>1947</v>
      </c>
      <c r="AC354" s="2">
        <v>1.3</v>
      </c>
    </row>
    <row r="355" spans="19:29">
      <c r="S355" s="3" t="s">
        <v>121</v>
      </c>
      <c r="T355" s="3" t="s">
        <v>121</v>
      </c>
      <c r="U355" s="3">
        <v>3.3</v>
      </c>
      <c r="AB355" s="46">
        <v>1948</v>
      </c>
      <c r="AC355" s="2">
        <v>1.41</v>
      </c>
    </row>
    <row r="356" spans="19:29">
      <c r="S356" s="3" t="s">
        <v>122</v>
      </c>
      <c r="T356" s="3" t="s">
        <v>122</v>
      </c>
      <c r="U356" s="3">
        <v>4.4000000000000004</v>
      </c>
      <c r="AB356" s="46">
        <v>1949</v>
      </c>
      <c r="AC356" s="2">
        <v>1.46</v>
      </c>
    </row>
    <row r="357" spans="19:29">
      <c r="S357" s="3" t="s">
        <v>123</v>
      </c>
      <c r="T357" s="3" t="s">
        <v>123</v>
      </c>
      <c r="U357" s="3">
        <v>4.7</v>
      </c>
      <c r="AB357" s="46">
        <v>1950</v>
      </c>
      <c r="AC357" s="2">
        <v>1.55</v>
      </c>
    </row>
    <row r="358" spans="19:29">
      <c r="S358" s="3" t="s">
        <v>124</v>
      </c>
      <c r="T358" s="3" t="s">
        <v>124</v>
      </c>
      <c r="U358" s="3">
        <v>5.6</v>
      </c>
      <c r="AB358" s="46">
        <v>1951</v>
      </c>
      <c r="AC358" s="2">
        <v>1.72</v>
      </c>
    </row>
    <row r="359" spans="19:29">
      <c r="S359" s="3" t="s">
        <v>125</v>
      </c>
      <c r="T359" s="3" t="s">
        <v>125</v>
      </c>
      <c r="U359" s="3">
        <v>6.5</v>
      </c>
      <c r="AB359" s="46">
        <v>1952</v>
      </c>
      <c r="AC359" s="2">
        <v>1.83</v>
      </c>
    </row>
    <row r="360" spans="19:29">
      <c r="S360" s="3" t="s">
        <v>126</v>
      </c>
      <c r="T360" s="3" t="s">
        <v>126</v>
      </c>
      <c r="U360" s="3">
        <v>7.4</v>
      </c>
      <c r="AB360" s="46">
        <v>1953</v>
      </c>
      <c r="AC360" s="2">
        <v>1.94</v>
      </c>
    </row>
    <row r="361" spans="19:29">
      <c r="S361" s="3" t="s">
        <v>127</v>
      </c>
      <c r="T361" s="3" t="s">
        <v>127</v>
      </c>
      <c r="U361" s="3">
        <v>9.5</v>
      </c>
      <c r="AB361" s="46">
        <v>1954</v>
      </c>
      <c r="AC361" s="2">
        <v>1.97</v>
      </c>
    </row>
    <row r="362" spans="19:29">
      <c r="S362" s="101" t="s">
        <v>149</v>
      </c>
      <c r="T362" s="48">
        <f>1+T350</f>
        <v>1853</v>
      </c>
      <c r="U362" s="3">
        <v>9</v>
      </c>
      <c r="AB362" s="46">
        <v>1955</v>
      </c>
      <c r="AC362" s="2">
        <v>2.0499999999999998</v>
      </c>
    </row>
    <row r="363" spans="19:29">
      <c r="S363" s="3" t="s">
        <v>117</v>
      </c>
      <c r="T363" s="3" t="s">
        <v>117</v>
      </c>
      <c r="U363" s="3">
        <v>8.9</v>
      </c>
      <c r="AB363" s="46">
        <v>1956</v>
      </c>
      <c r="AC363" s="2">
        <v>2.16</v>
      </c>
    </row>
    <row r="364" spans="19:29">
      <c r="S364" s="3" t="s">
        <v>118</v>
      </c>
      <c r="T364" s="3" t="s">
        <v>118</v>
      </c>
      <c r="U364" s="3">
        <v>8.6</v>
      </c>
      <c r="AB364" s="46">
        <v>1957</v>
      </c>
      <c r="AC364" s="2">
        <v>2.2400000000000002</v>
      </c>
    </row>
    <row r="365" spans="19:29">
      <c r="S365" s="3" t="s">
        <v>119</v>
      </c>
      <c r="T365" s="3" t="s">
        <v>119</v>
      </c>
      <c r="U365" s="3">
        <v>8.1999999999999993</v>
      </c>
      <c r="AB365" s="46">
        <v>1958</v>
      </c>
      <c r="AC365" s="2">
        <v>2.39</v>
      </c>
    </row>
    <row r="366" spans="19:29">
      <c r="S366" s="3" t="s">
        <v>120</v>
      </c>
      <c r="T366" s="3" t="s">
        <v>120</v>
      </c>
      <c r="U366" s="3">
        <v>8.1</v>
      </c>
      <c r="AB366" s="46">
        <v>1959</v>
      </c>
      <c r="AC366" s="2">
        <v>2.4500000000000002</v>
      </c>
    </row>
    <row r="367" spans="19:29">
      <c r="S367" s="3" t="s">
        <v>121</v>
      </c>
      <c r="T367" s="3" t="s">
        <v>121</v>
      </c>
      <c r="U367" s="3">
        <v>7.5</v>
      </c>
      <c r="AB367" s="46">
        <v>1960</v>
      </c>
      <c r="AC367" s="2">
        <v>2.54</v>
      </c>
    </row>
    <row r="368" spans="19:29">
      <c r="S368" s="3" t="s">
        <v>122</v>
      </c>
      <c r="T368" s="3" t="s">
        <v>122</v>
      </c>
      <c r="U368" s="3">
        <v>8.4</v>
      </c>
      <c r="AB368" s="46">
        <v>1961</v>
      </c>
      <c r="AC368" s="2">
        <v>2.6</v>
      </c>
    </row>
    <row r="369" spans="19:29">
      <c r="S369" s="3" t="s">
        <v>123</v>
      </c>
      <c r="T369" s="3" t="s">
        <v>123</v>
      </c>
      <c r="U369" s="3">
        <v>8</v>
      </c>
      <c r="AB369" s="46">
        <v>1962</v>
      </c>
      <c r="AC369" s="2">
        <v>2.71</v>
      </c>
    </row>
    <row r="370" spans="19:29">
      <c r="S370" s="3" t="s">
        <v>124</v>
      </c>
      <c r="T370" s="3" t="s">
        <v>124</v>
      </c>
      <c r="U370" s="3">
        <v>8.5</v>
      </c>
      <c r="AB370" s="46">
        <v>1963</v>
      </c>
      <c r="AC370" s="2">
        <v>2.83</v>
      </c>
    </row>
    <row r="371" spans="19:29">
      <c r="S371" s="3" t="s">
        <v>125</v>
      </c>
      <c r="T371" s="3" t="s">
        <v>125</v>
      </c>
      <c r="U371" s="3">
        <v>9</v>
      </c>
      <c r="AB371" s="46">
        <v>1964</v>
      </c>
      <c r="AC371" s="2">
        <v>2.89</v>
      </c>
    </row>
    <row r="372" spans="19:29">
      <c r="S372" s="3" t="s">
        <v>126</v>
      </c>
      <c r="T372" s="3" t="s">
        <v>126</v>
      </c>
      <c r="U372" s="3">
        <v>9.6999999999999993</v>
      </c>
      <c r="AB372" s="46">
        <v>1965</v>
      </c>
      <c r="AC372" s="2">
        <v>3</v>
      </c>
    </row>
    <row r="373" spans="19:29">
      <c r="S373" s="3" t="s">
        <v>127</v>
      </c>
      <c r="T373" s="3" t="s">
        <v>127</v>
      </c>
      <c r="U373" s="3">
        <v>12.1</v>
      </c>
      <c r="AB373" s="46">
        <v>1966</v>
      </c>
      <c r="AC373" s="2">
        <v>3.14</v>
      </c>
    </row>
    <row r="374" spans="19:29">
      <c r="S374" s="101" t="s">
        <v>150</v>
      </c>
      <c r="T374" s="48">
        <f>1+T362</f>
        <v>1854</v>
      </c>
      <c r="U374" s="3">
        <v>12.2</v>
      </c>
      <c r="AB374" s="46">
        <v>1967</v>
      </c>
      <c r="AC374" s="2">
        <v>3.29</v>
      </c>
    </row>
    <row r="375" spans="19:29">
      <c r="S375" s="3" t="s">
        <v>117</v>
      </c>
      <c r="T375" s="3" t="s">
        <v>117</v>
      </c>
      <c r="U375" s="3">
        <v>10.9</v>
      </c>
      <c r="AB375" s="46">
        <v>1968</v>
      </c>
      <c r="AC375" s="2">
        <v>3.52</v>
      </c>
    </row>
    <row r="376" spans="19:29">
      <c r="S376" s="3" t="s">
        <v>118</v>
      </c>
      <c r="T376" s="3" t="s">
        <v>118</v>
      </c>
      <c r="U376" s="3">
        <v>14.6</v>
      </c>
      <c r="AB376" s="46">
        <v>1969</v>
      </c>
      <c r="AC376" s="2">
        <v>3.72</v>
      </c>
    </row>
    <row r="377" spans="19:29">
      <c r="S377" s="3" t="s">
        <v>119</v>
      </c>
      <c r="T377" s="3" t="s">
        <v>119</v>
      </c>
      <c r="U377" s="3">
        <v>11.5</v>
      </c>
      <c r="AB377" s="46">
        <v>1970</v>
      </c>
      <c r="AC377" s="2">
        <v>3.93</v>
      </c>
    </row>
    <row r="378" spans="19:29">
      <c r="S378" s="3" t="s">
        <v>120</v>
      </c>
      <c r="T378" s="3" t="s">
        <v>120</v>
      </c>
      <c r="U378" s="3">
        <v>10</v>
      </c>
      <c r="AB378" s="46">
        <v>1971</v>
      </c>
      <c r="AC378" s="2">
        <v>4.26</v>
      </c>
    </row>
    <row r="379" spans="19:29">
      <c r="S379" s="3" t="s">
        <v>121</v>
      </c>
      <c r="T379" s="3" t="s">
        <v>121</v>
      </c>
      <c r="U379" s="3">
        <v>10</v>
      </c>
      <c r="AB379" s="46">
        <v>1972</v>
      </c>
      <c r="AC379" s="2">
        <v>4.59</v>
      </c>
    </row>
    <row r="380" spans="19:29">
      <c r="S380" s="3" t="s">
        <v>122</v>
      </c>
      <c r="T380" s="3" t="s">
        <v>122</v>
      </c>
      <c r="U380" s="3">
        <v>9.1999999999999993</v>
      </c>
      <c r="AB380" s="46">
        <v>1973</v>
      </c>
      <c r="AC380" s="2">
        <v>4.95</v>
      </c>
    </row>
    <row r="381" spans="19:29">
      <c r="S381" s="3" t="s">
        <v>123</v>
      </c>
      <c r="T381" s="3" t="s">
        <v>123</v>
      </c>
      <c r="U381" s="3">
        <v>5.9</v>
      </c>
      <c r="AB381" s="46">
        <v>1974</v>
      </c>
      <c r="AC381" s="2">
        <v>5.44</v>
      </c>
    </row>
    <row r="382" spans="19:29">
      <c r="S382" s="3" t="s">
        <v>124</v>
      </c>
      <c r="T382" s="3" t="s">
        <v>124</v>
      </c>
      <c r="U382" s="3">
        <v>1.8</v>
      </c>
      <c r="AB382" s="46">
        <v>1975</v>
      </c>
      <c r="AC382" s="2">
        <v>6.02</v>
      </c>
    </row>
    <row r="383" spans="19:29">
      <c r="S383" s="3" t="s">
        <v>125</v>
      </c>
      <c r="T383" s="3" t="s">
        <v>125</v>
      </c>
      <c r="U383" s="3">
        <v>-2.2000000000000002</v>
      </c>
      <c r="AB383" s="46">
        <v>1976</v>
      </c>
      <c r="AC383" s="2">
        <v>6.53</v>
      </c>
    </row>
    <row r="384" spans="19:29">
      <c r="S384" s="3" t="s">
        <v>126</v>
      </c>
      <c r="T384" s="3" t="s">
        <v>126</v>
      </c>
      <c r="U384" s="3">
        <v>-2.2000000000000002</v>
      </c>
      <c r="AB384" s="46">
        <v>1977</v>
      </c>
      <c r="AC384" s="2">
        <v>7.15</v>
      </c>
    </row>
    <row r="385" spans="19:29">
      <c r="S385" s="3" t="s">
        <v>127</v>
      </c>
      <c r="T385" s="3" t="s">
        <v>127</v>
      </c>
      <c r="U385" s="3">
        <v>-3.8</v>
      </c>
      <c r="AB385" s="46">
        <v>1978</v>
      </c>
      <c r="AC385" s="2">
        <v>7.77</v>
      </c>
    </row>
    <row r="386" spans="19:29">
      <c r="S386" s="101" t="s">
        <v>151</v>
      </c>
      <c r="T386" s="48">
        <f>1+T374</f>
        <v>1855</v>
      </c>
      <c r="U386" s="3">
        <v>-3</v>
      </c>
      <c r="AB386" s="46">
        <v>1979</v>
      </c>
      <c r="AC386" s="2">
        <v>8.34</v>
      </c>
    </row>
    <row r="387" spans="19:29">
      <c r="S387" s="3" t="s">
        <v>117</v>
      </c>
      <c r="T387" s="3" t="s">
        <v>117</v>
      </c>
      <c r="U387" s="3">
        <v>-2</v>
      </c>
      <c r="AB387" s="46">
        <v>1980</v>
      </c>
      <c r="AC387" s="2">
        <v>9.1199999999999992</v>
      </c>
    </row>
    <row r="388" spans="19:29">
      <c r="S388" s="3" t="s">
        <v>118</v>
      </c>
      <c r="T388" s="3" t="s">
        <v>118</v>
      </c>
      <c r="U388" s="3">
        <v>-0.1</v>
      </c>
      <c r="AB388" s="46">
        <v>1981</v>
      </c>
      <c r="AC388" s="2">
        <v>10</v>
      </c>
    </row>
    <row r="389" spans="19:29">
      <c r="S389" s="3" t="s">
        <v>119</v>
      </c>
      <c r="T389" s="3" t="s">
        <v>119</v>
      </c>
      <c r="U389" s="3">
        <v>1.6</v>
      </c>
      <c r="AB389" s="46">
        <v>1982</v>
      </c>
      <c r="AC389" s="2">
        <v>10.8</v>
      </c>
    </row>
    <row r="390" spans="19:29">
      <c r="S390" s="3" t="s">
        <v>120</v>
      </c>
      <c r="T390" s="3" t="s">
        <v>120</v>
      </c>
      <c r="U390" s="3">
        <v>2.5</v>
      </c>
      <c r="AB390" s="46">
        <v>1983</v>
      </c>
      <c r="AC390" s="2">
        <v>11.22</v>
      </c>
    </row>
    <row r="391" spans="19:29">
      <c r="S391" s="3" t="s">
        <v>121</v>
      </c>
      <c r="T391" s="3" t="s">
        <v>121</v>
      </c>
      <c r="U391" s="3">
        <v>3.9</v>
      </c>
      <c r="AB391" s="46">
        <v>1984</v>
      </c>
      <c r="AC391" s="2">
        <v>11.78</v>
      </c>
    </row>
    <row r="392" spans="19:29">
      <c r="S392" s="3" t="s">
        <v>122</v>
      </c>
      <c r="T392" s="3" t="s">
        <v>122</v>
      </c>
      <c r="U392" s="3">
        <v>4.0999999999999996</v>
      </c>
      <c r="AB392" s="46">
        <v>1985</v>
      </c>
      <c r="AC392" s="2">
        <v>12.5</v>
      </c>
    </row>
    <row r="393" spans="19:29">
      <c r="S393" s="3" t="s">
        <v>123</v>
      </c>
      <c r="T393" s="3" t="s">
        <v>123</v>
      </c>
      <c r="U393" s="3">
        <v>3.6</v>
      </c>
      <c r="AB393" s="46">
        <v>1986</v>
      </c>
      <c r="AC393" s="2">
        <v>12.9</v>
      </c>
    </row>
    <row r="394" spans="19:29">
      <c r="S394" s="3" t="s">
        <v>124</v>
      </c>
      <c r="T394" s="3" t="s">
        <v>124</v>
      </c>
      <c r="U394" s="3">
        <v>3.9</v>
      </c>
      <c r="AB394" s="46">
        <v>1987</v>
      </c>
      <c r="AC394" s="2">
        <v>13.05</v>
      </c>
    </row>
    <row r="395" spans="19:29">
      <c r="S395" s="3" t="s">
        <v>125</v>
      </c>
      <c r="T395" s="3" t="s">
        <v>125</v>
      </c>
      <c r="U395" s="3">
        <v>5.2</v>
      </c>
      <c r="AB395" s="46">
        <v>1988</v>
      </c>
      <c r="AC395" s="2">
        <v>13.58</v>
      </c>
    </row>
    <row r="396" spans="19:29">
      <c r="S396" s="3" t="s">
        <v>126</v>
      </c>
      <c r="T396" s="3" t="s">
        <v>126</v>
      </c>
      <c r="U396" s="3">
        <v>2.7</v>
      </c>
      <c r="AB396" s="46">
        <v>1989</v>
      </c>
      <c r="AC396" s="2">
        <v>14</v>
      </c>
    </row>
    <row r="397" spans="19:29">
      <c r="S397" s="3" t="s">
        <v>127</v>
      </c>
      <c r="T397" s="3" t="s">
        <v>127</v>
      </c>
      <c r="U397" s="3">
        <v>3.9</v>
      </c>
      <c r="AB397" s="46">
        <v>1990</v>
      </c>
      <c r="AC397" s="2">
        <v>14.41</v>
      </c>
    </row>
    <row r="398" spans="19:29">
      <c r="S398" s="101" t="s">
        <v>152</v>
      </c>
      <c r="T398" s="48">
        <f>1+T386</f>
        <v>1856</v>
      </c>
      <c r="U398" s="3">
        <v>4.5999999999999996</v>
      </c>
      <c r="AB398" s="46">
        <v>1991</v>
      </c>
      <c r="AC398" s="2">
        <v>14.93</v>
      </c>
    </row>
    <row r="399" spans="19:29">
      <c r="S399" s="3" t="s">
        <v>117</v>
      </c>
      <c r="T399" s="3" t="s">
        <v>117</v>
      </c>
      <c r="U399" s="3">
        <v>5.5</v>
      </c>
      <c r="AB399" s="46">
        <v>1992</v>
      </c>
      <c r="AC399" s="2">
        <v>15.63</v>
      </c>
    </row>
    <row r="400" spans="19:29">
      <c r="S400" s="3" t="s">
        <v>118</v>
      </c>
      <c r="T400" s="3" t="s">
        <v>118</v>
      </c>
      <c r="U400" s="3">
        <v>6.7</v>
      </c>
      <c r="AB400" s="46">
        <v>1993</v>
      </c>
      <c r="AC400" s="2">
        <v>16.12</v>
      </c>
    </row>
    <row r="401" spans="19:29">
      <c r="S401" s="3" t="s">
        <v>119</v>
      </c>
      <c r="T401" s="3" t="s">
        <v>119</v>
      </c>
      <c r="U401" s="3">
        <v>9.3000000000000007</v>
      </c>
      <c r="AB401" s="46">
        <v>1994</v>
      </c>
      <c r="AC401" s="2">
        <v>16.559999999999999</v>
      </c>
    </row>
    <row r="402" spans="19:29">
      <c r="S402" s="3" t="s">
        <v>120</v>
      </c>
      <c r="T402" s="3" t="s">
        <v>120</v>
      </c>
      <c r="U402" s="3">
        <v>10.1</v>
      </c>
      <c r="AB402" s="46">
        <v>1995</v>
      </c>
      <c r="AC402" s="2">
        <v>16.66</v>
      </c>
    </row>
    <row r="403" spans="19:29">
      <c r="S403" s="3" t="s">
        <v>121</v>
      </c>
      <c r="T403" s="3" t="s">
        <v>121</v>
      </c>
      <c r="U403" s="3">
        <v>9.6</v>
      </c>
      <c r="AB403" s="46">
        <v>1996</v>
      </c>
      <c r="AC403" s="2">
        <v>16.84</v>
      </c>
    </row>
    <row r="404" spans="19:29">
      <c r="S404" s="3" t="s">
        <v>122</v>
      </c>
      <c r="T404" s="3" t="s">
        <v>122</v>
      </c>
      <c r="U404" s="3">
        <v>9.6999999999999993</v>
      </c>
      <c r="AB404" s="46">
        <v>1997</v>
      </c>
      <c r="AC404" s="2">
        <v>18.12</v>
      </c>
    </row>
    <row r="405" spans="19:29">
      <c r="S405" s="3" t="s">
        <v>123</v>
      </c>
      <c r="T405" s="3" t="s">
        <v>123</v>
      </c>
      <c r="U405" s="3">
        <v>9.4</v>
      </c>
      <c r="AB405" s="46">
        <v>1998</v>
      </c>
      <c r="AC405" s="2">
        <v>18.18</v>
      </c>
    </row>
    <row r="406" spans="19:29">
      <c r="S406" s="3" t="s">
        <v>124</v>
      </c>
      <c r="T406" s="3" t="s">
        <v>124</v>
      </c>
      <c r="U406" s="3">
        <v>9.1999999999999993</v>
      </c>
      <c r="AB406" s="46">
        <v>1999</v>
      </c>
      <c r="AC406" s="2">
        <v>18.75</v>
      </c>
    </row>
    <row r="407" spans="19:29">
      <c r="S407" s="3" t="s">
        <v>125</v>
      </c>
      <c r="T407" s="3" t="s">
        <v>125</v>
      </c>
      <c r="U407" s="3">
        <v>8</v>
      </c>
      <c r="AB407" s="46">
        <v>2000</v>
      </c>
      <c r="AC407" s="2">
        <v>19.36</v>
      </c>
    </row>
    <row r="408" spans="19:29">
      <c r="S408" s="3" t="s">
        <v>126</v>
      </c>
      <c r="T408" s="3" t="s">
        <v>126</v>
      </c>
      <c r="U408" s="3">
        <v>5.9</v>
      </c>
      <c r="AB408" s="46">
        <v>2001</v>
      </c>
      <c r="AC408" s="2">
        <v>19.36</v>
      </c>
    </row>
    <row r="409" spans="19:29">
      <c r="S409" s="3" t="s">
        <v>127</v>
      </c>
      <c r="T409" s="3" t="s">
        <v>127</v>
      </c>
      <c r="U409" s="3">
        <v>5.2</v>
      </c>
      <c r="AB409" s="46">
        <v>2002</v>
      </c>
      <c r="AC409" s="2">
        <v>21.02</v>
      </c>
    </row>
    <row r="410" spans="19:29">
      <c r="S410" s="101" t="s">
        <v>153</v>
      </c>
      <c r="T410" s="48">
        <f>1+T398</f>
        <v>1857</v>
      </c>
      <c r="U410" s="3">
        <v>5.9</v>
      </c>
      <c r="AB410" s="46">
        <v>2003</v>
      </c>
      <c r="AC410" s="2">
        <v>21.54</v>
      </c>
    </row>
    <row r="411" spans="19:29">
      <c r="S411" s="3" t="s">
        <v>117</v>
      </c>
      <c r="T411" s="3" t="s">
        <v>117</v>
      </c>
      <c r="U411" s="3">
        <v>6.8</v>
      </c>
      <c r="AB411" s="46">
        <v>2004</v>
      </c>
      <c r="AC411" s="2">
        <v>23.07</v>
      </c>
    </row>
    <row r="412" spans="19:29">
      <c r="S412" s="3" t="s">
        <v>118</v>
      </c>
      <c r="T412" s="3" t="s">
        <v>118</v>
      </c>
      <c r="U412" s="3">
        <v>5.8</v>
      </c>
      <c r="AB412" s="46">
        <v>2005</v>
      </c>
      <c r="AC412" s="2">
        <v>23.92</v>
      </c>
    </row>
    <row r="413" spans="19:29">
      <c r="S413" s="3" t="s">
        <v>119</v>
      </c>
      <c r="T413" s="3" t="s">
        <v>119</v>
      </c>
      <c r="U413" s="3">
        <v>4.5</v>
      </c>
      <c r="AB413" s="46">
        <v>2006</v>
      </c>
      <c r="AC413" s="2">
        <v>24.37</v>
      </c>
    </row>
    <row r="414" spans="19:29">
      <c r="S414" s="3" t="s">
        <v>120</v>
      </c>
      <c r="T414" s="3" t="s">
        <v>120</v>
      </c>
      <c r="U414" s="3">
        <v>4.4000000000000004</v>
      </c>
      <c r="AB414" s="46">
        <v>2007</v>
      </c>
      <c r="AC414" s="2">
        <v>25.07</v>
      </c>
    </row>
    <row r="415" spans="19:29">
      <c r="S415" s="3" t="s">
        <v>121</v>
      </c>
      <c r="T415" s="3" t="s">
        <v>121</v>
      </c>
      <c r="U415" s="3">
        <v>1.7</v>
      </c>
      <c r="AB415" s="46">
        <v>2008</v>
      </c>
      <c r="AC415" s="2">
        <v>25.87</v>
      </c>
    </row>
    <row r="416" spans="19:29">
      <c r="S416" s="3" t="s">
        <v>122</v>
      </c>
      <c r="T416" s="3" t="s">
        <v>122</v>
      </c>
      <c r="U416" s="3">
        <v>-0.3</v>
      </c>
      <c r="AB416" s="46">
        <v>2009</v>
      </c>
      <c r="AC416" s="2">
        <v>26.15</v>
      </c>
    </row>
    <row r="417" spans="19:29">
      <c r="S417" s="3" t="s">
        <v>123</v>
      </c>
      <c r="T417" s="3" t="s">
        <v>123</v>
      </c>
      <c r="U417" s="3">
        <v>0.5</v>
      </c>
      <c r="AB417" s="46">
        <v>2010</v>
      </c>
      <c r="AC417" s="2">
        <v>26.44</v>
      </c>
    </row>
    <row r="418" spans="19:29">
      <c r="S418" s="3" t="s">
        <v>124</v>
      </c>
      <c r="T418" s="3" t="s">
        <v>124</v>
      </c>
      <c r="U418" s="3">
        <v>-2.7</v>
      </c>
    </row>
    <row r="419" spans="19:29">
      <c r="S419" s="3" t="s">
        <v>125</v>
      </c>
      <c r="T419" s="3" t="s">
        <v>125</v>
      </c>
      <c r="U419" s="3">
        <v>-10.1</v>
      </c>
    </row>
    <row r="420" spans="19:29">
      <c r="S420" s="3" t="s">
        <v>126</v>
      </c>
      <c r="T420" s="3" t="s">
        <v>126</v>
      </c>
      <c r="U420" s="3">
        <v>-12</v>
      </c>
    </row>
    <row r="421" spans="19:29">
      <c r="S421" s="3" t="s">
        <v>127</v>
      </c>
      <c r="T421" s="3" t="s">
        <v>127</v>
      </c>
      <c r="U421" s="3">
        <v>-10.7</v>
      </c>
    </row>
    <row r="422" spans="19:29">
      <c r="S422" s="101" t="s">
        <v>154</v>
      </c>
      <c r="T422" s="48">
        <f>1+T410</f>
        <v>1858</v>
      </c>
      <c r="U422" s="3">
        <v>-13</v>
      </c>
    </row>
    <row r="423" spans="19:29">
      <c r="S423" s="3" t="s">
        <v>117</v>
      </c>
      <c r="T423" s="3" t="s">
        <v>117</v>
      </c>
      <c r="U423" s="3">
        <v>-11.7</v>
      </c>
    </row>
    <row r="424" spans="19:29">
      <c r="S424" s="3" t="s">
        <v>118</v>
      </c>
      <c r="T424" s="3" t="s">
        <v>118</v>
      </c>
      <c r="U424" s="3">
        <v>-6.6</v>
      </c>
    </row>
    <row r="425" spans="19:29">
      <c r="S425" s="3" t="s">
        <v>119</v>
      </c>
      <c r="T425" s="3" t="s">
        <v>119</v>
      </c>
      <c r="U425" s="3">
        <v>-9.3000000000000007</v>
      </c>
    </row>
    <row r="426" spans="19:29">
      <c r="S426" s="3" t="s">
        <v>120</v>
      </c>
      <c r="T426" s="3" t="s">
        <v>120</v>
      </c>
      <c r="U426" s="3">
        <v>-8</v>
      </c>
    </row>
    <row r="427" spans="19:29">
      <c r="S427" s="3" t="s">
        <v>121</v>
      </c>
      <c r="T427" s="3" t="s">
        <v>121</v>
      </c>
      <c r="U427" s="3">
        <v>-9.4</v>
      </c>
    </row>
    <row r="428" spans="19:29">
      <c r="S428" s="3" t="s">
        <v>122</v>
      </c>
      <c r="T428" s="3" t="s">
        <v>122</v>
      </c>
      <c r="U428" s="3">
        <v>-10</v>
      </c>
    </row>
    <row r="429" spans="19:29">
      <c r="S429" s="3" t="s">
        <v>123</v>
      </c>
      <c r="T429" s="3" t="s">
        <v>123</v>
      </c>
      <c r="U429" s="3">
        <v>-7.5</v>
      </c>
    </row>
    <row r="430" spans="19:29">
      <c r="S430" s="3" t="s">
        <v>124</v>
      </c>
      <c r="T430" s="3" t="s">
        <v>124</v>
      </c>
      <c r="U430" s="3">
        <v>-6.7</v>
      </c>
    </row>
    <row r="431" spans="19:29">
      <c r="S431" s="3" t="s">
        <v>125</v>
      </c>
      <c r="T431" s="3" t="s">
        <v>125</v>
      </c>
      <c r="U431" s="3">
        <v>-5.7</v>
      </c>
    </row>
    <row r="432" spans="19:29">
      <c r="S432" s="3" t="s">
        <v>126</v>
      </c>
      <c r="T432" s="3" t="s">
        <v>126</v>
      </c>
      <c r="U432" s="3">
        <v>-5.5</v>
      </c>
    </row>
    <row r="433" spans="19:21">
      <c r="S433" s="3" t="s">
        <v>127</v>
      </c>
      <c r="T433" s="3" t="s">
        <v>127</v>
      </c>
      <c r="U433" s="3">
        <v>-3.7</v>
      </c>
    </row>
    <row r="434" spans="19:21">
      <c r="S434" s="101" t="s">
        <v>155</v>
      </c>
      <c r="T434" s="48">
        <f>1+T422</f>
        <v>1859</v>
      </c>
      <c r="U434" s="3">
        <v>-1.8</v>
      </c>
    </row>
    <row r="435" spans="19:21">
      <c r="S435" s="3" t="s">
        <v>117</v>
      </c>
      <c r="T435" s="3" t="s">
        <v>117</v>
      </c>
      <c r="U435" s="3">
        <v>-0.7</v>
      </c>
    </row>
    <row r="436" spans="19:21">
      <c r="S436" s="3" t="s">
        <v>118</v>
      </c>
      <c r="T436" s="3" t="s">
        <v>118</v>
      </c>
      <c r="U436" s="3">
        <v>0.3</v>
      </c>
    </row>
    <row r="437" spans="19:21">
      <c r="S437" s="3" t="s">
        <v>119</v>
      </c>
      <c r="T437" s="3" t="s">
        <v>119</v>
      </c>
      <c r="U437" s="3">
        <v>1.6</v>
      </c>
    </row>
    <row r="438" spans="19:21">
      <c r="S438" s="3" t="s">
        <v>120</v>
      </c>
      <c r="T438" s="3" t="s">
        <v>120</v>
      </c>
      <c r="U438" s="3">
        <v>1.4</v>
      </c>
    </row>
    <row r="439" spans="19:21">
      <c r="S439" s="3" t="s">
        <v>121</v>
      </c>
      <c r="T439" s="3" t="s">
        <v>121</v>
      </c>
      <c r="U439" s="3">
        <v>0.5</v>
      </c>
    </row>
    <row r="440" spans="19:21">
      <c r="S440" s="3" t="s">
        <v>122</v>
      </c>
      <c r="T440" s="3" t="s">
        <v>122</v>
      </c>
      <c r="U440" s="3">
        <v>0.8</v>
      </c>
    </row>
    <row r="441" spans="19:21">
      <c r="S441" s="3" t="s">
        <v>123</v>
      </c>
      <c r="T441" s="3" t="s">
        <v>123</v>
      </c>
      <c r="U441" s="3">
        <v>0.3</v>
      </c>
    </row>
    <row r="442" spans="19:21">
      <c r="S442" s="3" t="s">
        <v>124</v>
      </c>
      <c r="T442" s="3" t="s">
        <v>124</v>
      </c>
      <c r="U442" s="3">
        <v>0.5</v>
      </c>
    </row>
    <row r="443" spans="19:21">
      <c r="S443" s="3" t="s">
        <v>125</v>
      </c>
      <c r="T443" s="3" t="s">
        <v>125</v>
      </c>
      <c r="U443" s="3">
        <v>-0.8</v>
      </c>
    </row>
    <row r="444" spans="19:21">
      <c r="S444" s="3" t="s">
        <v>126</v>
      </c>
      <c r="T444" s="3" t="s">
        <v>126</v>
      </c>
      <c r="U444" s="3">
        <v>-0.6</v>
      </c>
    </row>
    <row r="445" spans="19:21">
      <c r="S445" s="3" t="s">
        <v>127</v>
      </c>
      <c r="T445" s="3" t="s">
        <v>127</v>
      </c>
      <c r="U445" s="3">
        <v>-0.3</v>
      </c>
    </row>
    <row r="446" spans="19:21">
      <c r="S446" s="101" t="s">
        <v>156</v>
      </c>
      <c r="T446" s="48">
        <f>1+T434</f>
        <v>1860</v>
      </c>
      <c r="U446" s="3">
        <v>-0.7</v>
      </c>
    </row>
    <row r="447" spans="19:21">
      <c r="S447" s="3" t="s">
        <v>117</v>
      </c>
      <c r="T447" s="3" t="s">
        <v>117</v>
      </c>
      <c r="U447" s="3">
        <v>-0.1</v>
      </c>
    </row>
    <row r="448" spans="19:21">
      <c r="S448" s="3" t="s">
        <v>118</v>
      </c>
      <c r="T448" s="3" t="s">
        <v>118</v>
      </c>
      <c r="U448" s="3">
        <v>0.4</v>
      </c>
    </row>
    <row r="449" spans="19:21">
      <c r="S449" s="3" t="s">
        <v>119</v>
      </c>
      <c r="T449" s="3" t="s">
        <v>119</v>
      </c>
      <c r="U449" s="3">
        <v>1</v>
      </c>
    </row>
    <row r="450" spans="19:21">
      <c r="S450" s="3" t="s">
        <v>120</v>
      </c>
      <c r="T450" s="3" t="s">
        <v>120</v>
      </c>
      <c r="U450" s="3">
        <v>1.6</v>
      </c>
    </row>
    <row r="451" spans="19:21">
      <c r="S451" s="3" t="s">
        <v>121</v>
      </c>
      <c r="T451" s="3" t="s">
        <v>121</v>
      </c>
      <c r="U451" s="3">
        <v>2.2000000000000002</v>
      </c>
    </row>
    <row r="452" spans="19:21">
      <c r="S452" s="3" t="s">
        <v>122</v>
      </c>
      <c r="T452" s="3" t="s">
        <v>122</v>
      </c>
      <c r="U452" s="3">
        <v>3.3</v>
      </c>
    </row>
    <row r="453" spans="19:21">
      <c r="S453" s="3" t="s">
        <v>123</v>
      </c>
      <c r="T453" s="3" t="s">
        <v>123</v>
      </c>
      <c r="U453" s="3">
        <v>4.5999999999999996</v>
      </c>
    </row>
    <row r="454" spans="19:21">
      <c r="S454" s="3" t="s">
        <v>124</v>
      </c>
      <c r="T454" s="3" t="s">
        <v>124</v>
      </c>
      <c r="U454" s="3">
        <v>4.7</v>
      </c>
    </row>
    <row r="455" spans="19:21">
      <c r="S455" s="3" t="s">
        <v>125</v>
      </c>
      <c r="T455" s="3" t="s">
        <v>125</v>
      </c>
      <c r="U455" s="3">
        <v>2.6</v>
      </c>
    </row>
    <row r="456" spans="19:21">
      <c r="S456" s="3" t="s">
        <v>126</v>
      </c>
      <c r="T456" s="3" t="s">
        <v>126</v>
      </c>
      <c r="U456" s="3">
        <v>-0.4</v>
      </c>
    </row>
    <row r="457" spans="19:21">
      <c r="S457" s="3" t="s">
        <v>127</v>
      </c>
      <c r="T457" s="3" t="s">
        <v>127</v>
      </c>
      <c r="U457" s="3">
        <v>-3.8</v>
      </c>
    </row>
    <row r="458" spans="19:21">
      <c r="S458" s="101" t="s">
        <v>157</v>
      </c>
      <c r="T458" s="48">
        <f>1+T446</f>
        <v>1861</v>
      </c>
      <c r="U458" s="3">
        <v>-3.6</v>
      </c>
    </row>
    <row r="459" spans="19:21">
      <c r="S459" s="3" t="s">
        <v>117</v>
      </c>
      <c r="T459" s="3" t="s">
        <v>117</v>
      </c>
      <c r="U459" s="3">
        <v>-3.5</v>
      </c>
    </row>
    <row r="460" spans="19:21">
      <c r="S460" s="3" t="s">
        <v>118</v>
      </c>
      <c r="T460" s="3" t="s">
        <v>118</v>
      </c>
      <c r="U460" s="3">
        <v>-2.2999999999999998</v>
      </c>
    </row>
    <row r="461" spans="19:21">
      <c r="S461" s="3" t="s">
        <v>119</v>
      </c>
      <c r="T461" s="3" t="s">
        <v>119</v>
      </c>
      <c r="U461" s="3">
        <v>-5.5</v>
      </c>
    </row>
    <row r="462" spans="19:21">
      <c r="S462" s="3" t="s">
        <v>120</v>
      </c>
      <c r="T462" s="3" t="s">
        <v>120</v>
      </c>
      <c r="U462" s="3">
        <v>-7.6</v>
      </c>
    </row>
    <row r="463" spans="19:21">
      <c r="S463" s="3" t="s">
        <v>121</v>
      </c>
      <c r="T463" s="3" t="s">
        <v>121</v>
      </c>
      <c r="U463" s="3">
        <v>-9.8000000000000007</v>
      </c>
    </row>
    <row r="464" spans="19:21">
      <c r="S464" s="3" t="s">
        <v>122</v>
      </c>
      <c r="T464" s="3" t="s">
        <v>122</v>
      </c>
      <c r="U464" s="3">
        <v>-9.8000000000000007</v>
      </c>
    </row>
    <row r="465" spans="19:21">
      <c r="S465" s="3" t="s">
        <v>123</v>
      </c>
      <c r="T465" s="3" t="s">
        <v>123</v>
      </c>
      <c r="U465" s="3">
        <v>-9.6999999999999993</v>
      </c>
    </row>
    <row r="466" spans="19:21">
      <c r="S466" s="3" t="s">
        <v>124</v>
      </c>
      <c r="T466" s="3" t="s">
        <v>124</v>
      </c>
      <c r="U466" s="3">
        <v>-9.6</v>
      </c>
    </row>
    <row r="467" spans="19:21">
      <c r="S467" s="3" t="s">
        <v>125</v>
      </c>
      <c r="T467" s="3" t="s">
        <v>125</v>
      </c>
      <c r="U467" s="3">
        <v>-8.4</v>
      </c>
    </row>
    <row r="468" spans="19:21">
      <c r="S468" s="3" t="s">
        <v>126</v>
      </c>
      <c r="T468" s="3" t="s">
        <v>126</v>
      </c>
      <c r="U468" s="3">
        <v>-8.4</v>
      </c>
    </row>
    <row r="469" spans="19:21">
      <c r="S469" s="3" t="s">
        <v>127</v>
      </c>
      <c r="T469" s="3" t="s">
        <v>127</v>
      </c>
      <c r="U469" s="3">
        <v>-8.3000000000000007</v>
      </c>
    </row>
    <row r="470" spans="19:21">
      <c r="S470" s="101" t="s">
        <v>158</v>
      </c>
      <c r="T470" s="48">
        <f>1+T458</f>
        <v>1862</v>
      </c>
      <c r="U470" s="3">
        <v>-7.3</v>
      </c>
    </row>
    <row r="471" spans="19:21">
      <c r="S471" s="3" t="s">
        <v>117</v>
      </c>
      <c r="T471" s="3" t="s">
        <v>117</v>
      </c>
      <c r="U471" s="3">
        <v>-7.3</v>
      </c>
    </row>
    <row r="472" spans="19:21">
      <c r="S472" s="3" t="s">
        <v>118</v>
      </c>
      <c r="T472" s="3" t="s">
        <v>118</v>
      </c>
      <c r="U472" s="3">
        <v>-6.1</v>
      </c>
    </row>
    <row r="473" spans="19:21">
      <c r="S473" s="3" t="s">
        <v>119</v>
      </c>
      <c r="T473" s="3" t="s">
        <v>119</v>
      </c>
      <c r="U473" s="3">
        <v>-5</v>
      </c>
    </row>
    <row r="474" spans="19:21">
      <c r="S474" s="3" t="s">
        <v>120</v>
      </c>
      <c r="T474" s="3" t="s">
        <v>120</v>
      </c>
      <c r="U474" s="3">
        <v>-2.7</v>
      </c>
    </row>
    <row r="475" spans="19:21">
      <c r="S475" s="3" t="s">
        <v>121</v>
      </c>
      <c r="T475" s="3" t="s">
        <v>121</v>
      </c>
      <c r="U475" s="3">
        <v>-0.5</v>
      </c>
    </row>
    <row r="476" spans="19:21">
      <c r="S476" s="3" t="s">
        <v>122</v>
      </c>
      <c r="T476" s="3" t="s">
        <v>122</v>
      </c>
      <c r="U476" s="3">
        <v>-0.7</v>
      </c>
    </row>
    <row r="477" spans="19:21">
      <c r="S477" s="3" t="s">
        <v>123</v>
      </c>
      <c r="T477" s="3" t="s">
        <v>123</v>
      </c>
      <c r="U477" s="3">
        <v>-1.7</v>
      </c>
    </row>
    <row r="478" spans="19:21">
      <c r="S478" s="3" t="s">
        <v>124</v>
      </c>
      <c r="T478" s="3" t="s">
        <v>124</v>
      </c>
      <c r="U478" s="3">
        <v>-0.7</v>
      </c>
    </row>
    <row r="479" spans="19:21">
      <c r="S479" s="3" t="s">
        <v>125</v>
      </c>
      <c r="T479" s="3" t="s">
        <v>125</v>
      </c>
      <c r="U479" s="3">
        <v>0.3</v>
      </c>
    </row>
    <row r="480" spans="19:21">
      <c r="S480" s="3" t="s">
        <v>126</v>
      </c>
      <c r="T480" s="3" t="s">
        <v>126</v>
      </c>
      <c r="U480" s="3">
        <v>0.1</v>
      </c>
    </row>
    <row r="481" spans="19:21">
      <c r="S481" s="3" t="s">
        <v>127</v>
      </c>
      <c r="T481" s="3" t="s">
        <v>127</v>
      </c>
      <c r="U481" s="3">
        <v>0</v>
      </c>
    </row>
    <row r="482" spans="19:21">
      <c r="S482" s="101" t="s">
        <v>159</v>
      </c>
      <c r="T482" s="48">
        <f>1+T470</f>
        <v>1863</v>
      </c>
      <c r="U482" s="3">
        <v>-0.3</v>
      </c>
    </row>
    <row r="483" spans="19:21">
      <c r="S483" s="3" t="s">
        <v>117</v>
      </c>
      <c r="T483" s="3" t="s">
        <v>117</v>
      </c>
      <c r="U483" s="3">
        <v>1.3</v>
      </c>
    </row>
    <row r="484" spans="19:21">
      <c r="S484" s="3" t="s">
        <v>118</v>
      </c>
      <c r="T484" s="3" t="s">
        <v>118</v>
      </c>
      <c r="U484" s="3">
        <v>0.9</v>
      </c>
    </row>
    <row r="485" spans="19:21">
      <c r="S485" s="3" t="s">
        <v>119</v>
      </c>
      <c r="T485" s="3" t="s">
        <v>119</v>
      </c>
      <c r="U485" s="3">
        <v>0.7</v>
      </c>
    </row>
    <row r="486" spans="19:21">
      <c r="S486" s="3" t="s">
        <v>120</v>
      </c>
      <c r="T486" s="3" t="s">
        <v>120</v>
      </c>
      <c r="U486" s="3">
        <v>1.2</v>
      </c>
    </row>
    <row r="487" spans="19:21">
      <c r="S487" s="3" t="s">
        <v>121</v>
      </c>
      <c r="T487" s="3" t="s">
        <v>121</v>
      </c>
      <c r="U487" s="3">
        <v>1.6</v>
      </c>
    </row>
    <row r="488" spans="19:21">
      <c r="S488" s="3" t="s">
        <v>122</v>
      </c>
      <c r="T488" s="3" t="s">
        <v>122</v>
      </c>
      <c r="U488" s="3">
        <v>2.2999999999999998</v>
      </c>
    </row>
    <row r="489" spans="19:21">
      <c r="S489" s="3" t="s">
        <v>123</v>
      </c>
      <c r="T489" s="3" t="s">
        <v>123</v>
      </c>
      <c r="U489" s="3">
        <v>3.9</v>
      </c>
    </row>
    <row r="490" spans="19:21">
      <c r="S490" s="3" t="s">
        <v>124</v>
      </c>
      <c r="T490" s="3" t="s">
        <v>124</v>
      </c>
      <c r="U490" s="3">
        <v>4.4000000000000004</v>
      </c>
    </row>
    <row r="491" spans="19:21">
      <c r="S491" s="3" t="s">
        <v>125</v>
      </c>
      <c r="T491" s="3" t="s">
        <v>125</v>
      </c>
      <c r="U491" s="3">
        <v>4</v>
      </c>
    </row>
    <row r="492" spans="19:21">
      <c r="S492" s="3" t="s">
        <v>126</v>
      </c>
      <c r="T492" s="3" t="s">
        <v>126</v>
      </c>
      <c r="U492" s="3">
        <v>3.1</v>
      </c>
    </row>
    <row r="493" spans="19:21">
      <c r="S493" s="3" t="s">
        <v>127</v>
      </c>
      <c r="T493" s="3" t="s">
        <v>127</v>
      </c>
      <c r="U493" s="3">
        <v>1</v>
      </c>
    </row>
    <row r="494" spans="19:21">
      <c r="S494" s="101" t="s">
        <v>160</v>
      </c>
      <c r="T494" s="48">
        <f>1+T482</f>
        <v>1864</v>
      </c>
      <c r="U494" s="3">
        <v>3.1</v>
      </c>
    </row>
    <row r="495" spans="19:21">
      <c r="S495" s="3" t="s">
        <v>117</v>
      </c>
      <c r="T495" s="3" t="s">
        <v>117</v>
      </c>
      <c r="U495" s="3">
        <v>6.8</v>
      </c>
    </row>
    <row r="496" spans="19:21">
      <c r="S496" s="3" t="s">
        <v>118</v>
      </c>
      <c r="T496" s="3" t="s">
        <v>118</v>
      </c>
      <c r="U496" s="3">
        <v>8.3000000000000007</v>
      </c>
    </row>
    <row r="497" spans="19:21">
      <c r="S497" s="3" t="s">
        <v>119</v>
      </c>
      <c r="T497" s="3" t="s">
        <v>119</v>
      </c>
      <c r="U497" s="3">
        <v>9.8000000000000007</v>
      </c>
    </row>
    <row r="498" spans="19:21">
      <c r="S498" s="3" t="s">
        <v>120</v>
      </c>
      <c r="T498" s="3" t="s">
        <v>120</v>
      </c>
      <c r="U498" s="3">
        <v>9.6</v>
      </c>
    </row>
    <row r="499" spans="19:21">
      <c r="S499" s="3" t="s">
        <v>121</v>
      </c>
      <c r="T499" s="3" t="s">
        <v>121</v>
      </c>
      <c r="U499" s="3">
        <v>5.9</v>
      </c>
    </row>
    <row r="500" spans="19:21">
      <c r="S500" s="3" t="s">
        <v>122</v>
      </c>
      <c r="T500" s="3" t="s">
        <v>122</v>
      </c>
      <c r="U500" s="3">
        <v>4.0999999999999996</v>
      </c>
    </row>
    <row r="501" spans="19:21">
      <c r="S501" s="3" t="s">
        <v>123</v>
      </c>
      <c r="T501" s="3" t="s">
        <v>123</v>
      </c>
      <c r="U501" s="3">
        <v>2.2999999999999998</v>
      </c>
    </row>
    <row r="502" spans="19:21">
      <c r="S502" s="3" t="s">
        <v>124</v>
      </c>
      <c r="T502" s="3" t="s">
        <v>124</v>
      </c>
      <c r="U502" s="3">
        <v>2.8</v>
      </c>
    </row>
    <row r="503" spans="19:21">
      <c r="S503" s="3" t="s">
        <v>125</v>
      </c>
      <c r="T503" s="3" t="s">
        <v>125</v>
      </c>
      <c r="U503" s="3">
        <v>2.6</v>
      </c>
    </row>
    <row r="504" spans="19:21">
      <c r="S504" s="3" t="s">
        <v>126</v>
      </c>
      <c r="T504" s="3" t="s">
        <v>126</v>
      </c>
      <c r="U504" s="3">
        <v>2.8</v>
      </c>
    </row>
    <row r="505" spans="19:21">
      <c r="S505" s="3" t="s">
        <v>127</v>
      </c>
      <c r="T505" s="3" t="s">
        <v>127</v>
      </c>
      <c r="U505" s="3">
        <v>3.4</v>
      </c>
    </row>
    <row r="506" spans="19:21">
      <c r="S506" s="101" t="s">
        <v>161</v>
      </c>
      <c r="T506" s="48">
        <f>1+T494</f>
        <v>1865</v>
      </c>
      <c r="U506" s="3">
        <v>3</v>
      </c>
    </row>
    <row r="507" spans="19:21">
      <c r="S507" s="3" t="s">
        <v>117</v>
      </c>
      <c r="T507" s="3" t="s">
        <v>117</v>
      </c>
      <c r="U507" s="3">
        <v>4</v>
      </c>
    </row>
    <row r="508" spans="19:21">
      <c r="S508" s="3" t="s">
        <v>118</v>
      </c>
      <c r="T508" s="3" t="s">
        <v>118</v>
      </c>
      <c r="U508" s="3">
        <v>4</v>
      </c>
    </row>
    <row r="509" spans="19:21">
      <c r="S509" s="3" t="s">
        <v>119</v>
      </c>
      <c r="T509" s="3" t="s">
        <v>119</v>
      </c>
      <c r="U509" s="3">
        <v>2.5</v>
      </c>
    </row>
    <row r="510" spans="19:21">
      <c r="S510" s="3" t="s">
        <v>120</v>
      </c>
      <c r="T510" s="3" t="s">
        <v>120</v>
      </c>
      <c r="U510" s="3">
        <v>-5.0999999999999996</v>
      </c>
    </row>
    <row r="511" spans="19:21">
      <c r="S511" s="3" t="s">
        <v>121</v>
      </c>
      <c r="T511" s="3" t="s">
        <v>121</v>
      </c>
      <c r="U511" s="3">
        <v>-9.8000000000000007</v>
      </c>
    </row>
    <row r="512" spans="19:21">
      <c r="S512" s="3" t="s">
        <v>122</v>
      </c>
      <c r="T512" s="3" t="s">
        <v>122</v>
      </c>
      <c r="U512" s="3">
        <v>-13</v>
      </c>
    </row>
    <row r="513" spans="19:21">
      <c r="S513" s="3" t="s">
        <v>123</v>
      </c>
      <c r="T513" s="3" t="s">
        <v>123</v>
      </c>
      <c r="U513" s="3">
        <v>-13.5</v>
      </c>
    </row>
    <row r="514" spans="19:21">
      <c r="S514" s="3" t="s">
        <v>124</v>
      </c>
      <c r="T514" s="3" t="s">
        <v>124</v>
      </c>
      <c r="U514" s="3">
        <v>-14</v>
      </c>
    </row>
    <row r="515" spans="19:21">
      <c r="S515" s="3" t="s">
        <v>125</v>
      </c>
      <c r="T515" s="3" t="s">
        <v>125</v>
      </c>
      <c r="U515" s="3">
        <v>-13</v>
      </c>
    </row>
    <row r="516" spans="19:21">
      <c r="S516" s="3" t="s">
        <v>126</v>
      </c>
      <c r="T516" s="3" t="s">
        <v>126</v>
      </c>
      <c r="U516" s="3">
        <v>-14</v>
      </c>
    </row>
    <row r="517" spans="19:21">
      <c r="S517" s="3" t="s">
        <v>127</v>
      </c>
      <c r="T517" s="3" t="s">
        <v>127</v>
      </c>
      <c r="U517" s="3">
        <v>-13.8</v>
      </c>
    </row>
    <row r="518" spans="19:21">
      <c r="S518" s="101" t="s">
        <v>162</v>
      </c>
      <c r="T518" s="48">
        <f>1+T506</f>
        <v>1866</v>
      </c>
      <c r="U518" s="3">
        <v>-10.8</v>
      </c>
    </row>
    <row r="519" spans="19:21">
      <c r="S519" s="3" t="s">
        <v>117</v>
      </c>
      <c r="T519" s="3" t="s">
        <v>117</v>
      </c>
      <c r="U519" s="3">
        <v>-8.3000000000000007</v>
      </c>
    </row>
    <row r="520" spans="19:21">
      <c r="S520" s="3" t="s">
        <v>118</v>
      </c>
      <c r="T520" s="3" t="s">
        <v>118</v>
      </c>
      <c r="U520" s="3">
        <v>-5.2</v>
      </c>
    </row>
    <row r="521" spans="19:21">
      <c r="S521" s="3" t="s">
        <v>119</v>
      </c>
      <c r="T521" s="3" t="s">
        <v>119</v>
      </c>
      <c r="U521" s="3">
        <v>0.4</v>
      </c>
    </row>
    <row r="522" spans="19:21">
      <c r="S522" s="3" t="s">
        <v>120</v>
      </c>
      <c r="T522" s="3" t="s">
        <v>120</v>
      </c>
      <c r="U522" s="3">
        <v>5.2</v>
      </c>
    </row>
    <row r="523" spans="19:21">
      <c r="S523" s="3" t="s">
        <v>121</v>
      </c>
      <c r="T523" s="3" t="s">
        <v>121</v>
      </c>
      <c r="U523" s="3">
        <v>6.9</v>
      </c>
    </row>
    <row r="524" spans="19:21">
      <c r="S524" s="3" t="s">
        <v>122</v>
      </c>
      <c r="T524" s="3" t="s">
        <v>122</v>
      </c>
      <c r="U524" s="3">
        <v>8.1</v>
      </c>
    </row>
    <row r="525" spans="19:21">
      <c r="S525" s="3" t="s">
        <v>123</v>
      </c>
      <c r="T525" s="3" t="s">
        <v>123</v>
      </c>
      <c r="U525" s="3">
        <v>9.1999999999999993</v>
      </c>
    </row>
    <row r="526" spans="19:21">
      <c r="S526" s="3" t="s">
        <v>124</v>
      </c>
      <c r="T526" s="3" t="s">
        <v>124</v>
      </c>
      <c r="U526" s="3">
        <v>8.6</v>
      </c>
    </row>
    <row r="527" spans="19:21">
      <c r="S527" s="3" t="s">
        <v>125</v>
      </c>
      <c r="T527" s="3" t="s">
        <v>125</v>
      </c>
      <c r="U527" s="3">
        <v>9.5</v>
      </c>
    </row>
    <row r="528" spans="19:21">
      <c r="S528" s="3" t="s">
        <v>126</v>
      </c>
      <c r="T528" s="3" t="s">
        <v>126</v>
      </c>
      <c r="U528" s="3">
        <v>4.2</v>
      </c>
    </row>
    <row r="529" spans="19:21">
      <c r="S529" s="3" t="s">
        <v>127</v>
      </c>
      <c r="T529" s="3" t="s">
        <v>127</v>
      </c>
      <c r="U529" s="3">
        <v>1.6</v>
      </c>
    </row>
    <row r="530" spans="19:21">
      <c r="S530" s="101" t="s">
        <v>163</v>
      </c>
      <c r="T530" s="48">
        <f>1+T518</f>
        <v>1867</v>
      </c>
      <c r="U530" s="3">
        <v>0</v>
      </c>
    </row>
    <row r="531" spans="19:21">
      <c r="S531" s="3" t="s">
        <v>117</v>
      </c>
      <c r="T531" s="3" t="s">
        <v>117</v>
      </c>
      <c r="U531" s="3">
        <v>-3</v>
      </c>
    </row>
    <row r="532" spans="19:21">
      <c r="S532" s="3" t="s">
        <v>118</v>
      </c>
      <c r="T532" s="3" t="s">
        <v>118</v>
      </c>
      <c r="U532" s="3">
        <v>-2.8</v>
      </c>
    </row>
    <row r="533" spans="19:21">
      <c r="S533" s="3" t="s">
        <v>119</v>
      </c>
      <c r="T533" s="3" t="s">
        <v>119</v>
      </c>
      <c r="U533" s="3">
        <v>-2.4</v>
      </c>
    </row>
    <row r="534" spans="19:21">
      <c r="S534" s="3" t="s">
        <v>120</v>
      </c>
      <c r="T534" s="3" t="s">
        <v>120</v>
      </c>
      <c r="U534" s="3">
        <v>-1.2</v>
      </c>
    </row>
    <row r="535" spans="19:21">
      <c r="S535" s="3" t="s">
        <v>121</v>
      </c>
      <c r="T535" s="3" t="s">
        <v>121</v>
      </c>
      <c r="U535" s="3">
        <v>-0.4</v>
      </c>
    </row>
    <row r="536" spans="19:21">
      <c r="S536" s="3" t="s">
        <v>122</v>
      </c>
      <c r="T536" s="3" t="s">
        <v>122</v>
      </c>
      <c r="U536" s="3">
        <v>0.3</v>
      </c>
    </row>
    <row r="537" spans="19:21">
      <c r="S537" s="3" t="s">
        <v>123</v>
      </c>
      <c r="T537" s="3" t="s">
        <v>123</v>
      </c>
      <c r="U537" s="3">
        <v>1.9</v>
      </c>
    </row>
    <row r="538" spans="19:21">
      <c r="S538" s="3" t="s">
        <v>124</v>
      </c>
      <c r="T538" s="3" t="s">
        <v>124</v>
      </c>
      <c r="U538" s="3">
        <v>2.1</v>
      </c>
    </row>
    <row r="539" spans="19:21">
      <c r="S539" s="3" t="s">
        <v>125</v>
      </c>
      <c r="T539" s="3" t="s">
        <v>125</v>
      </c>
      <c r="U539" s="3">
        <v>-0.2</v>
      </c>
    </row>
    <row r="540" spans="19:21">
      <c r="S540" s="3" t="s">
        <v>126</v>
      </c>
      <c r="T540" s="3" t="s">
        <v>126</v>
      </c>
      <c r="U540" s="3">
        <v>-1.5</v>
      </c>
    </row>
    <row r="541" spans="19:21">
      <c r="S541" s="3" t="s">
        <v>127</v>
      </c>
      <c r="T541" s="3" t="s">
        <v>127</v>
      </c>
      <c r="U541" s="3">
        <v>-2</v>
      </c>
    </row>
    <row r="542" spans="19:21">
      <c r="S542" s="101" t="s">
        <v>164</v>
      </c>
      <c r="T542" s="48">
        <f>1+T530</f>
        <v>1868</v>
      </c>
      <c r="U542" s="3">
        <v>-3.2</v>
      </c>
    </row>
    <row r="543" spans="19:21">
      <c r="S543" s="3" t="s">
        <v>117</v>
      </c>
      <c r="T543" s="3" t="s">
        <v>117</v>
      </c>
      <c r="U543" s="3">
        <v>-2.7</v>
      </c>
    </row>
    <row r="544" spans="19:21">
      <c r="S544" s="3" t="s">
        <v>118</v>
      </c>
      <c r="T544" s="3" t="s">
        <v>118</v>
      </c>
      <c r="U544" s="3">
        <v>-2.2000000000000002</v>
      </c>
    </row>
    <row r="545" spans="19:21">
      <c r="S545" s="3" t="s">
        <v>119</v>
      </c>
      <c r="T545" s="3" t="s">
        <v>119</v>
      </c>
      <c r="U545" s="3">
        <v>-0.5</v>
      </c>
    </row>
    <row r="546" spans="19:21">
      <c r="S546" s="3" t="s">
        <v>120</v>
      </c>
      <c r="T546" s="3" t="s">
        <v>120</v>
      </c>
      <c r="U546" s="3">
        <v>0.1</v>
      </c>
    </row>
    <row r="547" spans="19:21">
      <c r="S547" s="3" t="s">
        <v>121</v>
      </c>
      <c r="T547" s="3" t="s">
        <v>121</v>
      </c>
      <c r="U547" s="3">
        <v>-0.2</v>
      </c>
    </row>
    <row r="548" spans="19:21">
      <c r="S548" s="3" t="s">
        <v>122</v>
      </c>
      <c r="T548" s="3" t="s">
        <v>122</v>
      </c>
      <c r="U548" s="3">
        <v>0.4</v>
      </c>
    </row>
    <row r="549" spans="19:21">
      <c r="S549" s="3" t="s">
        <v>123</v>
      </c>
      <c r="T549" s="3" t="s">
        <v>123</v>
      </c>
      <c r="U549" s="3">
        <v>2</v>
      </c>
    </row>
    <row r="550" spans="19:21">
      <c r="S550" s="3" t="s">
        <v>124</v>
      </c>
      <c r="T550" s="3" t="s">
        <v>124</v>
      </c>
      <c r="U550" s="3">
        <v>2.5</v>
      </c>
    </row>
    <row r="551" spans="19:21">
      <c r="S551" s="3" t="s">
        <v>125</v>
      </c>
      <c r="T551" s="3" t="s">
        <v>125</v>
      </c>
      <c r="U551" s="3">
        <v>2</v>
      </c>
    </row>
    <row r="552" spans="19:21">
      <c r="S552" s="3" t="s">
        <v>126</v>
      </c>
      <c r="T552" s="3" t="s">
        <v>126</v>
      </c>
      <c r="U552" s="3">
        <v>1.6</v>
      </c>
    </row>
    <row r="553" spans="19:21">
      <c r="S553" s="3" t="s">
        <v>127</v>
      </c>
      <c r="T553" s="3" t="s">
        <v>127</v>
      </c>
      <c r="U553" s="3">
        <v>2</v>
      </c>
    </row>
    <row r="554" spans="19:21">
      <c r="S554" s="101" t="s">
        <v>165</v>
      </c>
      <c r="T554" s="48">
        <f>1+T542</f>
        <v>1869</v>
      </c>
      <c r="U554" s="3">
        <v>1.1000000000000001</v>
      </c>
    </row>
    <row r="555" spans="19:21">
      <c r="S555" s="3" t="s">
        <v>117</v>
      </c>
      <c r="T555" s="3" t="s">
        <v>117</v>
      </c>
      <c r="U555" s="3">
        <v>1.9</v>
      </c>
    </row>
    <row r="556" spans="19:21">
      <c r="S556" s="3" t="s">
        <v>118</v>
      </c>
      <c r="T556" s="3" t="s">
        <v>118</v>
      </c>
      <c r="U556" s="3">
        <v>2.2999999999999998</v>
      </c>
    </row>
    <row r="557" spans="19:21">
      <c r="S557" s="3" t="s">
        <v>119</v>
      </c>
      <c r="T557" s="3" t="s">
        <v>119</v>
      </c>
      <c r="U557" s="3">
        <v>2.8</v>
      </c>
    </row>
    <row r="558" spans="19:21">
      <c r="S558" s="3" t="s">
        <v>120</v>
      </c>
      <c r="T558" s="3" t="s">
        <v>120</v>
      </c>
      <c r="U558" s="3">
        <v>4.2</v>
      </c>
    </row>
    <row r="559" spans="19:21">
      <c r="S559" s="3" t="s">
        <v>121</v>
      </c>
      <c r="T559" s="3" t="s">
        <v>121</v>
      </c>
      <c r="U559" s="3">
        <v>4.9000000000000004</v>
      </c>
    </row>
    <row r="560" spans="19:21">
      <c r="S560" s="3" t="s">
        <v>122</v>
      </c>
      <c r="T560" s="3" t="s">
        <v>122</v>
      </c>
      <c r="U560" s="3">
        <v>4.0999999999999996</v>
      </c>
    </row>
    <row r="561" spans="19:21">
      <c r="S561" s="3" t="s">
        <v>123</v>
      </c>
      <c r="T561" s="3" t="s">
        <v>123</v>
      </c>
      <c r="U561" s="3">
        <v>2.6</v>
      </c>
    </row>
    <row r="562" spans="19:21">
      <c r="S562" s="3" t="s">
        <v>124</v>
      </c>
      <c r="T562" s="3" t="s">
        <v>124</v>
      </c>
      <c r="U562" s="3">
        <v>1.6</v>
      </c>
    </row>
    <row r="563" spans="19:21">
      <c r="S563" s="3" t="s">
        <v>125</v>
      </c>
      <c r="T563" s="3" t="s">
        <v>125</v>
      </c>
      <c r="U563" s="3">
        <v>0.9</v>
      </c>
    </row>
    <row r="564" spans="19:21">
      <c r="S564" s="3" t="s">
        <v>126</v>
      </c>
      <c r="T564" s="3" t="s">
        <v>126</v>
      </c>
      <c r="U564" s="3">
        <v>0.6</v>
      </c>
    </row>
    <row r="565" spans="19:21">
      <c r="S565" s="3" t="s">
        <v>127</v>
      </c>
      <c r="T565" s="3" t="s">
        <v>127</v>
      </c>
      <c r="U565" s="3">
        <v>0.2</v>
      </c>
    </row>
    <row r="566" spans="19:21">
      <c r="S566" s="101" t="s">
        <v>166</v>
      </c>
      <c r="T566" s="48">
        <f>1+T554</f>
        <v>1870</v>
      </c>
      <c r="U566" s="3">
        <v>-0.3</v>
      </c>
    </row>
    <row r="567" spans="19:21">
      <c r="S567" s="3" t="s">
        <v>117</v>
      </c>
      <c r="T567" s="3" t="s">
        <v>117</v>
      </c>
      <c r="U567" s="3">
        <v>-1</v>
      </c>
    </row>
    <row r="568" spans="19:21">
      <c r="S568" s="3" t="s">
        <v>118</v>
      </c>
      <c r="T568" s="3" t="s">
        <v>118</v>
      </c>
      <c r="U568" s="3">
        <v>-0.5</v>
      </c>
    </row>
    <row r="569" spans="19:21">
      <c r="S569" s="3" t="s">
        <v>119</v>
      </c>
      <c r="T569" s="3" t="s">
        <v>119</v>
      </c>
      <c r="U569" s="3">
        <v>1</v>
      </c>
    </row>
    <row r="570" spans="19:21">
      <c r="S570" s="3" t="s">
        <v>120</v>
      </c>
      <c r="T570" s="3" t="s">
        <v>120</v>
      </c>
      <c r="U570" s="3">
        <v>2.5</v>
      </c>
    </row>
    <row r="571" spans="19:21">
      <c r="S571" s="3" t="s">
        <v>121</v>
      </c>
      <c r="T571" s="3" t="s">
        <v>121</v>
      </c>
      <c r="U571" s="3">
        <v>3.5</v>
      </c>
    </row>
    <row r="572" spans="19:21">
      <c r="S572" s="3" t="s">
        <v>122</v>
      </c>
      <c r="T572" s="3" t="s">
        <v>122</v>
      </c>
      <c r="U572" s="3">
        <v>2.5</v>
      </c>
    </row>
    <row r="573" spans="19:21">
      <c r="S573" s="3" t="s">
        <v>123</v>
      </c>
      <c r="T573" s="3" t="s">
        <v>123</v>
      </c>
      <c r="U573" s="3">
        <v>1</v>
      </c>
    </row>
    <row r="574" spans="19:21">
      <c r="S574" s="3" t="s">
        <v>124</v>
      </c>
      <c r="T574" s="3" t="s">
        <v>124</v>
      </c>
      <c r="U574" s="3">
        <v>-1.6</v>
      </c>
    </row>
    <row r="575" spans="19:21">
      <c r="S575" s="3" t="s">
        <v>125</v>
      </c>
      <c r="T575" s="3" t="s">
        <v>125</v>
      </c>
      <c r="U575" s="3">
        <v>-4.8</v>
      </c>
    </row>
    <row r="576" spans="19:21">
      <c r="S576" s="3" t="s">
        <v>126</v>
      </c>
      <c r="T576" s="3" t="s">
        <v>126</v>
      </c>
      <c r="U576" s="3">
        <v>-4</v>
      </c>
    </row>
    <row r="577" spans="19:21">
      <c r="S577" s="3" t="s">
        <v>127</v>
      </c>
      <c r="T577" s="3" t="s">
        <v>127</v>
      </c>
      <c r="U577" s="3">
        <v>-3</v>
      </c>
    </row>
    <row r="578" spans="19:21">
      <c r="S578" s="101" t="s">
        <v>167</v>
      </c>
      <c r="T578" s="48">
        <f>1+T566</f>
        <v>1871</v>
      </c>
      <c r="U578" s="3">
        <v>-2.6</v>
      </c>
    </row>
    <row r="579" spans="19:21">
      <c r="S579" s="3" t="s">
        <v>117</v>
      </c>
      <c r="T579" s="3" t="s">
        <v>117</v>
      </c>
      <c r="U579" s="3">
        <v>0.4</v>
      </c>
    </row>
    <row r="580" spans="19:21">
      <c r="S580" s="3" t="s">
        <v>118</v>
      </c>
      <c r="T580" s="3" t="s">
        <v>118</v>
      </c>
      <c r="U580" s="3">
        <v>2.4</v>
      </c>
    </row>
    <row r="581" spans="19:21">
      <c r="S581" s="3" t="s">
        <v>119</v>
      </c>
      <c r="T581" s="3" t="s">
        <v>119</v>
      </c>
      <c r="U581" s="3">
        <v>4.2</v>
      </c>
    </row>
    <row r="582" spans="19:21">
      <c r="S582" s="3" t="s">
        <v>120</v>
      </c>
      <c r="T582" s="3" t="s">
        <v>120</v>
      </c>
      <c r="U582" s="3">
        <v>6.2</v>
      </c>
    </row>
    <row r="583" spans="19:21">
      <c r="S583" s="3" t="s">
        <v>121</v>
      </c>
      <c r="T583" s="3" t="s">
        <v>121</v>
      </c>
      <c r="U583" s="3">
        <v>6.1</v>
      </c>
    </row>
    <row r="584" spans="19:21">
      <c r="S584" s="3" t="s">
        <v>122</v>
      </c>
      <c r="T584" s="3" t="s">
        <v>122</v>
      </c>
      <c r="U584" s="3">
        <v>6.4</v>
      </c>
    </row>
    <row r="585" spans="19:21">
      <c r="S585" s="3" t="s">
        <v>123</v>
      </c>
      <c r="T585" s="3" t="s">
        <v>123</v>
      </c>
      <c r="U585" s="3">
        <v>5.6</v>
      </c>
    </row>
    <row r="586" spans="19:21">
      <c r="S586" s="3" t="s">
        <v>124</v>
      </c>
      <c r="T586" s="3" t="s">
        <v>124</v>
      </c>
      <c r="U586" s="3">
        <v>5.8</v>
      </c>
    </row>
    <row r="587" spans="19:21">
      <c r="S587" s="3" t="s">
        <v>125</v>
      </c>
      <c r="T587" s="3" t="s">
        <v>125</v>
      </c>
      <c r="U587" s="3">
        <v>6</v>
      </c>
    </row>
    <row r="588" spans="19:21">
      <c r="S588" s="3" t="s">
        <v>126</v>
      </c>
      <c r="T588" s="3" t="s">
        <v>126</v>
      </c>
      <c r="U588" s="3">
        <v>6.1</v>
      </c>
    </row>
    <row r="589" spans="19:21">
      <c r="S589" s="3" t="s">
        <v>127</v>
      </c>
      <c r="T589" s="3" t="s">
        <v>127</v>
      </c>
      <c r="U589" s="3">
        <v>6.3</v>
      </c>
    </row>
    <row r="590" spans="19:21">
      <c r="S590" s="101" t="s">
        <v>168</v>
      </c>
      <c r="T590" s="48">
        <f>1+T578</f>
        <v>1872</v>
      </c>
      <c r="U590" s="3">
        <v>7.7</v>
      </c>
    </row>
    <row r="591" spans="19:21">
      <c r="S591" s="3" t="s">
        <v>117</v>
      </c>
      <c r="T591" s="3" t="s">
        <v>117</v>
      </c>
      <c r="U591" s="3">
        <v>8.6</v>
      </c>
    </row>
    <row r="592" spans="19:21">
      <c r="S592" s="3" t="s">
        <v>118</v>
      </c>
      <c r="T592" s="3" t="s">
        <v>118</v>
      </c>
      <c r="U592" s="3">
        <v>10.7</v>
      </c>
    </row>
    <row r="593" spans="19:21">
      <c r="S593" s="3" t="s">
        <v>119</v>
      </c>
      <c r="T593" s="3" t="s">
        <v>119</v>
      </c>
      <c r="U593" s="3">
        <v>10.5</v>
      </c>
    </row>
    <row r="594" spans="19:21">
      <c r="S594" s="3" t="s">
        <v>120</v>
      </c>
      <c r="T594" s="3" t="s">
        <v>120</v>
      </c>
      <c r="U594" s="3">
        <v>10.4</v>
      </c>
    </row>
    <row r="595" spans="19:21">
      <c r="S595" s="3" t="s">
        <v>121</v>
      </c>
      <c r="T595" s="3" t="s">
        <v>121</v>
      </c>
      <c r="U595" s="3">
        <v>9.1</v>
      </c>
    </row>
    <row r="596" spans="19:21">
      <c r="S596" s="3" t="s">
        <v>122</v>
      </c>
      <c r="T596" s="3" t="s">
        <v>122</v>
      </c>
      <c r="U596" s="3">
        <v>8.9</v>
      </c>
    </row>
    <row r="597" spans="19:21">
      <c r="S597" s="3" t="s">
        <v>123</v>
      </c>
      <c r="T597" s="3" t="s">
        <v>123</v>
      </c>
      <c r="U597" s="3">
        <v>9.5</v>
      </c>
    </row>
    <row r="598" spans="19:21">
      <c r="S598" s="3" t="s">
        <v>124</v>
      </c>
      <c r="T598" s="3" t="s">
        <v>124</v>
      </c>
      <c r="U598" s="3">
        <v>11.4</v>
      </c>
    </row>
    <row r="599" spans="19:21">
      <c r="S599" s="3" t="s">
        <v>125</v>
      </c>
      <c r="T599" s="3" t="s">
        <v>125</v>
      </c>
      <c r="U599" s="3">
        <v>12</v>
      </c>
    </row>
    <row r="600" spans="19:21">
      <c r="S600" s="3" t="s">
        <v>126</v>
      </c>
      <c r="T600" s="3" t="s">
        <v>126</v>
      </c>
      <c r="U600" s="3">
        <v>13.9</v>
      </c>
    </row>
    <row r="601" spans="19:21">
      <c r="S601" s="3" t="s">
        <v>127</v>
      </c>
      <c r="T601" s="3" t="s">
        <v>127</v>
      </c>
      <c r="U601" s="3">
        <v>13.6</v>
      </c>
    </row>
    <row r="602" spans="19:21">
      <c r="S602" s="101" t="s">
        <v>169</v>
      </c>
      <c r="T602" s="48">
        <f>1+T590</f>
        <v>1873</v>
      </c>
      <c r="U602" s="3">
        <v>14.6</v>
      </c>
    </row>
    <row r="603" spans="19:21">
      <c r="S603" s="3" t="s">
        <v>117</v>
      </c>
      <c r="T603" s="3" t="s">
        <v>117</v>
      </c>
      <c r="U603" s="3">
        <v>14.3</v>
      </c>
    </row>
    <row r="604" spans="19:21">
      <c r="S604" s="3" t="s">
        <v>118</v>
      </c>
      <c r="T604" s="3" t="s">
        <v>118</v>
      </c>
      <c r="U604" s="3">
        <v>13.8</v>
      </c>
    </row>
    <row r="605" spans="19:21">
      <c r="S605" s="3" t="s">
        <v>119</v>
      </c>
      <c r="T605" s="3" t="s">
        <v>119</v>
      </c>
      <c r="U605" s="3">
        <v>12.1</v>
      </c>
    </row>
    <row r="606" spans="19:21">
      <c r="S606" s="3" t="s">
        <v>120</v>
      </c>
      <c r="T606" s="3" t="s">
        <v>120</v>
      </c>
      <c r="U606" s="3">
        <v>10.4</v>
      </c>
    </row>
    <row r="607" spans="19:21">
      <c r="S607" s="3" t="s">
        <v>121</v>
      </c>
      <c r="T607" s="3" t="s">
        <v>121</v>
      </c>
      <c r="U607" s="3">
        <v>7.7</v>
      </c>
    </row>
    <row r="608" spans="19:21">
      <c r="S608" s="3" t="s">
        <v>122</v>
      </c>
      <c r="T608" s="3" t="s">
        <v>122</v>
      </c>
      <c r="U608" s="3">
        <v>5.8</v>
      </c>
    </row>
    <row r="609" spans="19:21">
      <c r="S609" s="3" t="s">
        <v>123</v>
      </c>
      <c r="T609" s="3" t="s">
        <v>123</v>
      </c>
      <c r="U609" s="3">
        <v>5</v>
      </c>
    </row>
    <row r="610" spans="19:21">
      <c r="S610" s="3" t="s">
        <v>124</v>
      </c>
      <c r="T610" s="3" t="s">
        <v>124</v>
      </c>
      <c r="U610" s="3">
        <v>2.8</v>
      </c>
    </row>
    <row r="611" spans="19:21">
      <c r="S611" s="3" t="s">
        <v>125</v>
      </c>
      <c r="T611" s="3" t="s">
        <v>125</v>
      </c>
      <c r="U611" s="3">
        <v>1</v>
      </c>
    </row>
    <row r="612" spans="19:21">
      <c r="S612" s="3" t="s">
        <v>126</v>
      </c>
      <c r="T612" s="3" t="s">
        <v>126</v>
      </c>
      <c r="U612" s="3">
        <v>-2</v>
      </c>
    </row>
    <row r="613" spans="19:21">
      <c r="S613" s="3" t="s">
        <v>127</v>
      </c>
      <c r="T613" s="3" t="s">
        <v>127</v>
      </c>
      <c r="U613" s="3">
        <v>-3.7</v>
      </c>
    </row>
    <row r="614" spans="19:21">
      <c r="S614" s="101" t="s">
        <v>170</v>
      </c>
      <c r="T614" s="48">
        <f>1+T602</f>
        <v>1874</v>
      </c>
      <c r="U614" s="3">
        <v>-2.7</v>
      </c>
    </row>
    <row r="615" spans="19:21">
      <c r="S615" s="3" t="s">
        <v>117</v>
      </c>
      <c r="T615" s="3" t="s">
        <v>117</v>
      </c>
      <c r="U615" s="3">
        <v>-3.8</v>
      </c>
    </row>
    <row r="616" spans="19:21">
      <c r="S616" s="3" t="s">
        <v>118</v>
      </c>
      <c r="T616" s="3" t="s">
        <v>118</v>
      </c>
      <c r="U616" s="3">
        <v>-4.9000000000000004</v>
      </c>
    </row>
    <row r="617" spans="19:21">
      <c r="S617" s="3" t="s">
        <v>119</v>
      </c>
      <c r="T617" s="3" t="s">
        <v>119</v>
      </c>
      <c r="U617" s="3">
        <v>-3.9</v>
      </c>
    </row>
    <row r="618" spans="19:21">
      <c r="S618" s="3" t="s">
        <v>120</v>
      </c>
      <c r="T618" s="3" t="s">
        <v>120</v>
      </c>
      <c r="U618" s="3">
        <v>-4</v>
      </c>
    </row>
    <row r="619" spans="19:21">
      <c r="S619" s="3" t="s">
        <v>121</v>
      </c>
      <c r="T619" s="3" t="s">
        <v>121</v>
      </c>
      <c r="U619" s="3">
        <v>-3.1</v>
      </c>
    </row>
    <row r="620" spans="19:21">
      <c r="S620" s="3" t="s">
        <v>122</v>
      </c>
      <c r="T620" s="3" t="s">
        <v>122</v>
      </c>
      <c r="U620" s="3">
        <v>-3.4</v>
      </c>
    </row>
    <row r="621" spans="19:21">
      <c r="S621" s="3" t="s">
        <v>123</v>
      </c>
      <c r="T621" s="3" t="s">
        <v>123</v>
      </c>
      <c r="U621" s="3">
        <v>-3.9</v>
      </c>
    </row>
    <row r="622" spans="19:21">
      <c r="S622" s="3" t="s">
        <v>124</v>
      </c>
      <c r="T622" s="3" t="s">
        <v>124</v>
      </c>
      <c r="U622" s="3">
        <v>-4.4000000000000004</v>
      </c>
    </row>
    <row r="623" spans="19:21">
      <c r="S623" s="3" t="s">
        <v>125</v>
      </c>
      <c r="T623" s="3" t="s">
        <v>125</v>
      </c>
      <c r="U623" s="3">
        <v>-5.7</v>
      </c>
    </row>
    <row r="624" spans="19:21">
      <c r="S624" s="3" t="s">
        <v>126</v>
      </c>
      <c r="T624" s="3" t="s">
        <v>126</v>
      </c>
      <c r="U624" s="3">
        <v>-6.1</v>
      </c>
    </row>
    <row r="625" spans="19:21">
      <c r="S625" s="3" t="s">
        <v>127</v>
      </c>
      <c r="T625" s="3" t="s">
        <v>127</v>
      </c>
      <c r="U625" s="3">
        <v>-5.5</v>
      </c>
    </row>
    <row r="626" spans="19:21">
      <c r="S626" s="101" t="s">
        <v>171</v>
      </c>
      <c r="T626" s="48">
        <f>1+T614</f>
        <v>1875</v>
      </c>
      <c r="U626" s="3">
        <v>-7.4</v>
      </c>
    </row>
    <row r="627" spans="19:21">
      <c r="S627" s="3" t="s">
        <v>117</v>
      </c>
      <c r="T627" s="3" t="s">
        <v>117</v>
      </c>
      <c r="U627" s="3">
        <v>-6.8</v>
      </c>
    </row>
    <row r="628" spans="19:21">
      <c r="S628" s="3" t="s">
        <v>118</v>
      </c>
      <c r="T628" s="3" t="s">
        <v>118</v>
      </c>
      <c r="U628" s="3">
        <v>-7.2</v>
      </c>
    </row>
    <row r="629" spans="19:21">
      <c r="S629" s="3" t="s">
        <v>119</v>
      </c>
      <c r="T629" s="3" t="s">
        <v>119</v>
      </c>
      <c r="U629" s="3">
        <v>-6.6</v>
      </c>
    </row>
    <row r="630" spans="19:21">
      <c r="S630" s="3" t="s">
        <v>120</v>
      </c>
      <c r="T630" s="3" t="s">
        <v>120</v>
      </c>
      <c r="U630" s="3">
        <v>-7</v>
      </c>
    </row>
    <row r="631" spans="19:21">
      <c r="S631" s="3" t="s">
        <v>121</v>
      </c>
      <c r="T631" s="3" t="s">
        <v>121</v>
      </c>
      <c r="U631" s="3">
        <v>-7.5</v>
      </c>
    </row>
    <row r="632" spans="19:21">
      <c r="S632" s="3" t="s">
        <v>122</v>
      </c>
      <c r="T632" s="3" t="s">
        <v>122</v>
      </c>
      <c r="U632" s="3">
        <v>-8.3000000000000007</v>
      </c>
    </row>
    <row r="633" spans="19:21">
      <c r="S633" s="3" t="s">
        <v>123</v>
      </c>
      <c r="T633" s="3" t="s">
        <v>123</v>
      </c>
      <c r="U633" s="3">
        <v>-9.1999999999999993</v>
      </c>
    </row>
    <row r="634" spans="19:21">
      <c r="S634" s="3" t="s">
        <v>124</v>
      </c>
      <c r="T634" s="3" t="s">
        <v>124</v>
      </c>
      <c r="U634" s="3">
        <v>-11</v>
      </c>
    </row>
    <row r="635" spans="19:21">
      <c r="S635" s="3" t="s">
        <v>125</v>
      </c>
      <c r="T635" s="3" t="s">
        <v>125</v>
      </c>
      <c r="U635" s="3">
        <v>-11.8</v>
      </c>
    </row>
    <row r="636" spans="19:21">
      <c r="S636" s="3" t="s">
        <v>126</v>
      </c>
      <c r="T636" s="3" t="s">
        <v>126</v>
      </c>
      <c r="U636" s="3">
        <v>-12.6</v>
      </c>
    </row>
    <row r="637" spans="19:21">
      <c r="S637" s="3" t="s">
        <v>127</v>
      </c>
      <c r="T637" s="3" t="s">
        <v>127</v>
      </c>
      <c r="U637" s="3">
        <v>-11.5</v>
      </c>
    </row>
    <row r="638" spans="19:21">
      <c r="S638" s="101" t="s">
        <v>172</v>
      </c>
      <c r="T638" s="48">
        <f>1+T626</f>
        <v>1876</v>
      </c>
      <c r="U638" s="3">
        <v>-9.8000000000000007</v>
      </c>
    </row>
    <row r="639" spans="19:21">
      <c r="S639" s="3" t="s">
        <v>117</v>
      </c>
      <c r="T639" s="3" t="s">
        <v>117</v>
      </c>
      <c r="U639" s="3">
        <v>-9.6999999999999993</v>
      </c>
    </row>
    <row r="640" spans="19:21">
      <c r="S640" s="3" t="s">
        <v>118</v>
      </c>
      <c r="T640" s="3" t="s">
        <v>118</v>
      </c>
      <c r="U640" s="3">
        <v>-10.6</v>
      </c>
    </row>
    <row r="641" spans="19:21">
      <c r="S641" s="3" t="s">
        <v>119</v>
      </c>
      <c r="T641" s="3" t="s">
        <v>119</v>
      </c>
      <c r="U641" s="3">
        <v>-10.4</v>
      </c>
    </row>
    <row r="642" spans="19:21">
      <c r="S642" s="3" t="s">
        <v>120</v>
      </c>
      <c r="T642" s="3" t="s">
        <v>120</v>
      </c>
      <c r="U642" s="3">
        <v>-10.1</v>
      </c>
    </row>
    <row r="643" spans="19:21">
      <c r="S643" s="3" t="s">
        <v>121</v>
      </c>
      <c r="T643" s="3" t="s">
        <v>121</v>
      </c>
      <c r="U643" s="3">
        <v>-9.9</v>
      </c>
    </row>
    <row r="644" spans="19:21">
      <c r="S644" s="3" t="s">
        <v>122</v>
      </c>
      <c r="T644" s="3" t="s">
        <v>122</v>
      </c>
      <c r="U644" s="3">
        <v>-9.3000000000000007</v>
      </c>
    </row>
    <row r="645" spans="19:21">
      <c r="S645" s="3" t="s">
        <v>123</v>
      </c>
      <c r="T645" s="3" t="s">
        <v>123</v>
      </c>
      <c r="U645" s="3">
        <v>-9.5</v>
      </c>
    </row>
    <row r="646" spans="19:21">
      <c r="S646" s="3" t="s">
        <v>124</v>
      </c>
      <c r="T646" s="3" t="s">
        <v>124</v>
      </c>
      <c r="U646" s="3">
        <v>-9.8000000000000007</v>
      </c>
    </row>
    <row r="647" spans="19:21">
      <c r="S647" s="3" t="s">
        <v>125</v>
      </c>
      <c r="T647" s="3" t="s">
        <v>125</v>
      </c>
      <c r="U647" s="3">
        <v>-10.9</v>
      </c>
    </row>
    <row r="648" spans="19:21">
      <c r="S648" s="3" t="s">
        <v>126</v>
      </c>
      <c r="T648" s="3" t="s">
        <v>126</v>
      </c>
      <c r="U648" s="3">
        <v>-11.2</v>
      </c>
    </row>
    <row r="649" spans="19:21">
      <c r="S649" s="3" t="s">
        <v>127</v>
      </c>
      <c r="T649" s="3" t="s">
        <v>127</v>
      </c>
      <c r="U649" s="3">
        <v>-11.5</v>
      </c>
    </row>
    <row r="650" spans="19:21">
      <c r="S650" s="101" t="s">
        <v>173</v>
      </c>
      <c r="T650" s="48">
        <f>1+T638</f>
        <v>1877</v>
      </c>
      <c r="U650" s="3">
        <v>-12</v>
      </c>
    </row>
    <row r="651" spans="19:21">
      <c r="S651" s="3" t="s">
        <v>117</v>
      </c>
      <c r="T651" s="3" t="s">
        <v>117</v>
      </c>
      <c r="U651" s="3">
        <v>-12.2</v>
      </c>
    </row>
    <row r="652" spans="19:21">
      <c r="S652" s="3" t="s">
        <v>118</v>
      </c>
      <c r="T652" s="3" t="s">
        <v>118</v>
      </c>
      <c r="U652" s="3">
        <v>-11.4</v>
      </c>
    </row>
    <row r="653" spans="19:21">
      <c r="S653" s="3" t="s">
        <v>119</v>
      </c>
      <c r="T653" s="3" t="s">
        <v>119</v>
      </c>
      <c r="U653" s="3">
        <v>-10.7</v>
      </c>
    </row>
    <row r="654" spans="19:21">
      <c r="S654" s="3" t="s">
        <v>120</v>
      </c>
      <c r="T654" s="3" t="s">
        <v>120</v>
      </c>
      <c r="U654" s="3">
        <v>-10</v>
      </c>
    </row>
    <row r="655" spans="19:21">
      <c r="S655" s="3" t="s">
        <v>121</v>
      </c>
      <c r="T655" s="3" t="s">
        <v>121</v>
      </c>
      <c r="U655" s="3">
        <v>-10.199999999999999</v>
      </c>
    </row>
    <row r="656" spans="19:21">
      <c r="S656" s="3" t="s">
        <v>122</v>
      </c>
      <c r="T656" s="3" t="s">
        <v>122</v>
      </c>
      <c r="U656" s="3">
        <v>-9.1</v>
      </c>
    </row>
    <row r="657" spans="19:21">
      <c r="S657" s="3" t="s">
        <v>123</v>
      </c>
      <c r="T657" s="3" t="s">
        <v>123</v>
      </c>
      <c r="U657" s="3">
        <v>-8.8000000000000007</v>
      </c>
    </row>
    <row r="658" spans="19:21">
      <c r="S658" s="3" t="s">
        <v>124</v>
      </c>
      <c r="T658" s="3" t="s">
        <v>124</v>
      </c>
      <c r="U658" s="3">
        <v>-9.6</v>
      </c>
    </row>
    <row r="659" spans="19:21">
      <c r="S659" s="3" t="s">
        <v>125</v>
      </c>
      <c r="T659" s="3" t="s">
        <v>125</v>
      </c>
      <c r="U659" s="3">
        <v>-10.4</v>
      </c>
    </row>
    <row r="660" spans="19:21">
      <c r="S660" s="3" t="s">
        <v>126</v>
      </c>
      <c r="T660" s="3" t="s">
        <v>126</v>
      </c>
      <c r="U660" s="3">
        <v>-11.1</v>
      </c>
    </row>
    <row r="661" spans="19:21">
      <c r="S661" s="3" t="s">
        <v>127</v>
      </c>
      <c r="T661" s="3" t="s">
        <v>127</v>
      </c>
      <c r="U661" s="3">
        <v>-11.8</v>
      </c>
    </row>
    <row r="662" spans="19:21">
      <c r="S662" s="101" t="s">
        <v>174</v>
      </c>
      <c r="T662" s="48">
        <f>1+T650</f>
        <v>1878</v>
      </c>
      <c r="U662" s="3">
        <v>-11.9</v>
      </c>
    </row>
    <row r="663" spans="19:21">
      <c r="S663" s="3" t="s">
        <v>117</v>
      </c>
      <c r="T663" s="3" t="s">
        <v>117</v>
      </c>
      <c r="U663" s="3">
        <v>-12.7</v>
      </c>
    </row>
    <row r="664" spans="19:21">
      <c r="S664" s="3" t="s">
        <v>118</v>
      </c>
      <c r="T664" s="3" t="s">
        <v>118</v>
      </c>
      <c r="U664" s="3">
        <v>-12.5</v>
      </c>
    </row>
    <row r="665" spans="19:21">
      <c r="S665" s="3" t="s">
        <v>119</v>
      </c>
      <c r="T665" s="3" t="s">
        <v>119</v>
      </c>
      <c r="U665" s="3">
        <v>-9.6999999999999993</v>
      </c>
    </row>
    <row r="666" spans="19:21">
      <c r="S666" s="3" t="s">
        <v>120</v>
      </c>
      <c r="T666" s="3" t="s">
        <v>120</v>
      </c>
      <c r="U666" s="3">
        <v>-7.6</v>
      </c>
    </row>
    <row r="667" spans="19:21">
      <c r="S667" s="3" t="s">
        <v>121</v>
      </c>
      <c r="T667" s="3" t="s">
        <v>121</v>
      </c>
      <c r="U667" s="3">
        <v>-8.1</v>
      </c>
    </row>
    <row r="668" spans="19:21">
      <c r="S668" s="3" t="s">
        <v>122</v>
      </c>
      <c r="T668" s="3" t="s">
        <v>122</v>
      </c>
      <c r="U668" s="3">
        <v>-8.3000000000000007</v>
      </c>
    </row>
    <row r="669" spans="19:21">
      <c r="S669" s="3" t="s">
        <v>123</v>
      </c>
      <c r="T669" s="3" t="s">
        <v>123</v>
      </c>
      <c r="U669" s="3">
        <v>-8.6</v>
      </c>
    </row>
    <row r="670" spans="19:21">
      <c r="S670" s="3" t="s">
        <v>124</v>
      </c>
      <c r="T670" s="3" t="s">
        <v>124</v>
      </c>
      <c r="U670" s="3">
        <v>-8.8000000000000007</v>
      </c>
    </row>
    <row r="671" spans="19:21">
      <c r="S671" s="3" t="s">
        <v>125</v>
      </c>
      <c r="T671" s="3" t="s">
        <v>125</v>
      </c>
      <c r="U671" s="3">
        <v>-8.1999999999999993</v>
      </c>
    </row>
    <row r="672" spans="19:21">
      <c r="S672" s="3" t="s">
        <v>126</v>
      </c>
      <c r="T672" s="3" t="s">
        <v>126</v>
      </c>
      <c r="U672" s="3">
        <v>-7.4</v>
      </c>
    </row>
    <row r="673" spans="19:21">
      <c r="S673" s="3" t="s">
        <v>127</v>
      </c>
      <c r="T673" s="3" t="s">
        <v>127</v>
      </c>
      <c r="U673" s="3">
        <v>-7</v>
      </c>
    </row>
    <row r="674" spans="19:21">
      <c r="S674" s="101" t="s">
        <v>175</v>
      </c>
      <c r="T674" s="48">
        <f>1+T662</f>
        <v>1879</v>
      </c>
      <c r="U674" s="3">
        <v>-9.3000000000000007</v>
      </c>
    </row>
    <row r="675" spans="19:21">
      <c r="S675" s="3" t="s">
        <v>117</v>
      </c>
      <c r="T675" s="3" t="s">
        <v>117</v>
      </c>
      <c r="U675" s="3">
        <v>-10</v>
      </c>
    </row>
    <row r="676" spans="19:21">
      <c r="S676" s="3" t="s">
        <v>118</v>
      </c>
      <c r="T676" s="3" t="s">
        <v>118</v>
      </c>
      <c r="U676" s="3">
        <v>-11</v>
      </c>
    </row>
    <row r="677" spans="19:21">
      <c r="S677" s="3" t="s">
        <v>119</v>
      </c>
      <c r="T677" s="3" t="s">
        <v>119</v>
      </c>
      <c r="U677" s="3">
        <v>-10.4</v>
      </c>
    </row>
    <row r="678" spans="19:21">
      <c r="S678" s="3" t="s">
        <v>120</v>
      </c>
      <c r="T678" s="3" t="s">
        <v>120</v>
      </c>
      <c r="U678" s="3">
        <v>-8.6</v>
      </c>
    </row>
    <row r="679" spans="19:21">
      <c r="S679" s="3" t="s">
        <v>121</v>
      </c>
      <c r="T679" s="3" t="s">
        <v>121</v>
      </c>
      <c r="U679" s="3">
        <v>-7.1</v>
      </c>
    </row>
    <row r="680" spans="19:21">
      <c r="S680" s="3" t="s">
        <v>122</v>
      </c>
      <c r="T680" s="3" t="s">
        <v>122</v>
      </c>
      <c r="U680" s="3">
        <v>-4.3</v>
      </c>
    </row>
    <row r="681" spans="19:21">
      <c r="S681" s="3" t="s">
        <v>123</v>
      </c>
      <c r="T681" s="3" t="s">
        <v>123</v>
      </c>
      <c r="U681" s="3">
        <v>-0.8</v>
      </c>
    </row>
    <row r="682" spans="19:21">
      <c r="S682" s="3" t="s">
        <v>124</v>
      </c>
      <c r="T682" s="3" t="s">
        <v>124</v>
      </c>
      <c r="U682" s="3">
        <v>3.1</v>
      </c>
    </row>
    <row r="683" spans="19:21">
      <c r="S683" s="3" t="s">
        <v>125</v>
      </c>
      <c r="T683" s="3" t="s">
        <v>125</v>
      </c>
      <c r="U683" s="3">
        <v>5.8</v>
      </c>
    </row>
    <row r="684" spans="19:21">
      <c r="S684" s="3" t="s">
        <v>126</v>
      </c>
      <c r="T684" s="3" t="s">
        <v>126</v>
      </c>
      <c r="U684" s="3">
        <v>6.9</v>
      </c>
    </row>
    <row r="685" spans="19:21">
      <c r="S685" s="3" t="s">
        <v>127</v>
      </c>
      <c r="T685" s="3" t="s">
        <v>127</v>
      </c>
      <c r="U685" s="3">
        <v>8.5</v>
      </c>
    </row>
    <row r="686" spans="19:21">
      <c r="S686" s="101" t="s">
        <v>176</v>
      </c>
      <c r="T686" s="48">
        <f>1+T674</f>
        <v>1880</v>
      </c>
      <c r="U686" s="3">
        <v>8.1999999999999993</v>
      </c>
    </row>
    <row r="687" spans="19:21">
      <c r="S687" s="3" t="s">
        <v>117</v>
      </c>
      <c r="T687" s="3" t="s">
        <v>117</v>
      </c>
      <c r="U687" s="3">
        <v>9.4</v>
      </c>
    </row>
    <row r="688" spans="19:21">
      <c r="S688" s="3" t="s">
        <v>118</v>
      </c>
      <c r="T688" s="3" t="s">
        <v>118</v>
      </c>
      <c r="U688" s="3">
        <v>10.8</v>
      </c>
    </row>
    <row r="689" spans="19:21">
      <c r="S689" s="3" t="s">
        <v>119</v>
      </c>
      <c r="T689" s="3" t="s">
        <v>119</v>
      </c>
      <c r="U689" s="3">
        <v>10.199999999999999</v>
      </c>
    </row>
    <row r="690" spans="19:21">
      <c r="S690" s="3" t="s">
        <v>120</v>
      </c>
      <c r="T690" s="3" t="s">
        <v>120</v>
      </c>
      <c r="U690" s="3">
        <v>8</v>
      </c>
    </row>
    <row r="691" spans="19:21">
      <c r="S691" s="3" t="s">
        <v>121</v>
      </c>
      <c r="T691" s="3" t="s">
        <v>121</v>
      </c>
      <c r="U691" s="3">
        <v>5.9</v>
      </c>
    </row>
    <row r="692" spans="19:21">
      <c r="S692" s="3" t="s">
        <v>122</v>
      </c>
      <c r="T692" s="3" t="s">
        <v>122</v>
      </c>
      <c r="U692" s="3">
        <v>4.8</v>
      </c>
    </row>
    <row r="693" spans="19:21">
      <c r="S693" s="3" t="s">
        <v>123</v>
      </c>
      <c r="T693" s="3" t="s">
        <v>123</v>
      </c>
      <c r="U693" s="3">
        <v>4.5</v>
      </c>
    </row>
    <row r="694" spans="19:21">
      <c r="S694" s="3" t="s">
        <v>124</v>
      </c>
      <c r="T694" s="3" t="s">
        <v>124</v>
      </c>
      <c r="U694" s="3">
        <v>4.4000000000000004</v>
      </c>
    </row>
    <row r="695" spans="19:21">
      <c r="S695" s="3" t="s">
        <v>125</v>
      </c>
      <c r="T695" s="3" t="s">
        <v>125</v>
      </c>
      <c r="U695" s="3">
        <v>6.1</v>
      </c>
    </row>
    <row r="696" spans="19:21">
      <c r="S696" s="3" t="s">
        <v>126</v>
      </c>
      <c r="T696" s="3" t="s">
        <v>126</v>
      </c>
      <c r="U696" s="3">
        <v>8.6999999999999993</v>
      </c>
    </row>
    <row r="697" spans="19:21">
      <c r="S697" s="3" t="s">
        <v>127</v>
      </c>
      <c r="T697" s="3" t="s">
        <v>127</v>
      </c>
      <c r="U697" s="3">
        <v>11.3</v>
      </c>
    </row>
    <row r="698" spans="19:21">
      <c r="S698" s="101" t="s">
        <v>177</v>
      </c>
      <c r="T698" s="48">
        <f>1+T686</f>
        <v>1881</v>
      </c>
      <c r="U698" s="3">
        <v>11.7</v>
      </c>
    </row>
    <row r="699" spans="19:21">
      <c r="S699" s="3" t="s">
        <v>117</v>
      </c>
      <c r="T699" s="3" t="s">
        <v>117</v>
      </c>
      <c r="U699" s="3">
        <v>10.6</v>
      </c>
    </row>
    <row r="700" spans="19:21">
      <c r="S700" s="3" t="s">
        <v>118</v>
      </c>
      <c r="T700" s="3" t="s">
        <v>118</v>
      </c>
      <c r="U700" s="3">
        <v>9.6999999999999993</v>
      </c>
    </row>
    <row r="701" spans="19:21">
      <c r="S701" s="3" t="s">
        <v>119</v>
      </c>
      <c r="T701" s="3" t="s">
        <v>119</v>
      </c>
      <c r="U701" s="3">
        <v>9.4</v>
      </c>
    </row>
    <row r="702" spans="19:21">
      <c r="S702" s="3" t="s">
        <v>120</v>
      </c>
      <c r="T702" s="3" t="s">
        <v>120</v>
      </c>
      <c r="U702" s="3">
        <v>9.3000000000000007</v>
      </c>
    </row>
    <row r="703" spans="19:21">
      <c r="S703" s="3" t="s">
        <v>121</v>
      </c>
      <c r="T703" s="3" t="s">
        <v>121</v>
      </c>
      <c r="U703" s="3">
        <v>9.5</v>
      </c>
    </row>
    <row r="704" spans="19:21">
      <c r="S704" s="3" t="s">
        <v>122</v>
      </c>
      <c r="T704" s="3" t="s">
        <v>122</v>
      </c>
      <c r="U704" s="3">
        <v>9.5</v>
      </c>
    </row>
    <row r="705" spans="19:21">
      <c r="S705" s="3" t="s">
        <v>123</v>
      </c>
      <c r="T705" s="3" t="s">
        <v>123</v>
      </c>
      <c r="U705" s="3">
        <v>8.9</v>
      </c>
    </row>
    <row r="706" spans="19:21">
      <c r="S706" s="3" t="s">
        <v>124</v>
      </c>
      <c r="T706" s="3" t="s">
        <v>124</v>
      </c>
      <c r="U706" s="3">
        <v>8.1</v>
      </c>
    </row>
    <row r="707" spans="19:21">
      <c r="S707" s="3" t="s">
        <v>125</v>
      </c>
      <c r="T707" s="3" t="s">
        <v>125</v>
      </c>
      <c r="U707" s="3">
        <v>8.5</v>
      </c>
    </row>
    <row r="708" spans="19:21">
      <c r="S708" s="3" t="s">
        <v>126</v>
      </c>
      <c r="T708" s="3" t="s">
        <v>126</v>
      </c>
      <c r="U708" s="3">
        <v>9.1999999999999993</v>
      </c>
    </row>
    <row r="709" spans="19:21">
      <c r="S709" s="3" t="s">
        <v>127</v>
      </c>
      <c r="T709" s="3" t="s">
        <v>127</v>
      </c>
      <c r="U709" s="3">
        <v>9.1999999999999993</v>
      </c>
    </row>
    <row r="710" spans="19:21">
      <c r="S710" s="101" t="s">
        <v>178</v>
      </c>
      <c r="T710" s="48">
        <f>1+T698</f>
        <v>1882</v>
      </c>
      <c r="U710" s="3">
        <v>9.5</v>
      </c>
    </row>
    <row r="711" spans="19:21">
      <c r="S711" s="3" t="s">
        <v>117</v>
      </c>
      <c r="T711" s="3" t="s">
        <v>117</v>
      </c>
      <c r="U711" s="3">
        <v>9.8000000000000007</v>
      </c>
    </row>
    <row r="712" spans="19:21">
      <c r="S712" s="3" t="s">
        <v>118</v>
      </c>
      <c r="T712" s="3" t="s">
        <v>118</v>
      </c>
      <c r="U712" s="3">
        <v>10.6</v>
      </c>
    </row>
    <row r="713" spans="19:21">
      <c r="S713" s="3" t="s">
        <v>119</v>
      </c>
      <c r="T713" s="3" t="s">
        <v>119</v>
      </c>
      <c r="U713" s="3">
        <v>9.3000000000000007</v>
      </c>
    </row>
    <row r="714" spans="19:21">
      <c r="S714" s="3" t="s">
        <v>120</v>
      </c>
      <c r="T714" s="3" t="s">
        <v>120</v>
      </c>
      <c r="U714" s="3">
        <v>7.3</v>
      </c>
    </row>
    <row r="715" spans="19:21">
      <c r="S715" s="3" t="s">
        <v>121</v>
      </c>
      <c r="T715" s="3" t="s">
        <v>121</v>
      </c>
      <c r="U715" s="3">
        <v>5.2</v>
      </c>
    </row>
    <row r="716" spans="19:21">
      <c r="S716" s="3" t="s">
        <v>122</v>
      </c>
      <c r="T716" s="3" t="s">
        <v>122</v>
      </c>
      <c r="U716" s="3">
        <v>4.0999999999999996</v>
      </c>
    </row>
    <row r="717" spans="19:21">
      <c r="S717" s="3" t="s">
        <v>123</v>
      </c>
      <c r="T717" s="3" t="s">
        <v>123</v>
      </c>
      <c r="U717" s="3">
        <v>5.4</v>
      </c>
    </row>
    <row r="718" spans="19:21">
      <c r="S718" s="3" t="s">
        <v>124</v>
      </c>
      <c r="T718" s="3" t="s">
        <v>124</v>
      </c>
      <c r="U718" s="3">
        <v>7</v>
      </c>
    </row>
    <row r="719" spans="19:21">
      <c r="S719" s="3" t="s">
        <v>125</v>
      </c>
      <c r="T719" s="3" t="s">
        <v>125</v>
      </c>
      <c r="U719" s="3">
        <v>8.3000000000000007</v>
      </c>
    </row>
    <row r="720" spans="19:21">
      <c r="S720" s="3" t="s">
        <v>126</v>
      </c>
      <c r="T720" s="3" t="s">
        <v>126</v>
      </c>
      <c r="U720" s="3">
        <v>9.1</v>
      </c>
    </row>
    <row r="721" spans="19:21">
      <c r="S721" s="3" t="s">
        <v>127</v>
      </c>
      <c r="T721" s="3" t="s">
        <v>127</v>
      </c>
      <c r="U721" s="3">
        <v>9.1999999999999993</v>
      </c>
    </row>
    <row r="722" spans="19:21">
      <c r="S722" s="101" t="s">
        <v>179</v>
      </c>
      <c r="T722" s="48">
        <f>1+T710</f>
        <v>1883</v>
      </c>
      <c r="U722" s="3">
        <v>8.1999999999999993</v>
      </c>
    </row>
    <row r="723" spans="19:21">
      <c r="S723" s="3" t="s">
        <v>117</v>
      </c>
      <c r="T723" s="3" t="s">
        <v>117</v>
      </c>
      <c r="U723" s="3">
        <v>6.7</v>
      </c>
    </row>
    <row r="724" spans="19:21">
      <c r="S724" s="3" t="s">
        <v>118</v>
      </c>
      <c r="T724" s="3" t="s">
        <v>118</v>
      </c>
      <c r="U724" s="3">
        <v>5</v>
      </c>
    </row>
    <row r="725" spans="19:21">
      <c r="S725" s="3" t="s">
        <v>119</v>
      </c>
      <c r="T725" s="3" t="s">
        <v>119</v>
      </c>
      <c r="U725" s="3">
        <v>3.6</v>
      </c>
    </row>
    <row r="726" spans="19:21">
      <c r="S726" s="3" t="s">
        <v>120</v>
      </c>
      <c r="T726" s="3" t="s">
        <v>120</v>
      </c>
      <c r="U726" s="3">
        <v>3.3</v>
      </c>
    </row>
    <row r="727" spans="19:21">
      <c r="S727" s="3" t="s">
        <v>121</v>
      </c>
      <c r="T727" s="3" t="s">
        <v>121</v>
      </c>
      <c r="U727" s="3">
        <v>2.7</v>
      </c>
    </row>
    <row r="728" spans="19:21">
      <c r="S728" s="3" t="s">
        <v>122</v>
      </c>
      <c r="T728" s="3" t="s">
        <v>122</v>
      </c>
      <c r="U728" s="3">
        <v>2.7</v>
      </c>
    </row>
    <row r="729" spans="19:21">
      <c r="S729" s="3" t="s">
        <v>123</v>
      </c>
      <c r="T729" s="3" t="s">
        <v>123</v>
      </c>
      <c r="U729" s="3">
        <v>2.9</v>
      </c>
    </row>
    <row r="730" spans="19:21">
      <c r="S730" s="3" t="s">
        <v>124</v>
      </c>
      <c r="T730" s="3" t="s">
        <v>124</v>
      </c>
      <c r="U730" s="3">
        <v>3.4</v>
      </c>
    </row>
    <row r="731" spans="19:21">
      <c r="S731" s="3" t="s">
        <v>125</v>
      </c>
      <c r="T731" s="3" t="s">
        <v>125</v>
      </c>
      <c r="U731" s="3">
        <v>2.4</v>
      </c>
    </row>
    <row r="732" spans="19:21">
      <c r="S732" s="3" t="s">
        <v>126</v>
      </c>
      <c r="T732" s="3" t="s">
        <v>126</v>
      </c>
      <c r="U732" s="3">
        <v>-0.7</v>
      </c>
    </row>
    <row r="733" spans="19:21">
      <c r="S733" s="3" t="s">
        <v>127</v>
      </c>
      <c r="T733" s="3" t="s">
        <v>127</v>
      </c>
      <c r="U733" s="3">
        <v>-3.6</v>
      </c>
    </row>
    <row r="734" spans="19:21">
      <c r="S734" s="101" t="s">
        <v>180</v>
      </c>
      <c r="T734" s="48">
        <f>1+T722</f>
        <v>1884</v>
      </c>
      <c r="U734" s="3">
        <v>-5</v>
      </c>
    </row>
    <row r="735" spans="19:21">
      <c r="S735" s="3" t="s">
        <v>117</v>
      </c>
      <c r="T735" s="3" t="s">
        <v>117</v>
      </c>
      <c r="U735" s="3">
        <v>-4.5999999999999996</v>
      </c>
    </row>
    <row r="736" spans="19:21">
      <c r="S736" s="3" t="s">
        <v>118</v>
      </c>
      <c r="T736" s="3" t="s">
        <v>118</v>
      </c>
      <c r="U736" s="3">
        <v>-4.0999999999999996</v>
      </c>
    </row>
    <row r="737" spans="19:21">
      <c r="S737" s="3" t="s">
        <v>119</v>
      </c>
      <c r="T737" s="3" t="s">
        <v>119</v>
      </c>
      <c r="U737" s="3">
        <v>-4.3</v>
      </c>
    </row>
    <row r="738" spans="19:21">
      <c r="S738" s="3" t="s">
        <v>120</v>
      </c>
      <c r="T738" s="3" t="s">
        <v>120</v>
      </c>
      <c r="U738" s="3">
        <v>-4.0999999999999996</v>
      </c>
    </row>
    <row r="739" spans="19:21">
      <c r="S739" s="3" t="s">
        <v>121</v>
      </c>
      <c r="T739" s="3" t="s">
        <v>121</v>
      </c>
      <c r="U739" s="3">
        <v>-3.2</v>
      </c>
    </row>
    <row r="740" spans="19:21">
      <c r="S740" s="3" t="s">
        <v>122</v>
      </c>
      <c r="T740" s="3" t="s">
        <v>122</v>
      </c>
      <c r="U740" s="3">
        <v>-4.8</v>
      </c>
    </row>
    <row r="741" spans="19:21">
      <c r="S741" s="3" t="s">
        <v>123</v>
      </c>
      <c r="T741" s="3" t="s">
        <v>123</v>
      </c>
      <c r="U741" s="3">
        <v>-7.4</v>
      </c>
    </row>
    <row r="742" spans="19:21">
      <c r="S742" s="3" t="s">
        <v>124</v>
      </c>
      <c r="T742" s="3" t="s">
        <v>124</v>
      </c>
      <c r="U742" s="3">
        <v>-9.1</v>
      </c>
    </row>
    <row r="743" spans="19:21">
      <c r="S743" s="3" t="s">
        <v>125</v>
      </c>
      <c r="T743" s="3" t="s">
        <v>125</v>
      </c>
      <c r="U743" s="3">
        <v>-9.6</v>
      </c>
    </row>
    <row r="744" spans="19:21">
      <c r="S744" s="3" t="s">
        <v>126</v>
      </c>
      <c r="T744" s="3" t="s">
        <v>126</v>
      </c>
      <c r="U744" s="3">
        <v>-10.1</v>
      </c>
    </row>
    <row r="745" spans="19:21">
      <c r="S745" s="3" t="s">
        <v>127</v>
      </c>
      <c r="T745" s="3" t="s">
        <v>127</v>
      </c>
      <c r="U745" s="3">
        <v>-11.1</v>
      </c>
    </row>
    <row r="746" spans="19:21">
      <c r="S746" s="101" t="s">
        <v>181</v>
      </c>
      <c r="T746" s="48">
        <f>1+T734</f>
        <v>1885</v>
      </c>
      <c r="U746" s="3">
        <v>-12.3</v>
      </c>
    </row>
    <row r="747" spans="19:21">
      <c r="S747" s="3" t="s">
        <v>117</v>
      </c>
      <c r="T747" s="3" t="s">
        <v>117</v>
      </c>
      <c r="U747" s="3">
        <v>-12.6</v>
      </c>
    </row>
    <row r="748" spans="19:21">
      <c r="S748" s="3" t="s">
        <v>118</v>
      </c>
      <c r="T748" s="3" t="s">
        <v>118</v>
      </c>
      <c r="U748" s="3">
        <v>-12.3</v>
      </c>
    </row>
    <row r="749" spans="19:21">
      <c r="S749" s="3" t="s">
        <v>119</v>
      </c>
      <c r="T749" s="3" t="s">
        <v>119</v>
      </c>
      <c r="U749" s="3">
        <v>-11.3</v>
      </c>
    </row>
    <row r="750" spans="19:21">
      <c r="S750" s="3" t="s">
        <v>120</v>
      </c>
      <c r="T750" s="3" t="s">
        <v>120</v>
      </c>
      <c r="U750" s="3">
        <v>-13.1</v>
      </c>
    </row>
    <row r="751" spans="19:21">
      <c r="S751" s="3" t="s">
        <v>121</v>
      </c>
      <c r="T751" s="3" t="s">
        <v>121</v>
      </c>
      <c r="U751" s="3">
        <v>-10.4</v>
      </c>
    </row>
    <row r="752" spans="19:21">
      <c r="S752" s="3" t="s">
        <v>122</v>
      </c>
      <c r="T752" s="3" t="s">
        <v>122</v>
      </c>
      <c r="U752" s="3">
        <v>-9.9</v>
      </c>
    </row>
    <row r="753" spans="19:21">
      <c r="S753" s="3" t="s">
        <v>123</v>
      </c>
      <c r="T753" s="3" t="s">
        <v>123</v>
      </c>
      <c r="U753" s="3">
        <v>-11.8</v>
      </c>
    </row>
    <row r="754" spans="19:21">
      <c r="S754" s="3" t="s">
        <v>124</v>
      </c>
      <c r="T754" s="3" t="s">
        <v>124</v>
      </c>
      <c r="U754" s="3">
        <v>-11.8</v>
      </c>
    </row>
    <row r="755" spans="19:21">
      <c r="S755" s="3" t="s">
        <v>125</v>
      </c>
      <c r="T755" s="3" t="s">
        <v>125</v>
      </c>
      <c r="U755" s="3">
        <v>-9.6</v>
      </c>
    </row>
    <row r="756" spans="19:21">
      <c r="S756" s="3" t="s">
        <v>126</v>
      </c>
      <c r="T756" s="3" t="s">
        <v>126</v>
      </c>
      <c r="U756" s="3">
        <v>-7.2</v>
      </c>
    </row>
    <row r="757" spans="19:21">
      <c r="S757" s="3" t="s">
        <v>127</v>
      </c>
      <c r="T757" s="3" t="s">
        <v>127</v>
      </c>
      <c r="U757" s="3">
        <v>-3.6</v>
      </c>
    </row>
    <row r="758" spans="19:21">
      <c r="S758" s="101" t="s">
        <v>182</v>
      </c>
      <c r="T758" s="48">
        <f>1+T746</f>
        <v>1886</v>
      </c>
      <c r="U758" s="3">
        <v>-5.3</v>
      </c>
    </row>
    <row r="759" spans="19:21">
      <c r="S759" s="3" t="s">
        <v>117</v>
      </c>
      <c r="T759" s="3" t="s">
        <v>117</v>
      </c>
      <c r="U759" s="3">
        <v>-5.3</v>
      </c>
    </row>
    <row r="760" spans="19:21">
      <c r="S760" s="3" t="s">
        <v>118</v>
      </c>
      <c r="T760" s="3" t="s">
        <v>118</v>
      </c>
      <c r="U760" s="3">
        <v>-1.8</v>
      </c>
    </row>
    <row r="761" spans="19:21">
      <c r="S761" s="3" t="s">
        <v>119</v>
      </c>
      <c r="T761" s="3" t="s">
        <v>119</v>
      </c>
      <c r="U761" s="3">
        <v>-2</v>
      </c>
    </row>
    <row r="762" spans="19:21">
      <c r="S762" s="3" t="s">
        <v>120</v>
      </c>
      <c r="T762" s="3" t="s">
        <v>120</v>
      </c>
      <c r="U762" s="3">
        <v>-1.2</v>
      </c>
    </row>
    <row r="763" spans="19:21">
      <c r="S763" s="3" t="s">
        <v>121</v>
      </c>
      <c r="T763" s="3" t="s">
        <v>121</v>
      </c>
      <c r="U763" s="3">
        <v>3.1</v>
      </c>
    </row>
    <row r="764" spans="19:21">
      <c r="S764" s="3" t="s">
        <v>122</v>
      </c>
      <c r="T764" s="3" t="s">
        <v>122</v>
      </c>
      <c r="U764" s="3">
        <v>4</v>
      </c>
    </row>
    <row r="765" spans="19:21">
      <c r="S765" s="3" t="s">
        <v>123</v>
      </c>
      <c r="T765" s="3" t="s">
        <v>123</v>
      </c>
      <c r="U765" s="3">
        <v>2.2999999999999998</v>
      </c>
    </row>
    <row r="766" spans="19:21">
      <c r="S766" s="3" t="s">
        <v>124</v>
      </c>
      <c r="T766" s="3" t="s">
        <v>124</v>
      </c>
      <c r="U766" s="3">
        <v>2.6</v>
      </c>
    </row>
    <row r="767" spans="19:21">
      <c r="S767" s="3" t="s">
        <v>125</v>
      </c>
      <c r="T767" s="3" t="s">
        <v>125</v>
      </c>
      <c r="U767" s="3">
        <v>2.8</v>
      </c>
    </row>
    <row r="768" spans="19:21">
      <c r="S768" s="3" t="s">
        <v>126</v>
      </c>
      <c r="T768" s="3" t="s">
        <v>126</v>
      </c>
      <c r="U768" s="3">
        <v>3.5</v>
      </c>
    </row>
    <row r="769" spans="19:21">
      <c r="S769" s="3" t="s">
        <v>127</v>
      </c>
      <c r="T769" s="3" t="s">
        <v>127</v>
      </c>
      <c r="U769" s="3">
        <v>5.2</v>
      </c>
    </row>
    <row r="770" spans="19:21">
      <c r="S770" s="101" t="s">
        <v>183</v>
      </c>
      <c r="T770" s="48">
        <f>1+T758</f>
        <v>1887</v>
      </c>
      <c r="U770" s="3">
        <v>4.0999999999999996</v>
      </c>
    </row>
    <row r="771" spans="19:21">
      <c r="S771" s="3" t="s">
        <v>117</v>
      </c>
      <c r="T771" s="3" t="s">
        <v>117</v>
      </c>
      <c r="U771" s="3">
        <v>7.4</v>
      </c>
    </row>
    <row r="772" spans="19:21">
      <c r="S772" s="3" t="s">
        <v>118</v>
      </c>
      <c r="T772" s="3" t="s">
        <v>118</v>
      </c>
      <c r="U772" s="3">
        <v>10.5</v>
      </c>
    </row>
    <row r="773" spans="19:21">
      <c r="S773" s="3" t="s">
        <v>119</v>
      </c>
      <c r="T773" s="3" t="s">
        <v>119</v>
      </c>
      <c r="U773" s="3">
        <v>9.6999999999999993</v>
      </c>
    </row>
    <row r="774" spans="19:21">
      <c r="S774" s="3" t="s">
        <v>120</v>
      </c>
      <c r="T774" s="3" t="s">
        <v>120</v>
      </c>
      <c r="U774" s="3">
        <v>4.4000000000000004</v>
      </c>
    </row>
    <row r="775" spans="19:21">
      <c r="S775" s="3" t="s">
        <v>121</v>
      </c>
      <c r="T775" s="3" t="s">
        <v>121</v>
      </c>
      <c r="U775" s="3">
        <v>3.5</v>
      </c>
    </row>
    <row r="776" spans="19:21">
      <c r="S776" s="3" t="s">
        <v>122</v>
      </c>
      <c r="T776" s="3" t="s">
        <v>122</v>
      </c>
      <c r="U776" s="3">
        <v>-0.2</v>
      </c>
    </row>
    <row r="777" spans="19:21">
      <c r="S777" s="3" t="s">
        <v>123</v>
      </c>
      <c r="T777" s="3" t="s">
        <v>123</v>
      </c>
      <c r="U777" s="3">
        <v>5</v>
      </c>
    </row>
    <row r="778" spans="19:21">
      <c r="S778" s="3" t="s">
        <v>124</v>
      </c>
      <c r="T778" s="3" t="s">
        <v>124</v>
      </c>
      <c r="U778" s="3">
        <v>8</v>
      </c>
    </row>
    <row r="779" spans="19:21">
      <c r="S779" s="3" t="s">
        <v>125</v>
      </c>
      <c r="T779" s="3" t="s">
        <v>125</v>
      </c>
      <c r="U779" s="3">
        <v>7</v>
      </c>
    </row>
    <row r="780" spans="19:21">
      <c r="S780" s="3" t="s">
        <v>126</v>
      </c>
      <c r="T780" s="3" t="s">
        <v>126</v>
      </c>
      <c r="U780" s="3">
        <v>7.2</v>
      </c>
    </row>
    <row r="781" spans="19:21">
      <c r="S781" s="3" t="s">
        <v>127</v>
      </c>
      <c r="T781" s="3" t="s">
        <v>127</v>
      </c>
      <c r="U781" s="3">
        <v>3.8</v>
      </c>
    </row>
    <row r="782" spans="19:21">
      <c r="S782" s="101" t="s">
        <v>184</v>
      </c>
      <c r="T782" s="48">
        <f>1+T770</f>
        <v>1888</v>
      </c>
      <c r="U782" s="3">
        <v>0.1</v>
      </c>
    </row>
    <row r="783" spans="19:21">
      <c r="S783" s="3" t="s">
        <v>117</v>
      </c>
      <c r="T783" s="3" t="s">
        <v>117</v>
      </c>
      <c r="U783" s="3">
        <v>-0.4</v>
      </c>
    </row>
    <row r="784" spans="19:21">
      <c r="S784" s="3" t="s">
        <v>118</v>
      </c>
      <c r="T784" s="3" t="s">
        <v>118</v>
      </c>
      <c r="U784" s="3">
        <v>-1.2</v>
      </c>
    </row>
    <row r="785" spans="19:21">
      <c r="S785" s="3" t="s">
        <v>119</v>
      </c>
      <c r="T785" s="3" t="s">
        <v>119</v>
      </c>
      <c r="U785" s="3">
        <v>-2.2000000000000002</v>
      </c>
    </row>
    <row r="786" spans="19:21">
      <c r="S786" s="3" t="s">
        <v>120</v>
      </c>
      <c r="T786" s="3" t="s">
        <v>120</v>
      </c>
      <c r="U786" s="3">
        <v>0.4</v>
      </c>
    </row>
    <row r="787" spans="19:21">
      <c r="S787" s="3" t="s">
        <v>121</v>
      </c>
      <c r="T787" s="3" t="s">
        <v>121</v>
      </c>
      <c r="U787" s="3">
        <v>-1</v>
      </c>
    </row>
    <row r="788" spans="19:21">
      <c r="S788" s="3" t="s">
        <v>122</v>
      </c>
      <c r="T788" s="3" t="s">
        <v>122</v>
      </c>
      <c r="U788" s="3">
        <v>-1.2</v>
      </c>
    </row>
    <row r="789" spans="19:21">
      <c r="S789" s="3" t="s">
        <v>123</v>
      </c>
      <c r="T789" s="3" t="s">
        <v>123</v>
      </c>
      <c r="U789" s="3">
        <v>2.2000000000000002</v>
      </c>
    </row>
    <row r="790" spans="19:21">
      <c r="S790" s="3" t="s">
        <v>124</v>
      </c>
      <c r="T790" s="3" t="s">
        <v>124</v>
      </c>
      <c r="U790" s="3">
        <v>2.6</v>
      </c>
    </row>
    <row r="791" spans="19:21">
      <c r="S791" s="3" t="s">
        <v>125</v>
      </c>
      <c r="T791" s="3" t="s">
        <v>125</v>
      </c>
      <c r="U791" s="3">
        <v>6.3</v>
      </c>
    </row>
    <row r="792" spans="19:21">
      <c r="S792" s="3" t="s">
        <v>126</v>
      </c>
      <c r="T792" s="3" t="s">
        <v>126</v>
      </c>
      <c r="U792" s="3">
        <v>4</v>
      </c>
    </row>
    <row r="793" spans="19:21">
      <c r="S793" s="3" t="s">
        <v>127</v>
      </c>
      <c r="T793" s="3" t="s">
        <v>127</v>
      </c>
      <c r="U793" s="3">
        <v>5.9</v>
      </c>
    </row>
    <row r="794" spans="19:21">
      <c r="S794" s="101" t="s">
        <v>185</v>
      </c>
      <c r="T794" s="48">
        <f>1+T782</f>
        <v>1889</v>
      </c>
      <c r="U794" s="3">
        <v>6</v>
      </c>
    </row>
    <row r="795" spans="19:21">
      <c r="S795" s="3" t="s">
        <v>117</v>
      </c>
      <c r="T795" s="3" t="s">
        <v>117</v>
      </c>
      <c r="U795" s="3">
        <v>4.9000000000000004</v>
      </c>
    </row>
    <row r="796" spans="19:21">
      <c r="S796" s="3" t="s">
        <v>118</v>
      </c>
      <c r="T796" s="3" t="s">
        <v>118</v>
      </c>
      <c r="U796" s="3">
        <v>3.7</v>
      </c>
    </row>
    <row r="797" spans="19:21">
      <c r="S797" s="3" t="s">
        <v>119</v>
      </c>
      <c r="T797" s="3" t="s">
        <v>119</v>
      </c>
      <c r="U797" s="3">
        <v>1.4</v>
      </c>
    </row>
    <row r="798" spans="19:21">
      <c r="S798" s="3" t="s">
        <v>120</v>
      </c>
      <c r="T798" s="3" t="s">
        <v>120</v>
      </c>
      <c r="U798" s="3">
        <v>1.1000000000000001</v>
      </c>
    </row>
    <row r="799" spans="19:21">
      <c r="S799" s="3" t="s">
        <v>121</v>
      </c>
      <c r="T799" s="3" t="s">
        <v>121</v>
      </c>
      <c r="U799" s="3">
        <v>-0.2</v>
      </c>
    </row>
    <row r="800" spans="19:21">
      <c r="S800" s="3" t="s">
        <v>122</v>
      </c>
      <c r="T800" s="3" t="s">
        <v>122</v>
      </c>
      <c r="U800" s="3">
        <v>2.2000000000000002</v>
      </c>
    </row>
    <row r="801" spans="19:21">
      <c r="S801" s="3" t="s">
        <v>123</v>
      </c>
      <c r="T801" s="3" t="s">
        <v>123</v>
      </c>
      <c r="U801" s="3">
        <v>2.6</v>
      </c>
    </row>
    <row r="802" spans="19:21">
      <c r="S802" s="3" t="s">
        <v>124</v>
      </c>
      <c r="T802" s="3" t="s">
        <v>124</v>
      </c>
      <c r="U802" s="3">
        <v>1.6</v>
      </c>
    </row>
    <row r="803" spans="19:21">
      <c r="S803" s="3" t="s">
        <v>125</v>
      </c>
      <c r="T803" s="3" t="s">
        <v>125</v>
      </c>
      <c r="U803" s="3">
        <v>5.9</v>
      </c>
    </row>
    <row r="804" spans="19:21">
      <c r="S804" s="3" t="s">
        <v>126</v>
      </c>
      <c r="T804" s="3" t="s">
        <v>126</v>
      </c>
      <c r="U804" s="3">
        <v>6</v>
      </c>
    </row>
    <row r="805" spans="19:21">
      <c r="S805" s="3" t="s">
        <v>127</v>
      </c>
      <c r="T805" s="3" t="s">
        <v>127</v>
      </c>
      <c r="U805" s="3">
        <v>6.3</v>
      </c>
    </row>
    <row r="806" spans="19:21">
      <c r="S806" s="101" t="s">
        <v>186</v>
      </c>
      <c r="T806" s="48">
        <f>1+T794</f>
        <v>1890</v>
      </c>
      <c r="U806" s="3">
        <v>9.1999999999999993</v>
      </c>
    </row>
    <row r="807" spans="19:21">
      <c r="S807" s="3" t="s">
        <v>117</v>
      </c>
      <c r="T807" s="3" t="s">
        <v>117</v>
      </c>
      <c r="U807" s="3">
        <v>8.5</v>
      </c>
    </row>
    <row r="808" spans="19:21">
      <c r="S808" s="3" t="s">
        <v>118</v>
      </c>
      <c r="T808" s="3" t="s">
        <v>118</v>
      </c>
      <c r="U808" s="3">
        <v>10</v>
      </c>
    </row>
    <row r="809" spans="19:21">
      <c r="S809" s="3" t="s">
        <v>119</v>
      </c>
      <c r="T809" s="3" t="s">
        <v>119</v>
      </c>
      <c r="U809" s="3">
        <v>11.2</v>
      </c>
    </row>
    <row r="810" spans="19:21">
      <c r="S810" s="3" t="s">
        <v>120</v>
      </c>
      <c r="T810" s="3" t="s">
        <v>120</v>
      </c>
      <c r="U810" s="3">
        <v>12.8</v>
      </c>
    </row>
    <row r="811" spans="19:21">
      <c r="S811" s="3" t="s">
        <v>121</v>
      </c>
      <c r="T811" s="3" t="s">
        <v>121</v>
      </c>
      <c r="U811" s="3">
        <v>10.9</v>
      </c>
    </row>
    <row r="812" spans="19:21">
      <c r="S812" s="3" t="s">
        <v>122</v>
      </c>
      <c r="T812" s="3" t="s">
        <v>122</v>
      </c>
      <c r="U812" s="3">
        <v>10.3</v>
      </c>
    </row>
    <row r="813" spans="19:21">
      <c r="S813" s="3" t="s">
        <v>123</v>
      </c>
      <c r="T813" s="3" t="s">
        <v>123</v>
      </c>
      <c r="U813" s="3">
        <v>8.1999999999999993</v>
      </c>
    </row>
    <row r="814" spans="19:21">
      <c r="S814" s="3" t="s">
        <v>124</v>
      </c>
      <c r="T814" s="3" t="s">
        <v>124</v>
      </c>
      <c r="U814" s="3">
        <v>11</v>
      </c>
    </row>
    <row r="815" spans="19:21">
      <c r="S815" s="3" t="s">
        <v>125</v>
      </c>
      <c r="T815" s="3" t="s">
        <v>125</v>
      </c>
      <c r="U815" s="3">
        <v>12.3</v>
      </c>
    </row>
    <row r="816" spans="19:21">
      <c r="S816" s="3" t="s">
        <v>126</v>
      </c>
      <c r="T816" s="3" t="s">
        <v>126</v>
      </c>
      <c r="U816" s="3">
        <v>8.6999999999999993</v>
      </c>
    </row>
    <row r="817" spans="19:21">
      <c r="S817" s="3" t="s">
        <v>127</v>
      </c>
      <c r="T817" s="3" t="s">
        <v>127</v>
      </c>
      <c r="U817" s="3">
        <v>4.0999999999999996</v>
      </c>
    </row>
    <row r="818" spans="19:21">
      <c r="S818" s="101" t="s">
        <v>187</v>
      </c>
      <c r="T818" s="48">
        <f>1+T806</f>
        <v>1891</v>
      </c>
      <c r="U818" s="3">
        <v>2.4</v>
      </c>
    </row>
    <row r="819" spans="19:21">
      <c r="S819" s="3" t="s">
        <v>117</v>
      </c>
      <c r="T819" s="3" t="s">
        <v>117</v>
      </c>
      <c r="U819" s="3">
        <v>-1.2</v>
      </c>
    </row>
    <row r="820" spans="19:21">
      <c r="S820" s="3" t="s">
        <v>118</v>
      </c>
      <c r="T820" s="3" t="s">
        <v>118</v>
      </c>
      <c r="U820" s="3">
        <v>-6.5</v>
      </c>
    </row>
    <row r="821" spans="19:21">
      <c r="S821" s="3" t="s">
        <v>119</v>
      </c>
      <c r="T821" s="3" t="s">
        <v>119</v>
      </c>
      <c r="U821" s="3">
        <v>-6.2</v>
      </c>
    </row>
    <row r="822" spans="19:21">
      <c r="S822" s="3" t="s">
        <v>120</v>
      </c>
      <c r="T822" s="3" t="s">
        <v>120</v>
      </c>
      <c r="U822" s="3">
        <v>-3</v>
      </c>
    </row>
    <row r="823" spans="19:21">
      <c r="S823" s="3" t="s">
        <v>121</v>
      </c>
      <c r="T823" s="3" t="s">
        <v>121</v>
      </c>
      <c r="U823" s="3">
        <v>4.5</v>
      </c>
    </row>
    <row r="824" spans="19:21">
      <c r="S824" s="3" t="s">
        <v>122</v>
      </c>
      <c r="T824" s="3" t="s">
        <v>122</v>
      </c>
      <c r="U824" s="3">
        <v>8.8000000000000007</v>
      </c>
    </row>
    <row r="825" spans="19:21">
      <c r="S825" s="3" t="s">
        <v>123</v>
      </c>
      <c r="T825" s="3" t="s">
        <v>123</v>
      </c>
      <c r="U825" s="3">
        <v>8.8000000000000007</v>
      </c>
    </row>
    <row r="826" spans="19:21">
      <c r="S826" s="3" t="s">
        <v>124</v>
      </c>
      <c r="T826" s="3" t="s">
        <v>124</v>
      </c>
      <c r="U826" s="3">
        <v>12.8</v>
      </c>
    </row>
    <row r="827" spans="19:21">
      <c r="S827" s="3" t="s">
        <v>125</v>
      </c>
      <c r="T827" s="3" t="s">
        <v>125</v>
      </c>
      <c r="U827" s="3">
        <v>12.6</v>
      </c>
    </row>
    <row r="828" spans="19:21">
      <c r="S828" s="3" t="s">
        <v>126</v>
      </c>
      <c r="T828" s="3" t="s">
        <v>126</v>
      </c>
      <c r="U828" s="3">
        <v>9.9</v>
      </c>
    </row>
    <row r="829" spans="19:21">
      <c r="S829" s="3" t="s">
        <v>127</v>
      </c>
      <c r="T829" s="3" t="s">
        <v>127</v>
      </c>
      <c r="U829" s="3">
        <v>11.5</v>
      </c>
    </row>
    <row r="830" spans="19:21">
      <c r="S830" s="101" t="s">
        <v>188</v>
      </c>
      <c r="T830" s="48">
        <f>1+T818</f>
        <v>1892</v>
      </c>
      <c r="U830" s="3">
        <v>12.5</v>
      </c>
    </row>
    <row r="831" spans="19:21">
      <c r="S831" s="3" t="s">
        <v>117</v>
      </c>
      <c r="T831" s="3" t="s">
        <v>117</v>
      </c>
      <c r="U831" s="3">
        <v>13.9</v>
      </c>
    </row>
    <row r="832" spans="19:21">
      <c r="S832" s="3" t="s">
        <v>118</v>
      </c>
      <c r="T832" s="3" t="s">
        <v>118</v>
      </c>
      <c r="U832" s="3">
        <v>10</v>
      </c>
    </row>
    <row r="833" spans="19:21">
      <c r="S833" s="3" t="s">
        <v>119</v>
      </c>
      <c r="T833" s="3" t="s">
        <v>119</v>
      </c>
      <c r="U833" s="3">
        <v>7.9</v>
      </c>
    </row>
    <row r="834" spans="19:21">
      <c r="S834" s="3" t="s">
        <v>120</v>
      </c>
      <c r="T834" s="3" t="s">
        <v>120</v>
      </c>
      <c r="U834" s="3">
        <v>5.9</v>
      </c>
    </row>
    <row r="835" spans="19:21">
      <c r="S835" s="3" t="s">
        <v>121</v>
      </c>
      <c r="T835" s="3" t="s">
        <v>121</v>
      </c>
      <c r="U835" s="3">
        <v>5.9</v>
      </c>
    </row>
    <row r="836" spans="19:21">
      <c r="S836" s="3" t="s">
        <v>122</v>
      </c>
      <c r="T836" s="3" t="s">
        <v>122</v>
      </c>
      <c r="U836" s="3">
        <v>2.4</v>
      </c>
    </row>
    <row r="837" spans="19:21">
      <c r="S837" s="3" t="s">
        <v>123</v>
      </c>
      <c r="T837" s="3" t="s">
        <v>123</v>
      </c>
      <c r="U837" s="3">
        <v>2.2999999999999998</v>
      </c>
    </row>
    <row r="838" spans="19:21">
      <c r="S838" s="3" t="s">
        <v>124</v>
      </c>
      <c r="T838" s="3" t="s">
        <v>124</v>
      </c>
      <c r="U838" s="3">
        <v>3.5</v>
      </c>
    </row>
    <row r="839" spans="19:21">
      <c r="S839" s="3" t="s">
        <v>125</v>
      </c>
      <c r="T839" s="3" t="s">
        <v>125</v>
      </c>
      <c r="U839" s="3">
        <v>4.9000000000000004</v>
      </c>
    </row>
    <row r="840" spans="19:21">
      <c r="S840" s="3" t="s">
        <v>126</v>
      </c>
      <c r="T840" s="3" t="s">
        <v>126</v>
      </c>
      <c r="U840" s="3">
        <v>6.7</v>
      </c>
    </row>
    <row r="841" spans="19:21">
      <c r="S841" s="3" t="s">
        <v>127</v>
      </c>
      <c r="T841" s="3" t="s">
        <v>127</v>
      </c>
      <c r="U841" s="3">
        <v>8.4</v>
      </c>
    </row>
    <row r="842" spans="19:21">
      <c r="S842" s="101" t="s">
        <v>189</v>
      </c>
      <c r="T842" s="48">
        <f>1+T830</f>
        <v>1893</v>
      </c>
      <c r="U842" s="3">
        <v>6</v>
      </c>
    </row>
    <row r="843" spans="19:21">
      <c r="S843" s="3" t="s">
        <v>117</v>
      </c>
      <c r="T843" s="3" t="s">
        <v>117</v>
      </c>
      <c r="U843" s="3">
        <v>6.8</v>
      </c>
    </row>
    <row r="844" spans="19:21">
      <c r="S844" s="3" t="s">
        <v>118</v>
      </c>
      <c r="T844" s="3" t="s">
        <v>118</v>
      </c>
      <c r="U844" s="3">
        <v>6.8</v>
      </c>
    </row>
    <row r="845" spans="19:21">
      <c r="S845" s="3" t="s">
        <v>119</v>
      </c>
      <c r="T845" s="3" t="s">
        <v>119</v>
      </c>
      <c r="U845" s="3">
        <v>10</v>
      </c>
    </row>
    <row r="846" spans="19:21">
      <c r="S846" s="3" t="s">
        <v>120</v>
      </c>
      <c r="T846" s="3" t="s">
        <v>120</v>
      </c>
      <c r="U846" s="3">
        <v>9.8000000000000007</v>
      </c>
    </row>
    <row r="847" spans="19:21">
      <c r="S847" s="3" t="s">
        <v>121</v>
      </c>
      <c r="T847" s="3" t="s">
        <v>121</v>
      </c>
      <c r="U847" s="3">
        <v>3.8</v>
      </c>
    </row>
    <row r="848" spans="19:21">
      <c r="S848" s="3" t="s">
        <v>122</v>
      </c>
      <c r="T848" s="3" t="s">
        <v>122</v>
      </c>
      <c r="U848" s="3">
        <v>-5.9</v>
      </c>
    </row>
    <row r="849" spans="19:21">
      <c r="S849" s="3" t="s">
        <v>123</v>
      </c>
      <c r="T849" s="3" t="s">
        <v>123</v>
      </c>
      <c r="U849" s="3">
        <v>-16.3</v>
      </c>
    </row>
    <row r="850" spans="19:21">
      <c r="S850" s="3" t="s">
        <v>124</v>
      </c>
      <c r="T850" s="3" t="s">
        <v>124</v>
      </c>
      <c r="U850" s="3">
        <v>-19.8</v>
      </c>
    </row>
    <row r="851" spans="19:21">
      <c r="S851" s="3" t="s">
        <v>125</v>
      </c>
      <c r="T851" s="3" t="s">
        <v>125</v>
      </c>
      <c r="U851" s="3">
        <v>-19.100000000000001</v>
      </c>
    </row>
    <row r="852" spans="19:21">
      <c r="S852" s="3" t="s">
        <v>126</v>
      </c>
      <c r="T852" s="3" t="s">
        <v>126</v>
      </c>
      <c r="U852" s="3">
        <v>-16.5</v>
      </c>
    </row>
    <row r="853" spans="19:21">
      <c r="S853" s="3" t="s">
        <v>127</v>
      </c>
      <c r="T853" s="3" t="s">
        <v>127</v>
      </c>
      <c r="U853" s="3">
        <v>-15.6</v>
      </c>
    </row>
    <row r="854" spans="19:21">
      <c r="S854" s="101" t="s">
        <v>190</v>
      </c>
      <c r="T854" s="48">
        <f>1+T842</f>
        <v>1894</v>
      </c>
      <c r="U854" s="3">
        <v>-15.2</v>
      </c>
    </row>
    <row r="855" spans="19:21">
      <c r="S855" s="3" t="s">
        <v>117</v>
      </c>
      <c r="T855" s="3" t="s">
        <v>117</v>
      </c>
      <c r="U855" s="3">
        <v>-15</v>
      </c>
    </row>
    <row r="856" spans="19:21">
      <c r="S856" s="3" t="s">
        <v>118</v>
      </c>
      <c r="T856" s="3" t="s">
        <v>118</v>
      </c>
      <c r="U856" s="3">
        <v>-12.5</v>
      </c>
    </row>
    <row r="857" spans="19:21">
      <c r="S857" s="3" t="s">
        <v>119</v>
      </c>
      <c r="T857" s="3" t="s">
        <v>119</v>
      </c>
      <c r="U857" s="3">
        <v>-14.1</v>
      </c>
    </row>
    <row r="858" spans="19:21">
      <c r="S858" s="3" t="s">
        <v>120</v>
      </c>
      <c r="T858" s="3" t="s">
        <v>120</v>
      </c>
      <c r="U858" s="3">
        <v>-18.600000000000001</v>
      </c>
    </row>
    <row r="859" spans="19:21">
      <c r="S859" s="3" t="s">
        <v>121</v>
      </c>
      <c r="T859" s="3" t="s">
        <v>121</v>
      </c>
      <c r="U859" s="3">
        <v>-19.899999999999999</v>
      </c>
    </row>
    <row r="860" spans="19:21">
      <c r="S860" s="3" t="s">
        <v>122</v>
      </c>
      <c r="T860" s="3" t="s">
        <v>122</v>
      </c>
      <c r="U860" s="3">
        <v>-15.3</v>
      </c>
    </row>
    <row r="861" spans="19:21">
      <c r="S861" s="3" t="s">
        <v>123</v>
      </c>
      <c r="T861" s="3" t="s">
        <v>123</v>
      </c>
      <c r="U861" s="3">
        <v>-7.7</v>
      </c>
    </row>
    <row r="862" spans="19:21">
      <c r="S862" s="3" t="s">
        <v>124</v>
      </c>
      <c r="T862" s="3" t="s">
        <v>124</v>
      </c>
      <c r="U862" s="3">
        <v>-6</v>
      </c>
    </row>
    <row r="863" spans="19:21">
      <c r="S863" s="3" t="s">
        <v>125</v>
      </c>
      <c r="T863" s="3" t="s">
        <v>125</v>
      </c>
      <c r="U863" s="3">
        <v>-5.2</v>
      </c>
    </row>
    <row r="864" spans="19:21">
      <c r="S864" s="3" t="s">
        <v>126</v>
      </c>
      <c r="T864" s="3" t="s">
        <v>126</v>
      </c>
      <c r="U864" s="3">
        <v>-4.4000000000000004</v>
      </c>
    </row>
    <row r="865" spans="19:21">
      <c r="S865" s="3" t="s">
        <v>127</v>
      </c>
      <c r="T865" s="3" t="s">
        <v>127</v>
      </c>
      <c r="U865" s="3">
        <v>-3.7</v>
      </c>
    </row>
    <row r="866" spans="19:21">
      <c r="S866" s="101" t="s">
        <v>191</v>
      </c>
      <c r="T866" s="48">
        <f>1+T854</f>
        <v>1895</v>
      </c>
      <c r="U866" s="3">
        <v>-3.9</v>
      </c>
    </row>
    <row r="867" spans="19:21">
      <c r="S867" s="3" t="s">
        <v>117</v>
      </c>
      <c r="T867" s="3" t="s">
        <v>117</v>
      </c>
      <c r="U867" s="3">
        <v>-7.7</v>
      </c>
    </row>
    <row r="868" spans="19:21">
      <c r="S868" s="3" t="s">
        <v>118</v>
      </c>
      <c r="T868" s="3" t="s">
        <v>118</v>
      </c>
      <c r="U868" s="3">
        <v>-8.5</v>
      </c>
    </row>
    <row r="869" spans="19:21">
      <c r="S869" s="3" t="s">
        <v>119</v>
      </c>
      <c r="T869" s="3" t="s">
        <v>119</v>
      </c>
      <c r="U869" s="3">
        <v>-9.1</v>
      </c>
    </row>
    <row r="870" spans="19:21">
      <c r="S870" s="3" t="s">
        <v>120</v>
      </c>
      <c r="T870" s="3" t="s">
        <v>120</v>
      </c>
      <c r="U870" s="3">
        <v>-7.7</v>
      </c>
    </row>
    <row r="871" spans="19:21">
      <c r="S871" s="3" t="s">
        <v>121</v>
      </c>
      <c r="T871" s="3" t="s">
        <v>121</v>
      </c>
      <c r="U871" s="3">
        <v>-5.3</v>
      </c>
    </row>
    <row r="872" spans="19:21">
      <c r="S872" s="3" t="s">
        <v>122</v>
      </c>
      <c r="T872" s="3" t="s">
        <v>122</v>
      </c>
      <c r="U872" s="3">
        <v>-1.9</v>
      </c>
    </row>
    <row r="873" spans="19:21">
      <c r="S873" s="3" t="s">
        <v>123</v>
      </c>
      <c r="T873" s="3" t="s">
        <v>123</v>
      </c>
      <c r="U873" s="3">
        <v>0.4</v>
      </c>
    </row>
    <row r="874" spans="19:21">
      <c r="S874" s="3" t="s">
        <v>124</v>
      </c>
      <c r="T874" s="3" t="s">
        <v>124</v>
      </c>
      <c r="U874" s="3">
        <v>2.5</v>
      </c>
    </row>
    <row r="875" spans="19:21">
      <c r="S875" s="3" t="s">
        <v>125</v>
      </c>
      <c r="T875" s="3" t="s">
        <v>125</v>
      </c>
      <c r="U875" s="3">
        <v>5.6</v>
      </c>
    </row>
    <row r="876" spans="19:21">
      <c r="S876" s="3" t="s">
        <v>126</v>
      </c>
      <c r="T876" s="3" t="s">
        <v>126</v>
      </c>
      <c r="U876" s="3">
        <v>5.3</v>
      </c>
    </row>
    <row r="877" spans="19:21">
      <c r="S877" s="3" t="s">
        <v>127</v>
      </c>
      <c r="T877" s="3" t="s">
        <v>127</v>
      </c>
      <c r="U877" s="3">
        <v>4.5999999999999996</v>
      </c>
    </row>
    <row r="878" spans="19:21">
      <c r="S878" s="101" t="s">
        <v>192</v>
      </c>
      <c r="T878" s="48">
        <f>1+T866</f>
        <v>1896</v>
      </c>
      <c r="U878" s="3">
        <v>-0.1</v>
      </c>
    </row>
    <row r="879" spans="19:21">
      <c r="S879" s="3" t="s">
        <v>117</v>
      </c>
      <c r="T879" s="3" t="s">
        <v>117</v>
      </c>
      <c r="U879" s="3">
        <v>-1.5</v>
      </c>
    </row>
    <row r="880" spans="19:21">
      <c r="S880" s="3" t="s">
        <v>118</v>
      </c>
      <c r="T880" s="3" t="s">
        <v>118</v>
      </c>
      <c r="U880" s="3">
        <v>-4.9000000000000004</v>
      </c>
    </row>
    <row r="881" spans="19:21">
      <c r="S881" s="3" t="s">
        <v>119</v>
      </c>
      <c r="T881" s="3" t="s">
        <v>119</v>
      </c>
      <c r="U881" s="3">
        <v>-3.9</v>
      </c>
    </row>
    <row r="882" spans="19:21">
      <c r="S882" s="3" t="s">
        <v>120</v>
      </c>
      <c r="T882" s="3" t="s">
        <v>120</v>
      </c>
      <c r="U882" s="3">
        <v>-6</v>
      </c>
    </row>
    <row r="883" spans="19:21">
      <c r="S883" s="3" t="s">
        <v>121</v>
      </c>
      <c r="T883" s="3" t="s">
        <v>121</v>
      </c>
      <c r="U883" s="3">
        <v>-6.8</v>
      </c>
    </row>
    <row r="884" spans="19:21">
      <c r="S884" s="3" t="s">
        <v>122</v>
      </c>
      <c r="T884" s="3" t="s">
        <v>122</v>
      </c>
      <c r="U884" s="3">
        <v>-9.1</v>
      </c>
    </row>
    <row r="885" spans="19:21">
      <c r="S885" s="3" t="s">
        <v>123</v>
      </c>
      <c r="T885" s="3" t="s">
        <v>123</v>
      </c>
      <c r="U885" s="3">
        <v>-14.8</v>
      </c>
    </row>
    <row r="886" spans="19:21">
      <c r="S886" s="3" t="s">
        <v>124</v>
      </c>
      <c r="T886" s="3" t="s">
        <v>124</v>
      </c>
      <c r="U886" s="3">
        <v>-17.899999999999999</v>
      </c>
    </row>
    <row r="887" spans="19:21">
      <c r="S887" s="3" t="s">
        <v>125</v>
      </c>
      <c r="T887" s="3" t="s">
        <v>125</v>
      </c>
      <c r="U887" s="3">
        <v>-17.3</v>
      </c>
    </row>
    <row r="888" spans="19:21">
      <c r="S888" s="3" t="s">
        <v>126</v>
      </c>
      <c r="T888" s="3" t="s">
        <v>126</v>
      </c>
      <c r="U888" s="3">
        <v>-14.6</v>
      </c>
    </row>
    <row r="889" spans="19:21">
      <c r="S889" s="3" t="s">
        <v>127</v>
      </c>
      <c r="T889" s="3" t="s">
        <v>127</v>
      </c>
      <c r="U889" s="3">
        <v>-12</v>
      </c>
    </row>
    <row r="890" spans="19:21">
      <c r="S890" s="101" t="s">
        <v>193</v>
      </c>
      <c r="T890" s="48">
        <f>1+T878</f>
        <v>1897</v>
      </c>
      <c r="U890" s="3">
        <v>-10.9</v>
      </c>
    </row>
    <row r="891" spans="19:21">
      <c r="S891" s="3" t="s">
        <v>117</v>
      </c>
      <c r="T891" s="3" t="s">
        <v>117</v>
      </c>
      <c r="U891" s="3">
        <v>-9.5</v>
      </c>
    </row>
    <row r="892" spans="19:21">
      <c r="S892" s="3" t="s">
        <v>118</v>
      </c>
      <c r="T892" s="3" t="s">
        <v>118</v>
      </c>
      <c r="U892" s="3">
        <v>-9.8000000000000007</v>
      </c>
    </row>
    <row r="893" spans="19:21">
      <c r="S893" s="3" t="s">
        <v>119</v>
      </c>
      <c r="T893" s="3" t="s">
        <v>119</v>
      </c>
      <c r="U893" s="3">
        <v>-10</v>
      </c>
    </row>
    <row r="894" spans="19:21">
      <c r="S894" s="3" t="s">
        <v>120</v>
      </c>
      <c r="T894" s="3" t="s">
        <v>120</v>
      </c>
      <c r="U894" s="3">
        <v>-11.6</v>
      </c>
    </row>
    <row r="895" spans="19:21">
      <c r="S895" s="3" t="s">
        <v>121</v>
      </c>
      <c r="T895" s="3" t="s">
        <v>121</v>
      </c>
      <c r="U895" s="3">
        <v>-10.4</v>
      </c>
    </row>
    <row r="896" spans="19:21">
      <c r="S896" s="3" t="s">
        <v>122</v>
      </c>
      <c r="T896" s="3" t="s">
        <v>122</v>
      </c>
      <c r="U896" s="3">
        <v>-10.6</v>
      </c>
    </row>
    <row r="897" spans="19:21">
      <c r="S897" s="3" t="s">
        <v>123</v>
      </c>
      <c r="T897" s="3" t="s">
        <v>123</v>
      </c>
      <c r="U897" s="3">
        <v>-7.4</v>
      </c>
    </row>
    <row r="898" spans="19:21">
      <c r="S898" s="3" t="s">
        <v>124</v>
      </c>
      <c r="T898" s="3" t="s">
        <v>124</v>
      </c>
      <c r="U898" s="3">
        <v>-2.2999999999999998</v>
      </c>
    </row>
    <row r="899" spans="19:21">
      <c r="S899" s="3" t="s">
        <v>125</v>
      </c>
      <c r="T899" s="3" t="s">
        <v>125</v>
      </c>
      <c r="U899" s="3">
        <v>-1.1000000000000001</v>
      </c>
    </row>
    <row r="900" spans="19:21">
      <c r="S900" s="3" t="s">
        <v>126</v>
      </c>
      <c r="T900" s="3" t="s">
        <v>126</v>
      </c>
      <c r="U900" s="3">
        <v>0.1</v>
      </c>
    </row>
    <row r="901" spans="19:21">
      <c r="S901" s="3" t="s">
        <v>127</v>
      </c>
      <c r="T901" s="3" t="s">
        <v>127</v>
      </c>
      <c r="U901" s="3">
        <v>1.3</v>
      </c>
    </row>
    <row r="902" spans="19:21">
      <c r="S902" s="101" t="s">
        <v>194</v>
      </c>
      <c r="T902" s="48">
        <f>1+T890</f>
        <v>1898</v>
      </c>
      <c r="U902" s="3">
        <v>1.1000000000000001</v>
      </c>
    </row>
    <row r="903" spans="19:21">
      <c r="S903" s="3" t="s">
        <v>117</v>
      </c>
      <c r="T903" s="3" t="s">
        <v>117</v>
      </c>
      <c r="U903" s="3">
        <v>2.5</v>
      </c>
    </row>
    <row r="904" spans="19:21">
      <c r="S904" s="3" t="s">
        <v>118</v>
      </c>
      <c r="T904" s="3" t="s">
        <v>118</v>
      </c>
      <c r="U904" s="3">
        <v>1.1000000000000001</v>
      </c>
    </row>
    <row r="905" spans="19:21">
      <c r="S905" s="3" t="s">
        <v>119</v>
      </c>
      <c r="T905" s="3" t="s">
        <v>119</v>
      </c>
      <c r="U905" s="3">
        <v>0</v>
      </c>
    </row>
    <row r="906" spans="19:21">
      <c r="S906" s="3" t="s">
        <v>120</v>
      </c>
      <c r="T906" s="3" t="s">
        <v>120</v>
      </c>
      <c r="U906" s="3">
        <v>-0.6</v>
      </c>
    </row>
    <row r="907" spans="19:21">
      <c r="S907" s="3" t="s">
        <v>121</v>
      </c>
      <c r="T907" s="3" t="s">
        <v>121</v>
      </c>
      <c r="U907" s="3">
        <v>0.6</v>
      </c>
    </row>
    <row r="908" spans="19:21">
      <c r="S908" s="3" t="s">
        <v>122</v>
      </c>
      <c r="T908" s="3" t="s">
        <v>122</v>
      </c>
      <c r="U908" s="3">
        <v>-1.7</v>
      </c>
    </row>
    <row r="909" spans="19:21">
      <c r="S909" s="3" t="s">
        <v>123</v>
      </c>
      <c r="T909" s="3" t="s">
        <v>123</v>
      </c>
      <c r="U909" s="3">
        <v>-0.3</v>
      </c>
    </row>
    <row r="910" spans="19:21">
      <c r="S910" s="3" t="s">
        <v>124</v>
      </c>
      <c r="T910" s="3" t="s">
        <v>124</v>
      </c>
      <c r="U910" s="3">
        <v>0</v>
      </c>
    </row>
    <row r="911" spans="19:21">
      <c r="S911" s="3" t="s">
        <v>125</v>
      </c>
      <c r="T911" s="3" t="s">
        <v>125</v>
      </c>
      <c r="U911" s="3">
        <v>-1.1000000000000001</v>
      </c>
    </row>
    <row r="912" spans="19:21">
      <c r="S912" s="3" t="s">
        <v>126</v>
      </c>
      <c r="T912" s="3" t="s">
        <v>126</v>
      </c>
      <c r="U912" s="3">
        <v>0.1</v>
      </c>
    </row>
    <row r="913" spans="19:21">
      <c r="S913" s="3" t="s">
        <v>127</v>
      </c>
      <c r="T913" s="3" t="s">
        <v>127</v>
      </c>
      <c r="U913" s="3">
        <v>1</v>
      </c>
    </row>
    <row r="914" spans="19:21">
      <c r="S914" s="101" t="s">
        <v>195</v>
      </c>
      <c r="T914" s="48">
        <f>1+T902</f>
        <v>1899</v>
      </c>
      <c r="U914" s="3">
        <v>1.1000000000000001</v>
      </c>
    </row>
    <row r="915" spans="19:21">
      <c r="S915" s="3" t="s">
        <v>117</v>
      </c>
      <c r="T915" s="3" t="s">
        <v>117</v>
      </c>
      <c r="U915" s="3">
        <v>0.4</v>
      </c>
    </row>
    <row r="916" spans="19:21">
      <c r="S916" s="3" t="s">
        <v>118</v>
      </c>
      <c r="T916" s="3" t="s">
        <v>118</v>
      </c>
      <c r="U916" s="3">
        <v>2.6</v>
      </c>
    </row>
    <row r="917" spans="19:21">
      <c r="S917" s="3" t="s">
        <v>119</v>
      </c>
      <c r="T917" s="3" t="s">
        <v>119</v>
      </c>
      <c r="U917" s="3">
        <v>1.6</v>
      </c>
    </row>
    <row r="918" spans="19:21">
      <c r="S918" s="3" t="s">
        <v>120</v>
      </c>
      <c r="T918" s="3" t="s">
        <v>120</v>
      </c>
      <c r="U918" s="3">
        <v>2.2999999999999998</v>
      </c>
    </row>
    <row r="919" spans="19:21">
      <c r="S919" s="3" t="s">
        <v>121</v>
      </c>
      <c r="T919" s="3" t="s">
        <v>121</v>
      </c>
      <c r="U919" s="3">
        <v>3.6</v>
      </c>
    </row>
    <row r="920" spans="19:21">
      <c r="S920" s="3" t="s">
        <v>122</v>
      </c>
      <c r="T920" s="3" t="s">
        <v>122</v>
      </c>
      <c r="U920" s="3">
        <v>3.7</v>
      </c>
    </row>
    <row r="921" spans="19:21">
      <c r="S921" s="3" t="s">
        <v>123</v>
      </c>
      <c r="T921" s="3" t="s">
        <v>123</v>
      </c>
      <c r="U921" s="3">
        <v>6</v>
      </c>
    </row>
    <row r="922" spans="19:21">
      <c r="S922" s="3" t="s">
        <v>124</v>
      </c>
      <c r="T922" s="3" t="s">
        <v>124</v>
      </c>
      <c r="U922" s="3">
        <v>7.6</v>
      </c>
    </row>
    <row r="923" spans="19:21">
      <c r="S923" s="3" t="s">
        <v>125</v>
      </c>
      <c r="T923" s="3" t="s">
        <v>125</v>
      </c>
      <c r="U923" s="3">
        <v>8.6</v>
      </c>
    </row>
    <row r="924" spans="19:21">
      <c r="S924" s="3" t="s">
        <v>126</v>
      </c>
      <c r="T924" s="3" t="s">
        <v>126</v>
      </c>
      <c r="U924" s="3">
        <v>8.6</v>
      </c>
    </row>
    <row r="925" spans="19:21">
      <c r="S925" s="3" t="s">
        <v>127</v>
      </c>
      <c r="T925" s="3" t="s">
        <v>127</v>
      </c>
      <c r="U925" s="3">
        <v>9.6</v>
      </c>
    </row>
    <row r="926" spans="19:21">
      <c r="S926" s="117">
        <v>1</v>
      </c>
      <c r="T926" s="48">
        <f>1+T914</f>
        <v>1900</v>
      </c>
      <c r="U926" s="3">
        <v>10.5</v>
      </c>
    </row>
    <row r="927" spans="19:21">
      <c r="S927" s="117">
        <v>32</v>
      </c>
      <c r="T927" s="117">
        <v>32</v>
      </c>
      <c r="U927" s="3">
        <v>10.9</v>
      </c>
    </row>
    <row r="928" spans="19:21">
      <c r="S928" s="117">
        <v>61</v>
      </c>
      <c r="T928" s="117">
        <v>61</v>
      </c>
      <c r="U928" s="3">
        <v>10.1</v>
      </c>
    </row>
    <row r="929" spans="19:21">
      <c r="S929" s="117">
        <v>92</v>
      </c>
      <c r="T929" s="117">
        <v>92</v>
      </c>
      <c r="U929" s="3">
        <v>9.1999999999999993</v>
      </c>
    </row>
    <row r="930" spans="19:21">
      <c r="S930" s="117">
        <v>122</v>
      </c>
      <c r="T930" s="117">
        <v>122</v>
      </c>
      <c r="U930" s="3">
        <v>8</v>
      </c>
    </row>
    <row r="931" spans="19:21">
      <c r="S931" s="117">
        <v>153</v>
      </c>
      <c r="T931" s="117">
        <v>153</v>
      </c>
      <c r="U931" s="3">
        <v>6.5</v>
      </c>
    </row>
    <row r="932" spans="19:21">
      <c r="S932" s="117">
        <v>183</v>
      </c>
      <c r="T932" s="117">
        <v>183</v>
      </c>
      <c r="U932" s="3">
        <v>1.2</v>
      </c>
    </row>
    <row r="933" spans="19:21">
      <c r="S933" s="117">
        <v>214</v>
      </c>
      <c r="T933" s="117">
        <v>214</v>
      </c>
      <c r="U933" s="3">
        <v>-1.3</v>
      </c>
    </row>
    <row r="934" spans="19:21">
      <c r="S934" s="117">
        <v>245</v>
      </c>
      <c r="T934" s="117">
        <v>245</v>
      </c>
      <c r="U934" s="3">
        <v>-4</v>
      </c>
    </row>
    <row r="935" spans="19:21">
      <c r="S935" s="117">
        <v>275</v>
      </c>
      <c r="T935" s="117">
        <v>275</v>
      </c>
      <c r="U935" s="3">
        <v>-4.5999999999999996</v>
      </c>
    </row>
    <row r="936" spans="19:21">
      <c r="S936" s="117">
        <v>306</v>
      </c>
      <c r="T936" s="117">
        <v>306</v>
      </c>
      <c r="U936" s="3">
        <v>-4.7</v>
      </c>
    </row>
    <row r="937" spans="19:21">
      <c r="S937" s="117">
        <v>336</v>
      </c>
      <c r="T937" s="117">
        <v>336</v>
      </c>
      <c r="U937" s="3">
        <v>-2.7</v>
      </c>
    </row>
    <row r="938" spans="19:21">
      <c r="S938" s="117">
        <v>367</v>
      </c>
      <c r="T938" s="48">
        <f>1+T926</f>
        <v>1901</v>
      </c>
      <c r="U938" s="3">
        <v>0.3</v>
      </c>
    </row>
    <row r="939" spans="19:21">
      <c r="S939" s="117">
        <v>398</v>
      </c>
      <c r="T939" s="117">
        <v>398</v>
      </c>
      <c r="U939" s="3">
        <v>1.6</v>
      </c>
    </row>
    <row r="940" spans="19:21">
      <c r="S940" s="117">
        <v>426</v>
      </c>
      <c r="T940" s="117">
        <v>426</v>
      </c>
      <c r="U940" s="3">
        <v>2.9</v>
      </c>
    </row>
    <row r="941" spans="19:21">
      <c r="S941" s="117">
        <v>457</v>
      </c>
      <c r="T941" s="117">
        <v>457</v>
      </c>
      <c r="U941" s="3">
        <v>5</v>
      </c>
    </row>
    <row r="942" spans="19:21">
      <c r="S942" s="117">
        <v>487</v>
      </c>
      <c r="T942" s="117">
        <v>487</v>
      </c>
      <c r="U942" s="3">
        <v>4.4000000000000004</v>
      </c>
    </row>
    <row r="943" spans="19:21">
      <c r="S943" s="117">
        <v>518</v>
      </c>
      <c r="T943" s="117">
        <v>518</v>
      </c>
      <c r="U943" s="3">
        <v>3.5</v>
      </c>
    </row>
    <row r="944" spans="19:21">
      <c r="S944" s="117">
        <v>548</v>
      </c>
      <c r="T944" s="117">
        <v>548</v>
      </c>
      <c r="U944" s="3">
        <v>4.4000000000000004</v>
      </c>
    </row>
    <row r="945" spans="19:21">
      <c r="S945" s="117">
        <v>579</v>
      </c>
      <c r="T945" s="117">
        <v>579</v>
      </c>
      <c r="U945" s="3">
        <v>4.2</v>
      </c>
    </row>
    <row r="946" spans="19:21">
      <c r="S946" s="117">
        <v>610</v>
      </c>
      <c r="T946" s="117">
        <v>610</v>
      </c>
      <c r="U946" s="3">
        <v>1.1000000000000001</v>
      </c>
    </row>
    <row r="947" spans="19:21">
      <c r="S947" s="117">
        <v>640</v>
      </c>
      <c r="T947" s="117">
        <v>640</v>
      </c>
      <c r="U947" s="3">
        <v>3.6</v>
      </c>
    </row>
    <row r="948" spans="19:21">
      <c r="S948" s="117">
        <v>671</v>
      </c>
      <c r="T948" s="117">
        <v>671</v>
      </c>
      <c r="U948" s="3">
        <v>3.3</v>
      </c>
    </row>
    <row r="949" spans="19:21">
      <c r="S949" s="117">
        <v>701</v>
      </c>
      <c r="T949" s="117">
        <v>701</v>
      </c>
      <c r="U949" s="3">
        <v>2.6</v>
      </c>
    </row>
    <row r="950" spans="19:21">
      <c r="S950" s="117">
        <v>732</v>
      </c>
      <c r="T950" s="48">
        <f>1+T938</f>
        <v>1902</v>
      </c>
      <c r="U950" s="3">
        <v>2.2999999999999998</v>
      </c>
    </row>
    <row r="951" spans="19:21">
      <c r="S951" s="117">
        <v>763</v>
      </c>
      <c r="T951" s="117">
        <v>763</v>
      </c>
      <c r="U951" s="3">
        <v>2</v>
      </c>
    </row>
    <row r="952" spans="19:21">
      <c r="S952" s="117">
        <v>791</v>
      </c>
      <c r="T952" s="117">
        <v>791</v>
      </c>
      <c r="U952" s="3">
        <v>2.4</v>
      </c>
    </row>
    <row r="953" spans="19:21">
      <c r="S953" s="117">
        <v>822</v>
      </c>
      <c r="T953" s="117">
        <v>822</v>
      </c>
      <c r="U953" s="3">
        <v>4.3</v>
      </c>
    </row>
    <row r="954" spans="19:21">
      <c r="S954" s="117">
        <v>852</v>
      </c>
      <c r="T954" s="117">
        <v>852</v>
      </c>
      <c r="U954" s="3">
        <v>4.5</v>
      </c>
    </row>
    <row r="955" spans="19:21">
      <c r="S955" s="117">
        <v>883</v>
      </c>
      <c r="T955" s="117">
        <v>883</v>
      </c>
      <c r="U955" s="3">
        <v>2.7</v>
      </c>
    </row>
    <row r="956" spans="19:21">
      <c r="S956" s="117">
        <v>913</v>
      </c>
      <c r="T956" s="117">
        <v>913</v>
      </c>
      <c r="U956" s="3">
        <v>3.6</v>
      </c>
    </row>
    <row r="957" spans="19:21">
      <c r="S957" s="117">
        <v>944</v>
      </c>
      <c r="T957" s="117">
        <v>944</v>
      </c>
      <c r="U957" s="3">
        <v>2.6</v>
      </c>
    </row>
    <row r="958" spans="19:21">
      <c r="S958" s="117">
        <v>975</v>
      </c>
      <c r="T958" s="117">
        <v>975</v>
      </c>
      <c r="U958" s="3">
        <v>4.3</v>
      </c>
    </row>
    <row r="959" spans="19:21">
      <c r="S959" s="117">
        <v>1005</v>
      </c>
      <c r="T959" s="117">
        <v>1005</v>
      </c>
      <c r="U959" s="3">
        <v>3.3</v>
      </c>
    </row>
    <row r="960" spans="19:21">
      <c r="S960" s="117">
        <v>1036</v>
      </c>
      <c r="T960" s="117">
        <v>1036</v>
      </c>
      <c r="U960" s="3">
        <v>2.9</v>
      </c>
    </row>
    <row r="961" spans="19:21">
      <c r="S961" s="117">
        <v>1066</v>
      </c>
      <c r="T961" s="117">
        <v>1066</v>
      </c>
      <c r="U961" s="3">
        <v>4.5</v>
      </c>
    </row>
    <row r="962" spans="19:21">
      <c r="S962" s="117">
        <v>1097</v>
      </c>
      <c r="T962" s="48">
        <f>1+T950</f>
        <v>1903</v>
      </c>
      <c r="U962" s="3">
        <v>4.3</v>
      </c>
    </row>
    <row r="963" spans="19:21">
      <c r="S963" s="117">
        <v>1128</v>
      </c>
      <c r="T963" s="117">
        <v>1128</v>
      </c>
      <c r="U963" s="3">
        <v>3.8</v>
      </c>
    </row>
    <row r="964" spans="19:21">
      <c r="S964" s="117">
        <v>1156</v>
      </c>
      <c r="T964" s="117">
        <v>1156</v>
      </c>
      <c r="U964" s="3">
        <v>4.8</v>
      </c>
    </row>
    <row r="965" spans="19:21">
      <c r="S965" s="117">
        <v>1187</v>
      </c>
      <c r="T965" s="117">
        <v>1187</v>
      </c>
      <c r="U965" s="3">
        <v>5.9</v>
      </c>
    </row>
    <row r="966" spans="19:21">
      <c r="S966" s="117">
        <v>1217</v>
      </c>
      <c r="T966" s="117">
        <v>1217</v>
      </c>
      <c r="U966" s="3">
        <v>5.5</v>
      </c>
    </row>
    <row r="967" spans="19:21">
      <c r="S967" s="117">
        <v>1248</v>
      </c>
      <c r="T967" s="117">
        <v>1248</v>
      </c>
      <c r="U967" s="3">
        <v>4.5999999999999996</v>
      </c>
    </row>
    <row r="968" spans="19:21">
      <c r="S968" s="117">
        <v>1278</v>
      </c>
      <c r="T968" s="117">
        <v>1278</v>
      </c>
      <c r="U968" s="3">
        <v>4.0999999999999996</v>
      </c>
    </row>
    <row r="969" spans="19:21">
      <c r="S969" s="117">
        <v>1309</v>
      </c>
      <c r="T969" s="117">
        <v>1309</v>
      </c>
      <c r="U969" s="3">
        <v>2.2999999999999998</v>
      </c>
    </row>
    <row r="970" spans="19:21">
      <c r="S970" s="117">
        <v>1340</v>
      </c>
      <c r="T970" s="117">
        <v>1340</v>
      </c>
      <c r="U970" s="3">
        <v>0.9</v>
      </c>
    </row>
    <row r="971" spans="19:21">
      <c r="S971" s="117">
        <v>1370</v>
      </c>
      <c r="T971" s="117">
        <v>1370</v>
      </c>
      <c r="U971" s="3">
        <v>-3.7</v>
      </c>
    </row>
    <row r="972" spans="19:21">
      <c r="S972" s="117">
        <v>1401</v>
      </c>
      <c r="T972" s="117">
        <v>1401</v>
      </c>
      <c r="U972" s="3">
        <v>-7.5</v>
      </c>
    </row>
    <row r="973" spans="19:21">
      <c r="S973" s="117">
        <v>1431</v>
      </c>
      <c r="T973" s="117">
        <v>1431</v>
      </c>
      <c r="U973" s="3">
        <v>-11</v>
      </c>
    </row>
    <row r="974" spans="19:21">
      <c r="S974" s="117">
        <v>1462</v>
      </c>
      <c r="T974" s="48">
        <f>1+T962</f>
        <v>1904</v>
      </c>
      <c r="U974" s="3">
        <v>-7.1</v>
      </c>
    </row>
    <row r="975" spans="19:21">
      <c r="S975" s="117">
        <v>1493</v>
      </c>
      <c r="T975" s="117">
        <v>1493</v>
      </c>
      <c r="U975" s="3">
        <v>-3.6</v>
      </c>
    </row>
    <row r="976" spans="19:21">
      <c r="S976" s="117">
        <v>1522</v>
      </c>
      <c r="T976" s="117">
        <v>1522</v>
      </c>
      <c r="U976" s="3">
        <v>-4.0999999999999996</v>
      </c>
    </row>
    <row r="977" spans="19:21">
      <c r="S977" s="117">
        <v>1553</v>
      </c>
      <c r="T977" s="117">
        <v>1553</v>
      </c>
      <c r="U977" s="3">
        <v>-2.2999999999999998</v>
      </c>
    </row>
    <row r="978" spans="19:21">
      <c r="S978" s="117">
        <v>1583</v>
      </c>
      <c r="T978" s="117">
        <v>1583</v>
      </c>
      <c r="U978" s="3">
        <v>-4.3</v>
      </c>
    </row>
    <row r="979" spans="19:21">
      <c r="S979" s="117">
        <v>1614</v>
      </c>
      <c r="T979" s="117">
        <v>1614</v>
      </c>
      <c r="U979" s="3">
        <v>-6.7</v>
      </c>
    </row>
    <row r="980" spans="19:21">
      <c r="S980" s="117">
        <v>1644</v>
      </c>
      <c r="T980" s="117">
        <v>1644</v>
      </c>
      <c r="U980" s="3">
        <v>-4.7</v>
      </c>
    </row>
    <row r="981" spans="19:21">
      <c r="S981" s="117">
        <v>1675</v>
      </c>
      <c r="T981" s="117">
        <v>1675</v>
      </c>
      <c r="U981" s="3">
        <v>-8</v>
      </c>
    </row>
    <row r="982" spans="19:21">
      <c r="S982" s="117">
        <v>1706</v>
      </c>
      <c r="T982" s="117">
        <v>1706</v>
      </c>
      <c r="U982" s="3">
        <v>-5.0999999999999996</v>
      </c>
    </row>
    <row r="983" spans="19:21">
      <c r="S983" s="117">
        <v>1736</v>
      </c>
      <c r="T983" s="117">
        <v>1736</v>
      </c>
      <c r="U983" s="3">
        <v>-5</v>
      </c>
    </row>
    <row r="984" spans="19:21">
      <c r="S984" s="117">
        <v>1767</v>
      </c>
      <c r="T984" s="117">
        <v>1767</v>
      </c>
      <c r="U984" s="3">
        <v>-0.6</v>
      </c>
    </row>
    <row r="985" spans="19:21">
      <c r="S985" s="117">
        <v>1797</v>
      </c>
      <c r="T985" s="117">
        <v>1797</v>
      </c>
      <c r="U985" s="3">
        <v>0.6</v>
      </c>
    </row>
    <row r="986" spans="19:21">
      <c r="S986" s="117">
        <v>1828</v>
      </c>
      <c r="T986" s="48">
        <f>1+T974</f>
        <v>1905</v>
      </c>
      <c r="U986" s="3">
        <v>3.4</v>
      </c>
    </row>
    <row r="987" spans="19:21">
      <c r="S987" s="117">
        <v>1859</v>
      </c>
      <c r="T987" s="117">
        <v>1859</v>
      </c>
      <c r="U987" s="3">
        <v>4</v>
      </c>
    </row>
    <row r="988" spans="19:21">
      <c r="S988" s="117">
        <v>1887</v>
      </c>
      <c r="T988" s="117">
        <v>1887</v>
      </c>
      <c r="U988" s="3">
        <v>6.9</v>
      </c>
    </row>
    <row r="989" spans="19:21">
      <c r="S989" s="117">
        <v>1918</v>
      </c>
      <c r="T989" s="117">
        <v>1918</v>
      </c>
      <c r="U989" s="3">
        <v>8.1999999999999993</v>
      </c>
    </row>
    <row r="990" spans="19:21">
      <c r="S990" s="117">
        <v>1948</v>
      </c>
      <c r="T990" s="117">
        <v>1948</v>
      </c>
      <c r="U990" s="3">
        <v>8.6999999999999993</v>
      </c>
    </row>
    <row r="991" spans="19:21">
      <c r="S991" s="117">
        <v>1979</v>
      </c>
      <c r="T991" s="117">
        <v>1979</v>
      </c>
      <c r="U991" s="3">
        <v>8.5</v>
      </c>
    </row>
    <row r="992" spans="19:21">
      <c r="S992" s="117">
        <v>2009</v>
      </c>
      <c r="T992" s="117">
        <v>2009</v>
      </c>
      <c r="U992" s="3">
        <v>8</v>
      </c>
    </row>
    <row r="993" spans="19:21">
      <c r="S993" s="117">
        <v>2040</v>
      </c>
      <c r="T993" s="117">
        <v>2040</v>
      </c>
      <c r="U993" s="3">
        <v>8.1999999999999993</v>
      </c>
    </row>
    <row r="994" spans="19:21">
      <c r="S994" s="117">
        <v>2071</v>
      </c>
      <c r="T994" s="117">
        <v>2071</v>
      </c>
      <c r="U994" s="3">
        <v>9.6999999999999993</v>
      </c>
    </row>
    <row r="995" spans="19:21">
      <c r="S995" s="117">
        <v>2101</v>
      </c>
      <c r="T995" s="117">
        <v>2101</v>
      </c>
      <c r="U995" s="3">
        <v>9.4</v>
      </c>
    </row>
    <row r="996" spans="19:21">
      <c r="S996" s="117">
        <v>2132</v>
      </c>
      <c r="T996" s="117">
        <v>2132</v>
      </c>
      <c r="U996" s="3">
        <v>10.9</v>
      </c>
    </row>
    <row r="997" spans="19:21">
      <c r="S997" s="117">
        <v>2162</v>
      </c>
      <c r="T997" s="117">
        <v>2162</v>
      </c>
      <c r="U997" s="3">
        <v>11.8</v>
      </c>
    </row>
    <row r="998" spans="19:21">
      <c r="S998" s="117">
        <v>2193</v>
      </c>
      <c r="T998" s="48">
        <f>1+T986</f>
        <v>1906</v>
      </c>
      <c r="U998" s="3">
        <v>12.6</v>
      </c>
    </row>
    <row r="999" spans="19:21">
      <c r="S999" s="117">
        <v>2224</v>
      </c>
      <c r="T999" s="117">
        <v>2224</v>
      </c>
      <c r="U999" s="3">
        <v>12</v>
      </c>
    </row>
    <row r="1000" spans="19:21">
      <c r="S1000" s="117">
        <v>2252</v>
      </c>
      <c r="T1000" s="117">
        <v>2252</v>
      </c>
      <c r="U1000" s="3">
        <v>10.4</v>
      </c>
    </row>
    <row r="1001" spans="19:21">
      <c r="S1001" s="117">
        <v>2283</v>
      </c>
      <c r="T1001" s="117">
        <v>2283</v>
      </c>
      <c r="U1001" s="3">
        <v>8.9</v>
      </c>
    </row>
    <row r="1002" spans="19:21">
      <c r="S1002" s="117">
        <v>2313</v>
      </c>
      <c r="T1002" s="117">
        <v>2313</v>
      </c>
      <c r="U1002" s="3">
        <v>10.199999999999999</v>
      </c>
    </row>
    <row r="1003" spans="19:21">
      <c r="S1003" s="117">
        <v>2344</v>
      </c>
      <c r="T1003" s="117">
        <v>2344</v>
      </c>
      <c r="U1003" s="3">
        <v>9.1</v>
      </c>
    </row>
    <row r="1004" spans="19:21">
      <c r="S1004" s="117">
        <v>2374</v>
      </c>
      <c r="T1004" s="117">
        <v>2374</v>
      </c>
      <c r="U1004" s="3">
        <v>8.8000000000000007</v>
      </c>
    </row>
    <row r="1005" spans="19:21">
      <c r="S1005" s="117">
        <v>2405</v>
      </c>
      <c r="T1005" s="117">
        <v>2405</v>
      </c>
      <c r="U1005" s="3">
        <v>9.4</v>
      </c>
    </row>
    <row r="1006" spans="19:21">
      <c r="S1006" s="117">
        <v>2436</v>
      </c>
      <c r="T1006" s="117">
        <v>2436</v>
      </c>
      <c r="U1006" s="3">
        <v>8.3000000000000007</v>
      </c>
    </row>
    <row r="1007" spans="19:21">
      <c r="S1007" s="117">
        <v>2466</v>
      </c>
      <c r="T1007" s="117">
        <v>2466</v>
      </c>
      <c r="U1007" s="3">
        <v>10.5</v>
      </c>
    </row>
    <row r="1008" spans="19:21">
      <c r="S1008" s="117">
        <v>2497</v>
      </c>
      <c r="T1008" s="117">
        <v>2497</v>
      </c>
      <c r="U1008" s="3">
        <v>10.7</v>
      </c>
    </row>
    <row r="1009" spans="19:21">
      <c r="S1009" s="117">
        <v>2527</v>
      </c>
      <c r="T1009" s="117">
        <v>2527</v>
      </c>
      <c r="U1009" s="3">
        <v>11.8</v>
      </c>
    </row>
    <row r="1010" spans="19:21">
      <c r="S1010" s="117">
        <v>2558</v>
      </c>
      <c r="T1010" s="48">
        <f>1+T998</f>
        <v>1907</v>
      </c>
      <c r="U1010" s="3">
        <v>11.5</v>
      </c>
    </row>
    <row r="1011" spans="19:21">
      <c r="S1011" s="117">
        <v>2589</v>
      </c>
      <c r="T1011" s="117">
        <v>2589</v>
      </c>
      <c r="U1011" s="3">
        <v>9.4</v>
      </c>
    </row>
    <row r="1012" spans="19:21">
      <c r="S1012" s="117">
        <v>2617</v>
      </c>
      <c r="T1012" s="117">
        <v>2617</v>
      </c>
      <c r="U1012" s="3">
        <v>9</v>
      </c>
    </row>
    <row r="1013" spans="19:21">
      <c r="S1013" s="117">
        <v>2648</v>
      </c>
      <c r="T1013" s="117">
        <v>2648</v>
      </c>
      <c r="U1013" s="3">
        <v>11</v>
      </c>
    </row>
    <row r="1014" spans="19:21">
      <c r="S1014" s="117">
        <v>2678</v>
      </c>
      <c r="T1014" s="117">
        <v>2678</v>
      </c>
      <c r="U1014" s="3">
        <v>11.6</v>
      </c>
    </row>
    <row r="1015" spans="19:21">
      <c r="S1015" s="117">
        <v>2709</v>
      </c>
      <c r="T1015" s="117">
        <v>2709</v>
      </c>
      <c r="U1015" s="3">
        <v>11.1</v>
      </c>
    </row>
    <row r="1016" spans="19:21">
      <c r="S1016" s="117">
        <v>2739</v>
      </c>
      <c r="T1016" s="117">
        <v>2739</v>
      </c>
      <c r="U1016" s="3">
        <v>11.2</v>
      </c>
    </row>
    <row r="1017" spans="19:21">
      <c r="S1017" s="117">
        <v>2770</v>
      </c>
      <c r="T1017" s="117">
        <v>2770</v>
      </c>
      <c r="U1017" s="3">
        <v>10</v>
      </c>
    </row>
    <row r="1018" spans="19:21">
      <c r="S1018" s="117">
        <v>2801</v>
      </c>
      <c r="T1018" s="117">
        <v>2801</v>
      </c>
      <c r="U1018" s="3">
        <v>8.3000000000000007</v>
      </c>
    </row>
    <row r="1019" spans="19:21">
      <c r="S1019" s="117">
        <v>2831</v>
      </c>
      <c r="T1019" s="117">
        <v>2831</v>
      </c>
      <c r="U1019" s="3">
        <v>7.8</v>
      </c>
    </row>
    <row r="1020" spans="19:21">
      <c r="S1020" s="117">
        <v>2862</v>
      </c>
      <c r="T1020" s="117">
        <v>2862</v>
      </c>
      <c r="U1020" s="3">
        <v>-7.5</v>
      </c>
    </row>
    <row r="1021" spans="19:21">
      <c r="S1021" s="117">
        <v>2892</v>
      </c>
      <c r="T1021" s="117">
        <v>2892</v>
      </c>
      <c r="U1021" s="3">
        <v>-17.2</v>
      </c>
    </row>
    <row r="1022" spans="19:21">
      <c r="S1022" s="117">
        <v>2923</v>
      </c>
      <c r="T1022" s="48">
        <f>1+T1010</f>
        <v>1908</v>
      </c>
      <c r="U1022" s="3">
        <v>-18</v>
      </c>
    </row>
    <row r="1023" spans="19:21">
      <c r="S1023" s="117">
        <v>2954</v>
      </c>
      <c r="T1023" s="117">
        <v>2954</v>
      </c>
      <c r="U1023" s="3">
        <v>-17.399999999999999</v>
      </c>
    </row>
    <row r="1024" spans="19:21">
      <c r="S1024" s="117">
        <v>2983</v>
      </c>
      <c r="T1024" s="117">
        <v>2983</v>
      </c>
      <c r="U1024" s="3">
        <v>-16.899999999999999</v>
      </c>
    </row>
    <row r="1025" spans="19:21">
      <c r="S1025" s="117">
        <v>3014</v>
      </c>
      <c r="T1025" s="117">
        <v>3014</v>
      </c>
      <c r="U1025" s="3">
        <v>-16.7</v>
      </c>
    </row>
    <row r="1026" spans="19:21">
      <c r="S1026" s="117">
        <v>3044</v>
      </c>
      <c r="T1026" s="117">
        <v>3044</v>
      </c>
      <c r="U1026" s="3">
        <v>-18.100000000000001</v>
      </c>
    </row>
    <row r="1027" spans="19:21">
      <c r="S1027" s="117">
        <v>3075</v>
      </c>
      <c r="T1027" s="117">
        <v>3075</v>
      </c>
      <c r="U1027" s="3">
        <v>-17.2</v>
      </c>
    </row>
    <row r="1028" spans="19:21">
      <c r="S1028" s="117">
        <v>3105</v>
      </c>
      <c r="T1028" s="117">
        <v>3105</v>
      </c>
      <c r="U1028" s="3">
        <v>-15.6</v>
      </c>
    </row>
    <row r="1029" spans="19:21">
      <c r="S1029" s="117">
        <v>3136</v>
      </c>
      <c r="T1029" s="117">
        <v>3136</v>
      </c>
      <c r="U1029" s="3">
        <v>-12.8</v>
      </c>
    </row>
    <row r="1030" spans="19:21">
      <c r="S1030" s="117">
        <v>3167</v>
      </c>
      <c r="T1030" s="117">
        <v>3167</v>
      </c>
      <c r="U1030" s="3">
        <v>-11</v>
      </c>
    </row>
    <row r="1031" spans="19:21">
      <c r="S1031" s="117">
        <v>3197</v>
      </c>
      <c r="T1031" s="117">
        <v>3197</v>
      </c>
      <c r="U1031" s="3">
        <v>-10</v>
      </c>
    </row>
    <row r="1032" spans="19:21">
      <c r="S1032" s="117">
        <v>3228</v>
      </c>
      <c r="T1032" s="117">
        <v>3228</v>
      </c>
      <c r="U1032" s="3">
        <v>-8</v>
      </c>
    </row>
    <row r="1033" spans="19:21">
      <c r="S1033" s="117">
        <v>3258</v>
      </c>
      <c r="T1033" s="117">
        <v>3258</v>
      </c>
      <c r="U1033" s="3">
        <v>-6.6</v>
      </c>
    </row>
    <row r="1034" spans="19:21">
      <c r="S1034" s="117">
        <v>3289</v>
      </c>
      <c r="T1034" s="48">
        <f>1+T1022</f>
        <v>1909</v>
      </c>
      <c r="U1034" s="3">
        <v>-3.2</v>
      </c>
    </row>
    <row r="1035" spans="19:21">
      <c r="S1035" s="117">
        <v>3320</v>
      </c>
      <c r="T1035" s="117">
        <v>3320</v>
      </c>
      <c r="U1035" s="3">
        <v>-3.2</v>
      </c>
    </row>
    <row r="1036" spans="19:21">
      <c r="S1036" s="117">
        <v>3348</v>
      </c>
      <c r="T1036" s="117">
        <v>3348</v>
      </c>
      <c r="U1036" s="3">
        <v>-3.4</v>
      </c>
    </row>
    <row r="1037" spans="19:21">
      <c r="S1037" s="117">
        <v>3379</v>
      </c>
      <c r="T1037" s="117">
        <v>3379</v>
      </c>
      <c r="U1037" s="3">
        <v>-3.5</v>
      </c>
    </row>
    <row r="1038" spans="19:21">
      <c r="S1038" s="117">
        <v>3409</v>
      </c>
      <c r="T1038" s="117">
        <v>3409</v>
      </c>
      <c r="U1038" s="3">
        <v>-1.5</v>
      </c>
    </row>
    <row r="1039" spans="19:21">
      <c r="S1039" s="117">
        <v>3440</v>
      </c>
      <c r="T1039" s="117">
        <v>3440</v>
      </c>
      <c r="U1039" s="3">
        <v>-0.6</v>
      </c>
    </row>
    <row r="1040" spans="19:21">
      <c r="S1040" s="117">
        <v>3470</v>
      </c>
      <c r="T1040" s="117">
        <v>3470</v>
      </c>
      <c r="U1040" s="3">
        <v>1.8</v>
      </c>
    </row>
    <row r="1041" spans="19:21">
      <c r="S1041" s="117">
        <v>3501</v>
      </c>
      <c r="T1041" s="117">
        <v>3501</v>
      </c>
      <c r="U1041" s="3">
        <v>4.2</v>
      </c>
    </row>
    <row r="1042" spans="19:21">
      <c r="S1042" s="117">
        <v>3532</v>
      </c>
      <c r="T1042" s="117">
        <v>3532</v>
      </c>
      <c r="U1042" s="3">
        <v>6.9</v>
      </c>
    </row>
    <row r="1043" spans="19:21">
      <c r="S1043" s="117">
        <v>3562</v>
      </c>
      <c r="T1043" s="117">
        <v>3562</v>
      </c>
      <c r="U1043" s="3">
        <v>9</v>
      </c>
    </row>
    <row r="1044" spans="19:21">
      <c r="S1044" s="117">
        <v>3593</v>
      </c>
      <c r="T1044" s="117">
        <v>3593</v>
      </c>
      <c r="U1044" s="3">
        <v>9.1999999999999993</v>
      </c>
    </row>
    <row r="1045" spans="19:21">
      <c r="S1045" s="117">
        <v>3623</v>
      </c>
      <c r="T1045" s="117">
        <v>3623</v>
      </c>
      <c r="U1045" s="3">
        <v>9.4</v>
      </c>
    </row>
    <row r="1046" spans="19:21">
      <c r="S1046" s="117">
        <v>3654</v>
      </c>
      <c r="T1046" s="48">
        <f>1+T1034</f>
        <v>1910</v>
      </c>
      <c r="U1046" s="3">
        <v>8.6</v>
      </c>
    </row>
    <row r="1047" spans="19:21">
      <c r="S1047" s="117">
        <v>3685</v>
      </c>
      <c r="T1047" s="117">
        <v>3685</v>
      </c>
      <c r="U1047" s="3">
        <v>7.2</v>
      </c>
    </row>
    <row r="1048" spans="19:21">
      <c r="S1048" s="117">
        <v>3713</v>
      </c>
      <c r="T1048" s="117">
        <v>3713</v>
      </c>
      <c r="U1048" s="3">
        <v>7.7</v>
      </c>
    </row>
    <row r="1049" spans="19:21">
      <c r="S1049" s="117">
        <v>3744</v>
      </c>
      <c r="T1049" s="117">
        <v>3744</v>
      </c>
      <c r="U1049" s="3">
        <v>5.5</v>
      </c>
    </row>
    <row r="1050" spans="19:21">
      <c r="S1050" s="117">
        <v>3774</v>
      </c>
      <c r="T1050" s="117">
        <v>3774</v>
      </c>
      <c r="U1050" s="3">
        <v>2</v>
      </c>
    </row>
    <row r="1051" spans="19:21">
      <c r="S1051" s="117">
        <v>3805</v>
      </c>
      <c r="T1051" s="117">
        <v>3805</v>
      </c>
      <c r="U1051" s="3">
        <v>1.7</v>
      </c>
    </row>
    <row r="1052" spans="19:21">
      <c r="S1052" s="117">
        <v>3835</v>
      </c>
      <c r="T1052" s="117">
        <v>3835</v>
      </c>
      <c r="U1052" s="3">
        <v>-1.3</v>
      </c>
    </row>
    <row r="1053" spans="19:21">
      <c r="S1053" s="117">
        <v>3866</v>
      </c>
      <c r="T1053" s="117">
        <v>3866</v>
      </c>
      <c r="U1053" s="3">
        <v>-1.7</v>
      </c>
    </row>
    <row r="1054" spans="19:21">
      <c r="S1054" s="117">
        <v>3897</v>
      </c>
      <c r="T1054" s="117">
        <v>3897</v>
      </c>
      <c r="U1054" s="3">
        <v>-2.2000000000000002</v>
      </c>
    </row>
    <row r="1055" spans="19:21">
      <c r="S1055" s="117">
        <v>3927</v>
      </c>
      <c r="T1055" s="117">
        <v>3927</v>
      </c>
      <c r="U1055" s="3">
        <v>-2.5</v>
      </c>
    </row>
    <row r="1056" spans="19:21">
      <c r="S1056" s="117">
        <v>3958</v>
      </c>
      <c r="T1056" s="117">
        <v>3958</v>
      </c>
      <c r="U1056" s="3">
        <v>-4.0999999999999996</v>
      </c>
    </row>
    <row r="1057" spans="19:21">
      <c r="S1057" s="117">
        <v>3988</v>
      </c>
      <c r="T1057" s="117">
        <v>3988</v>
      </c>
      <c r="U1057" s="3">
        <v>-5.9</v>
      </c>
    </row>
    <row r="1058" spans="19:21">
      <c r="S1058" s="117">
        <v>4019</v>
      </c>
      <c r="T1058" s="48">
        <f>1+T1046</f>
        <v>1911</v>
      </c>
      <c r="U1058" s="3">
        <v>-5.6</v>
      </c>
    </row>
    <row r="1059" spans="19:21">
      <c r="S1059" s="117">
        <v>4050</v>
      </c>
      <c r="T1059" s="117">
        <v>4050</v>
      </c>
      <c r="U1059" s="3">
        <v>-5.2</v>
      </c>
    </row>
    <row r="1060" spans="19:21">
      <c r="S1060" s="117">
        <v>4078</v>
      </c>
      <c r="T1060" s="117">
        <v>4078</v>
      </c>
      <c r="U1060" s="3">
        <v>-4.3</v>
      </c>
    </row>
    <row r="1061" spans="19:21">
      <c r="S1061" s="117">
        <v>4109</v>
      </c>
      <c r="T1061" s="117">
        <v>4109</v>
      </c>
      <c r="U1061" s="3">
        <v>-6.7</v>
      </c>
    </row>
    <row r="1062" spans="19:21">
      <c r="S1062" s="117">
        <v>4139</v>
      </c>
      <c r="T1062" s="117">
        <v>4139</v>
      </c>
      <c r="U1062" s="3">
        <v>-7</v>
      </c>
    </row>
    <row r="1063" spans="19:21">
      <c r="S1063" s="117">
        <v>4170</v>
      </c>
      <c r="T1063" s="117">
        <v>4170</v>
      </c>
      <c r="U1063" s="3">
        <v>-6.8</v>
      </c>
    </row>
    <row r="1064" spans="19:21">
      <c r="S1064" s="117">
        <v>4200</v>
      </c>
      <c r="T1064" s="117">
        <v>4200</v>
      </c>
      <c r="U1064" s="3">
        <v>-7.8</v>
      </c>
    </row>
    <row r="1065" spans="19:21">
      <c r="S1065" s="117">
        <v>4231</v>
      </c>
      <c r="T1065" s="117">
        <v>4231</v>
      </c>
      <c r="U1065" s="3">
        <v>-6.3</v>
      </c>
    </row>
    <row r="1066" spans="19:21">
      <c r="S1066" s="117">
        <v>4262</v>
      </c>
      <c r="T1066" s="117">
        <v>4262</v>
      </c>
      <c r="U1066" s="3">
        <v>-5.3</v>
      </c>
    </row>
    <row r="1067" spans="19:21">
      <c r="S1067" s="117">
        <v>4292</v>
      </c>
      <c r="T1067" s="117">
        <v>4292</v>
      </c>
      <c r="U1067" s="3">
        <v>-5.0999999999999996</v>
      </c>
    </row>
    <row r="1068" spans="19:21">
      <c r="S1068" s="117">
        <v>4323</v>
      </c>
      <c r="T1068" s="117">
        <v>4323</v>
      </c>
      <c r="U1068" s="3">
        <v>-4.8</v>
      </c>
    </row>
    <row r="1069" spans="19:21">
      <c r="S1069" s="117">
        <v>4353</v>
      </c>
      <c r="T1069" s="117">
        <v>4353</v>
      </c>
      <c r="U1069" s="3">
        <v>-4.7</v>
      </c>
    </row>
    <row r="1070" spans="19:21">
      <c r="S1070" s="117">
        <v>4384</v>
      </c>
      <c r="T1070" s="48">
        <f>1+T1058</f>
        <v>1912</v>
      </c>
      <c r="U1070" s="3">
        <v>-2.5</v>
      </c>
    </row>
    <row r="1071" spans="19:21">
      <c r="S1071" s="117">
        <v>4415</v>
      </c>
      <c r="T1071" s="117">
        <v>4415</v>
      </c>
      <c r="U1071" s="3">
        <v>0.9</v>
      </c>
    </row>
    <row r="1072" spans="19:21">
      <c r="S1072" s="117">
        <v>4444</v>
      </c>
      <c r="T1072" s="117">
        <v>4444</v>
      </c>
      <c r="U1072" s="3">
        <v>1.4</v>
      </c>
    </row>
    <row r="1073" spans="19:21">
      <c r="S1073" s="117">
        <v>4475</v>
      </c>
      <c r="T1073" s="117">
        <v>4475</v>
      </c>
      <c r="U1073" s="3">
        <v>3.4</v>
      </c>
    </row>
    <row r="1074" spans="19:21">
      <c r="S1074" s="117">
        <v>4505</v>
      </c>
      <c r="T1074" s="117">
        <v>4505</v>
      </c>
      <c r="U1074" s="3">
        <v>3.5</v>
      </c>
    </row>
    <row r="1075" spans="19:21">
      <c r="S1075" s="117">
        <v>4536</v>
      </c>
      <c r="T1075" s="117">
        <v>4536</v>
      </c>
      <c r="U1075" s="3">
        <v>2.9</v>
      </c>
    </row>
    <row r="1076" spans="19:21">
      <c r="S1076" s="117">
        <v>4566</v>
      </c>
      <c r="T1076" s="117">
        <v>4566</v>
      </c>
      <c r="U1076" s="3">
        <v>4.5</v>
      </c>
    </row>
    <row r="1077" spans="19:21">
      <c r="S1077" s="117">
        <v>4597</v>
      </c>
      <c r="T1077" s="117">
        <v>4597</v>
      </c>
      <c r="U1077" s="3">
        <v>5.7</v>
      </c>
    </row>
    <row r="1078" spans="19:21">
      <c r="S1078" s="117">
        <v>4628</v>
      </c>
      <c r="T1078" s="117">
        <v>4628</v>
      </c>
      <c r="U1078" s="3">
        <v>5.6</v>
      </c>
    </row>
    <row r="1079" spans="19:21">
      <c r="S1079" s="117">
        <v>4658</v>
      </c>
      <c r="T1079" s="117">
        <v>4658</v>
      </c>
      <c r="U1079" s="3">
        <v>8</v>
      </c>
    </row>
    <row r="1080" spans="19:21">
      <c r="S1080" s="117">
        <v>4689</v>
      </c>
      <c r="T1080" s="117">
        <v>4689</v>
      </c>
      <c r="U1080" s="3">
        <v>8.1</v>
      </c>
    </row>
    <row r="1081" spans="19:21">
      <c r="S1081" s="117">
        <v>4719</v>
      </c>
      <c r="T1081" s="117">
        <v>4719</v>
      </c>
      <c r="U1081" s="3">
        <v>8.3000000000000007</v>
      </c>
    </row>
    <row r="1082" spans="19:21">
      <c r="S1082" s="117">
        <v>4750</v>
      </c>
      <c r="T1082" s="48">
        <f>1+T1070</f>
        <v>1913</v>
      </c>
      <c r="U1082" s="3">
        <v>9.1999999999999993</v>
      </c>
    </row>
    <row r="1083" spans="19:21">
      <c r="S1083" s="117">
        <v>4781</v>
      </c>
      <c r="T1083" s="117">
        <v>4781</v>
      </c>
      <c r="U1083" s="3">
        <v>8.8000000000000007</v>
      </c>
    </row>
    <row r="1084" spans="19:21">
      <c r="S1084" s="117">
        <v>4809</v>
      </c>
      <c r="T1084" s="117">
        <v>4809</v>
      </c>
      <c r="U1084" s="3">
        <v>4.9000000000000004</v>
      </c>
    </row>
    <row r="1085" spans="19:21">
      <c r="S1085" s="117">
        <v>4840</v>
      </c>
      <c r="T1085" s="117">
        <v>4840</v>
      </c>
      <c r="U1085" s="3">
        <v>7</v>
      </c>
    </row>
    <row r="1086" spans="19:21">
      <c r="S1086" s="117">
        <v>4870</v>
      </c>
      <c r="T1086" s="117">
        <v>4870</v>
      </c>
      <c r="U1086" s="3">
        <v>6.4</v>
      </c>
    </row>
    <row r="1087" spans="19:21">
      <c r="S1087" s="117">
        <v>4901</v>
      </c>
      <c r="T1087" s="117">
        <v>4901</v>
      </c>
      <c r="U1087" s="3">
        <v>5.7</v>
      </c>
    </row>
    <row r="1088" spans="19:21">
      <c r="S1088" s="117">
        <v>4931</v>
      </c>
      <c r="T1088" s="117">
        <v>4931</v>
      </c>
      <c r="U1088" s="3">
        <v>5.0999999999999996</v>
      </c>
    </row>
    <row r="1089" spans="19:21">
      <c r="S1089" s="117">
        <v>4962</v>
      </c>
      <c r="T1089" s="117">
        <v>4962</v>
      </c>
      <c r="U1089" s="3">
        <v>3.3</v>
      </c>
    </row>
    <row r="1090" spans="19:21">
      <c r="S1090" s="117">
        <v>4993</v>
      </c>
      <c r="T1090" s="117">
        <v>4993</v>
      </c>
      <c r="U1090" s="3">
        <v>3.6</v>
      </c>
    </row>
    <row r="1091" spans="19:21">
      <c r="S1091" s="117">
        <v>5023</v>
      </c>
      <c r="T1091" s="117">
        <v>5023</v>
      </c>
      <c r="U1091" s="3">
        <v>3.8</v>
      </c>
    </row>
    <row r="1092" spans="19:21">
      <c r="S1092" s="117">
        <v>5054</v>
      </c>
      <c r="T1092" s="117">
        <v>5054</v>
      </c>
      <c r="U1092" s="3">
        <v>-0.5</v>
      </c>
    </row>
    <row r="1093" spans="19:21">
      <c r="S1093" s="117">
        <v>5084</v>
      </c>
      <c r="T1093" s="117">
        <v>5084</v>
      </c>
      <c r="U1093" s="3">
        <v>-3</v>
      </c>
    </row>
    <row r="1094" spans="19:21">
      <c r="S1094" s="117">
        <v>5115</v>
      </c>
      <c r="T1094" s="48">
        <f>1+T1082</f>
        <v>1914</v>
      </c>
      <c r="U1094" s="3">
        <v>-1.3</v>
      </c>
    </row>
    <row r="1095" spans="19:21">
      <c r="S1095" s="117">
        <v>5146</v>
      </c>
      <c r="T1095" s="117">
        <v>5146</v>
      </c>
      <c r="U1095" s="3">
        <v>-0.9</v>
      </c>
    </row>
    <row r="1096" spans="19:21">
      <c r="S1096" s="117">
        <v>5174</v>
      </c>
      <c r="T1096" s="117">
        <v>5174</v>
      </c>
      <c r="U1096" s="3">
        <v>0.9</v>
      </c>
    </row>
    <row r="1097" spans="19:21">
      <c r="S1097" s="117">
        <v>5205</v>
      </c>
      <c r="T1097" s="117">
        <v>5205</v>
      </c>
      <c r="U1097" s="3">
        <v>-0.8</v>
      </c>
    </row>
    <row r="1098" spans="19:21">
      <c r="S1098" s="117">
        <v>5235</v>
      </c>
      <c r="T1098" s="117">
        <v>5235</v>
      </c>
      <c r="U1098" s="3">
        <v>-3.6</v>
      </c>
    </row>
    <row r="1099" spans="19:21">
      <c r="S1099" s="117">
        <v>5266</v>
      </c>
      <c r="T1099" s="117">
        <v>5266</v>
      </c>
      <c r="U1099" s="3">
        <v>-3.4</v>
      </c>
    </row>
    <row r="1100" spans="19:21">
      <c r="S1100" s="117">
        <v>5296</v>
      </c>
      <c r="T1100" s="117">
        <v>5296</v>
      </c>
      <c r="U1100" s="3">
        <v>-2.7</v>
      </c>
    </row>
    <row r="1101" spans="19:21">
      <c r="S1101" s="117">
        <v>5327</v>
      </c>
      <c r="T1101" s="117">
        <v>5327</v>
      </c>
      <c r="U1101" s="3">
        <v>-5.9</v>
      </c>
    </row>
    <row r="1102" spans="19:21">
      <c r="S1102" s="117">
        <v>5358</v>
      </c>
      <c r="T1102" s="117">
        <v>5358</v>
      </c>
      <c r="U1102" s="3">
        <v>-7.4</v>
      </c>
    </row>
    <row r="1103" spans="19:21">
      <c r="S1103" s="117">
        <v>5388</v>
      </c>
      <c r="T1103" s="117">
        <v>5388</v>
      </c>
      <c r="U1103" s="3">
        <v>-10.3</v>
      </c>
    </row>
    <row r="1104" spans="19:21">
      <c r="S1104" s="117">
        <v>5419</v>
      </c>
      <c r="T1104" s="117">
        <v>5419</v>
      </c>
      <c r="U1104" s="3">
        <v>-13.5</v>
      </c>
    </row>
    <row r="1105" spans="19:21">
      <c r="S1105" s="117">
        <v>5449</v>
      </c>
      <c r="T1105" s="117">
        <v>5449</v>
      </c>
      <c r="U1105" s="3">
        <v>-13.6</v>
      </c>
    </row>
    <row r="1106" spans="19:21">
      <c r="S1106" s="117">
        <v>5480</v>
      </c>
      <c r="T1106" s="48">
        <f>1+T1094</f>
        <v>1915</v>
      </c>
      <c r="U1106" s="3">
        <v>-11.8</v>
      </c>
    </row>
    <row r="1107" spans="19:21">
      <c r="S1107" s="117">
        <v>5511</v>
      </c>
      <c r="T1107" s="117">
        <v>5511</v>
      </c>
      <c r="U1107" s="3">
        <v>-9.3000000000000007</v>
      </c>
    </row>
    <row r="1108" spans="19:21">
      <c r="S1108" s="117">
        <v>5539</v>
      </c>
      <c r="T1108" s="117">
        <v>5539</v>
      </c>
      <c r="U1108" s="3">
        <v>-8.1</v>
      </c>
    </row>
    <row r="1109" spans="19:21">
      <c r="S1109" s="117">
        <v>5570</v>
      </c>
      <c r="T1109" s="117">
        <v>5570</v>
      </c>
      <c r="U1109" s="3">
        <v>-5.9</v>
      </c>
    </row>
    <row r="1110" spans="19:21">
      <c r="S1110" s="117">
        <v>5600</v>
      </c>
      <c r="T1110" s="117">
        <v>5600</v>
      </c>
      <c r="U1110" s="3">
        <v>-4.7</v>
      </c>
    </row>
    <row r="1111" spans="19:21">
      <c r="S1111" s="117">
        <v>5631</v>
      </c>
      <c r="T1111" s="117">
        <v>5631</v>
      </c>
      <c r="U1111" s="3">
        <v>-1.4</v>
      </c>
    </row>
    <row r="1112" spans="19:21">
      <c r="S1112" s="117">
        <v>5661</v>
      </c>
      <c r="T1112" s="117">
        <v>5661</v>
      </c>
      <c r="U1112" s="3">
        <v>0.1</v>
      </c>
    </row>
    <row r="1113" spans="19:21">
      <c r="S1113" s="117">
        <v>5692</v>
      </c>
      <c r="T1113" s="117">
        <v>5692</v>
      </c>
      <c r="U1113" s="3">
        <v>1.4</v>
      </c>
    </row>
    <row r="1114" spans="19:21">
      <c r="S1114" s="117">
        <v>5723</v>
      </c>
      <c r="T1114" s="117">
        <v>5723</v>
      </c>
      <c r="U1114" s="3">
        <v>5</v>
      </c>
    </row>
    <row r="1115" spans="19:21">
      <c r="S1115" s="117">
        <v>5753</v>
      </c>
      <c r="T1115" s="117">
        <v>5753</v>
      </c>
      <c r="U1115" s="3">
        <v>7.3</v>
      </c>
    </row>
    <row r="1116" spans="19:21">
      <c r="S1116" s="117">
        <v>5784</v>
      </c>
      <c r="T1116" s="117">
        <v>5784</v>
      </c>
      <c r="U1116" s="3">
        <v>10.1</v>
      </c>
    </row>
    <row r="1117" spans="19:21">
      <c r="S1117" s="117">
        <v>5814</v>
      </c>
      <c r="T1117" s="117">
        <v>5814</v>
      </c>
      <c r="U1117" s="3">
        <v>13.4</v>
      </c>
    </row>
    <row r="1118" spans="19:21">
      <c r="S1118" s="117">
        <v>5845</v>
      </c>
      <c r="T1118" s="48">
        <f>1+T1106</f>
        <v>1916</v>
      </c>
      <c r="U1118" s="3">
        <v>12.3</v>
      </c>
    </row>
    <row r="1119" spans="19:21">
      <c r="S1119" s="117">
        <v>5876</v>
      </c>
      <c r="T1119" s="117">
        <v>5876</v>
      </c>
      <c r="U1119" s="3">
        <v>13.5</v>
      </c>
    </row>
    <row r="1120" spans="19:21">
      <c r="S1120" s="117">
        <v>5905</v>
      </c>
      <c r="T1120" s="117">
        <v>5905</v>
      </c>
      <c r="U1120" s="3">
        <v>14.3</v>
      </c>
    </row>
    <row r="1121" spans="19:21">
      <c r="S1121" s="117">
        <v>5936</v>
      </c>
      <c r="T1121" s="117">
        <v>5936</v>
      </c>
      <c r="U1121" s="3">
        <v>12.7</v>
      </c>
    </row>
    <row r="1122" spans="19:21">
      <c r="S1122" s="117">
        <v>5966</v>
      </c>
      <c r="T1122" s="117">
        <v>5966</v>
      </c>
      <c r="U1122" s="3">
        <v>14.2</v>
      </c>
    </row>
    <row r="1123" spans="19:21">
      <c r="S1123" s="117">
        <v>5997</v>
      </c>
      <c r="T1123" s="117">
        <v>5997</v>
      </c>
      <c r="U1123" s="3">
        <v>14</v>
      </c>
    </row>
    <row r="1124" spans="19:21">
      <c r="S1124" s="117">
        <v>6027</v>
      </c>
      <c r="T1124" s="117">
        <v>6027</v>
      </c>
      <c r="U1124" s="3">
        <v>11.4</v>
      </c>
    </row>
    <row r="1125" spans="19:21">
      <c r="S1125" s="117">
        <v>6058</v>
      </c>
      <c r="T1125" s="117">
        <v>6058</v>
      </c>
      <c r="U1125" s="3">
        <v>13.2</v>
      </c>
    </row>
    <row r="1126" spans="19:21">
      <c r="S1126" s="117">
        <v>6089</v>
      </c>
      <c r="T1126" s="117">
        <v>6089</v>
      </c>
      <c r="U1126" s="3">
        <v>14.4</v>
      </c>
    </row>
    <row r="1127" spans="19:21">
      <c r="S1127" s="117">
        <v>6119</v>
      </c>
      <c r="T1127" s="117">
        <v>6119</v>
      </c>
      <c r="U1127" s="3">
        <v>15.5</v>
      </c>
    </row>
    <row r="1128" spans="19:21">
      <c r="S1128" s="117">
        <v>6150</v>
      </c>
      <c r="T1128" s="117">
        <v>6150</v>
      </c>
      <c r="U1128" s="3">
        <v>15.8</v>
      </c>
    </row>
    <row r="1129" spans="19:21">
      <c r="S1129" s="117">
        <v>6180</v>
      </c>
      <c r="T1129" s="117">
        <v>6180</v>
      </c>
      <c r="U1129" s="3">
        <v>13.9</v>
      </c>
    </row>
    <row r="1130" spans="19:21">
      <c r="S1130" s="117">
        <v>6211</v>
      </c>
      <c r="T1130" s="48">
        <f>1+T1118</f>
        <v>1917</v>
      </c>
      <c r="U1130" s="3">
        <v>14.3</v>
      </c>
    </row>
    <row r="1131" spans="19:21">
      <c r="S1131" s="117">
        <v>6242</v>
      </c>
      <c r="T1131" s="117">
        <v>6242</v>
      </c>
      <c r="U1131" s="3">
        <v>12.7</v>
      </c>
    </row>
    <row r="1132" spans="19:21">
      <c r="S1132" s="117">
        <v>6270</v>
      </c>
      <c r="T1132" s="117">
        <v>6270</v>
      </c>
      <c r="U1132" s="3">
        <v>14.1</v>
      </c>
    </row>
    <row r="1133" spans="19:21">
      <c r="S1133" s="117">
        <v>6301</v>
      </c>
      <c r="T1133" s="117">
        <v>6301</v>
      </c>
      <c r="U1133" s="3">
        <v>13.1</v>
      </c>
    </row>
    <row r="1134" spans="19:21">
      <c r="S1134" s="117">
        <v>6331</v>
      </c>
      <c r="T1134" s="117">
        <v>6331</v>
      </c>
      <c r="U1134" s="3">
        <v>14.2</v>
      </c>
    </row>
    <row r="1135" spans="19:21">
      <c r="S1135" s="117">
        <v>6362</v>
      </c>
      <c r="T1135" s="117">
        <v>6362</v>
      </c>
      <c r="U1135" s="3">
        <v>13.4</v>
      </c>
    </row>
    <row r="1136" spans="19:21">
      <c r="S1136" s="117">
        <v>6392</v>
      </c>
      <c r="T1136" s="117">
        <v>6392</v>
      </c>
      <c r="U1136" s="3">
        <v>12.4</v>
      </c>
    </row>
    <row r="1137" spans="19:21">
      <c r="S1137" s="117">
        <v>6423</v>
      </c>
      <c r="T1137" s="117">
        <v>6423</v>
      </c>
      <c r="U1137" s="3">
        <v>12.5</v>
      </c>
    </row>
    <row r="1138" spans="19:21">
      <c r="S1138" s="117">
        <v>6454</v>
      </c>
      <c r="T1138" s="117">
        <v>6454</v>
      </c>
      <c r="U1138" s="3">
        <v>9.1</v>
      </c>
    </row>
    <row r="1139" spans="19:21">
      <c r="S1139" s="117">
        <v>6484</v>
      </c>
      <c r="T1139" s="117">
        <v>6484</v>
      </c>
      <c r="U1139" s="3">
        <v>10.8</v>
      </c>
    </row>
    <row r="1140" spans="19:21">
      <c r="S1140" s="117">
        <v>6515</v>
      </c>
      <c r="T1140" s="117">
        <v>6515</v>
      </c>
      <c r="U1140" s="3">
        <v>10.6</v>
      </c>
    </row>
    <row r="1141" spans="19:21">
      <c r="S1141" s="117">
        <v>6545</v>
      </c>
      <c r="T1141" s="117">
        <v>6545</v>
      </c>
      <c r="U1141" s="3">
        <v>5.9</v>
      </c>
    </row>
    <row r="1142" spans="19:21">
      <c r="S1142" s="117">
        <v>6576</v>
      </c>
      <c r="T1142" s="48">
        <f>1+T1130</f>
        <v>1918</v>
      </c>
      <c r="U1142" s="3">
        <v>1.5</v>
      </c>
    </row>
    <row r="1143" spans="19:21">
      <c r="S1143" s="117">
        <v>6607</v>
      </c>
      <c r="T1143" s="117">
        <v>6607</v>
      </c>
      <c r="U1143" s="3">
        <v>2.6</v>
      </c>
    </row>
    <row r="1144" spans="19:21">
      <c r="S1144" s="117">
        <v>6635</v>
      </c>
      <c r="T1144" s="117">
        <v>6635</v>
      </c>
      <c r="U1144" s="3">
        <v>7.1</v>
      </c>
    </row>
    <row r="1145" spans="19:21">
      <c r="S1145" s="117">
        <v>6666</v>
      </c>
      <c r="T1145" s="117">
        <v>6666</v>
      </c>
      <c r="U1145" s="3">
        <v>7.5</v>
      </c>
    </row>
    <row r="1146" spans="19:21">
      <c r="S1146" s="117">
        <v>6696</v>
      </c>
      <c r="T1146" s="117">
        <v>6696</v>
      </c>
      <c r="U1146" s="3">
        <v>9.3000000000000007</v>
      </c>
    </row>
    <row r="1147" spans="19:21">
      <c r="S1147" s="117">
        <v>6727</v>
      </c>
      <c r="T1147" s="117">
        <v>6727</v>
      </c>
      <c r="U1147" s="3">
        <v>6.9</v>
      </c>
    </row>
    <row r="1148" spans="19:21">
      <c r="S1148" s="117">
        <v>6757</v>
      </c>
      <c r="T1148" s="117">
        <v>6757</v>
      </c>
      <c r="U1148" s="3">
        <v>9.3000000000000007</v>
      </c>
    </row>
    <row r="1149" spans="19:21">
      <c r="S1149" s="117">
        <v>6788</v>
      </c>
      <c r="T1149" s="117">
        <v>6788</v>
      </c>
      <c r="U1149" s="3">
        <v>10.6</v>
      </c>
    </row>
    <row r="1150" spans="19:21">
      <c r="S1150" s="117">
        <v>6819</v>
      </c>
      <c r="T1150" s="117">
        <v>6819</v>
      </c>
      <c r="U1150" s="3">
        <v>8.5</v>
      </c>
    </row>
    <row r="1151" spans="19:21">
      <c r="S1151" s="117">
        <v>6849</v>
      </c>
      <c r="T1151" s="117">
        <v>6849</v>
      </c>
      <c r="U1151" s="3">
        <v>8.5</v>
      </c>
    </row>
    <row r="1152" spans="19:21">
      <c r="S1152" s="117">
        <v>6880</v>
      </c>
      <c r="T1152" s="117">
        <v>6880</v>
      </c>
      <c r="U1152" s="3">
        <v>6</v>
      </c>
    </row>
    <row r="1153" spans="19:21">
      <c r="S1153" s="117">
        <v>6910</v>
      </c>
      <c r="T1153" s="117">
        <v>6910</v>
      </c>
      <c r="U1153" s="3">
        <v>6.1</v>
      </c>
    </row>
    <row r="1154" spans="19:21">
      <c r="S1154" s="117">
        <v>6941</v>
      </c>
      <c r="T1154" s="48">
        <f>1+T1142</f>
        <v>1919</v>
      </c>
      <c r="U1154" s="3">
        <v>-0.2</v>
      </c>
    </row>
    <row r="1155" spans="19:21">
      <c r="S1155" s="117">
        <v>6972</v>
      </c>
      <c r="T1155" s="117">
        <v>6972</v>
      </c>
      <c r="U1155" s="3">
        <v>-4.0999999999999996</v>
      </c>
    </row>
    <row r="1156" spans="19:21">
      <c r="S1156" s="117">
        <v>7000</v>
      </c>
      <c r="T1156" s="117">
        <v>7000</v>
      </c>
      <c r="U1156" s="3">
        <v>-8</v>
      </c>
    </row>
    <row r="1157" spans="19:21">
      <c r="S1157" s="117">
        <v>7031</v>
      </c>
      <c r="T1157" s="117">
        <v>7031</v>
      </c>
      <c r="U1157" s="3">
        <v>-4.9000000000000004</v>
      </c>
    </row>
    <row r="1158" spans="19:21">
      <c r="S1158" s="117">
        <v>7061</v>
      </c>
      <c r="T1158" s="117">
        <v>7061</v>
      </c>
      <c r="U1158" s="3">
        <v>-6</v>
      </c>
    </row>
    <row r="1159" spans="19:21">
      <c r="S1159" s="117">
        <v>7092</v>
      </c>
      <c r="T1159" s="117">
        <v>7092</v>
      </c>
      <c r="U1159" s="3">
        <v>-0.2</v>
      </c>
    </row>
    <row r="1160" spans="19:21">
      <c r="S1160" s="117">
        <v>7122</v>
      </c>
      <c r="T1160" s="117">
        <v>7122</v>
      </c>
      <c r="U1160" s="3">
        <v>4.3</v>
      </c>
    </row>
    <row r="1161" spans="19:21">
      <c r="S1161" s="117">
        <v>7153</v>
      </c>
      <c r="T1161" s="117">
        <v>7153</v>
      </c>
      <c r="U1161" s="3">
        <v>6.5</v>
      </c>
    </row>
    <row r="1162" spans="19:21">
      <c r="S1162" s="117">
        <v>7184</v>
      </c>
      <c r="T1162" s="117">
        <v>7184</v>
      </c>
      <c r="U1162" s="3">
        <v>3.8</v>
      </c>
    </row>
    <row r="1163" spans="19:21">
      <c r="S1163" s="117">
        <v>7214</v>
      </c>
      <c r="T1163" s="117">
        <v>7214</v>
      </c>
      <c r="U1163" s="3">
        <v>2.4</v>
      </c>
    </row>
    <row r="1164" spans="19:21">
      <c r="S1164" s="117">
        <v>7245</v>
      </c>
      <c r="T1164" s="117">
        <v>7245</v>
      </c>
      <c r="U1164" s="3">
        <v>1</v>
      </c>
    </row>
    <row r="1165" spans="19:21">
      <c r="S1165" s="117">
        <v>7275</v>
      </c>
      <c r="T1165" s="117">
        <v>7275</v>
      </c>
      <c r="U1165" s="3">
        <v>1.9</v>
      </c>
    </row>
    <row r="1166" spans="19:21">
      <c r="S1166" s="117">
        <v>7306</v>
      </c>
      <c r="T1166" s="48">
        <f>1+T1154</f>
        <v>1920</v>
      </c>
      <c r="U1166" s="3">
        <v>12.3</v>
      </c>
    </row>
    <row r="1167" spans="19:21">
      <c r="S1167" s="117">
        <v>7337</v>
      </c>
      <c r="T1167" s="117">
        <v>7337</v>
      </c>
      <c r="U1167" s="3">
        <v>12.1</v>
      </c>
    </row>
    <row r="1168" spans="19:21">
      <c r="S1168" s="117">
        <v>7366</v>
      </c>
      <c r="T1168" s="117">
        <v>7366</v>
      </c>
      <c r="U1168" s="3">
        <v>9.4</v>
      </c>
    </row>
    <row r="1169" spans="19:21">
      <c r="S1169" s="117">
        <v>7397</v>
      </c>
      <c r="T1169" s="117">
        <v>7397</v>
      </c>
      <c r="U1169" s="3">
        <v>3.3</v>
      </c>
    </row>
    <row r="1170" spans="19:21">
      <c r="S1170" s="117">
        <v>7427</v>
      </c>
      <c r="T1170" s="117">
        <v>7427</v>
      </c>
      <c r="U1170" s="3">
        <v>5.4</v>
      </c>
    </row>
    <row r="1171" spans="19:21">
      <c r="S1171" s="117">
        <v>7458</v>
      </c>
      <c r="T1171" s="117">
        <v>7458</v>
      </c>
      <c r="U1171" s="3">
        <v>6.3</v>
      </c>
    </row>
    <row r="1172" spans="19:21">
      <c r="S1172" s="117">
        <v>7488</v>
      </c>
      <c r="T1172" s="117">
        <v>7488</v>
      </c>
      <c r="U1172" s="3">
        <v>3.8</v>
      </c>
    </row>
    <row r="1173" spans="19:21">
      <c r="S1173" s="117">
        <v>7519</v>
      </c>
      <c r="T1173" s="117">
        <v>7519</v>
      </c>
      <c r="U1173" s="3">
        <v>3.5</v>
      </c>
    </row>
    <row r="1174" spans="19:21">
      <c r="S1174" s="117">
        <v>7550</v>
      </c>
      <c r="T1174" s="117">
        <v>7550</v>
      </c>
      <c r="U1174" s="3">
        <v>-0.2</v>
      </c>
    </row>
    <row r="1175" spans="19:21">
      <c r="S1175" s="117">
        <v>7580</v>
      </c>
      <c r="T1175" s="117">
        <v>7580</v>
      </c>
      <c r="U1175" s="3">
        <v>-4</v>
      </c>
    </row>
    <row r="1176" spans="19:21">
      <c r="S1176" s="117">
        <v>7611</v>
      </c>
      <c r="T1176" s="117">
        <v>7611</v>
      </c>
      <c r="U1176" s="3">
        <v>-12.3</v>
      </c>
    </row>
    <row r="1177" spans="19:21">
      <c r="S1177" s="117">
        <v>7641</v>
      </c>
      <c r="T1177" s="117">
        <v>7641</v>
      </c>
      <c r="U1177" s="3">
        <v>-17.100000000000001</v>
      </c>
    </row>
    <row r="1178" spans="19:21">
      <c r="S1178" s="117">
        <v>7672</v>
      </c>
      <c r="T1178" s="48">
        <f>1+T1166</f>
        <v>1921</v>
      </c>
      <c r="U1178" s="3">
        <v>-23</v>
      </c>
    </row>
    <row r="1179" spans="19:21">
      <c r="S1179" s="117">
        <v>7703</v>
      </c>
      <c r="T1179" s="117">
        <v>7703</v>
      </c>
      <c r="U1179" s="3">
        <v>-24.4</v>
      </c>
    </row>
    <row r="1180" spans="19:21">
      <c r="S1180" s="117">
        <v>7731</v>
      </c>
      <c r="T1180" s="117">
        <v>7731</v>
      </c>
      <c r="U1180" s="3">
        <v>-26.8</v>
      </c>
    </row>
    <row r="1181" spans="19:21">
      <c r="S1181" s="117">
        <v>7762</v>
      </c>
      <c r="T1181" s="117">
        <v>7762</v>
      </c>
      <c r="U1181" s="3">
        <v>-27</v>
      </c>
    </row>
    <row r="1182" spans="19:21">
      <c r="S1182" s="117">
        <v>7792</v>
      </c>
      <c r="T1182" s="117">
        <v>7792</v>
      </c>
      <c r="U1182" s="3">
        <v>-24.9</v>
      </c>
    </row>
    <row r="1183" spans="19:21">
      <c r="S1183" s="117">
        <v>7823</v>
      </c>
      <c r="T1183" s="117">
        <v>7823</v>
      </c>
      <c r="U1183" s="3">
        <v>-26.2</v>
      </c>
    </row>
    <row r="1184" spans="19:21">
      <c r="S1184" s="117">
        <v>7853</v>
      </c>
      <c r="T1184" s="117">
        <v>7853</v>
      </c>
      <c r="U1184" s="3">
        <v>-26.4</v>
      </c>
    </row>
    <row r="1185" spans="19:21">
      <c r="S1185" s="117">
        <v>7884</v>
      </c>
      <c r="T1185" s="117">
        <v>7884</v>
      </c>
      <c r="U1185" s="3">
        <v>-24.4</v>
      </c>
    </row>
    <row r="1186" spans="19:21">
      <c r="S1186" s="117">
        <v>7915</v>
      </c>
      <c r="T1186" s="117">
        <v>7915</v>
      </c>
      <c r="U1186" s="3">
        <v>-23.4</v>
      </c>
    </row>
    <row r="1187" spans="19:21">
      <c r="S1187" s="117">
        <v>7945</v>
      </c>
      <c r="T1187" s="117">
        <v>7945</v>
      </c>
      <c r="U1187" s="3">
        <v>-20.2</v>
      </c>
    </row>
    <row r="1188" spans="19:21">
      <c r="S1188" s="117">
        <v>7976</v>
      </c>
      <c r="T1188" s="117">
        <v>7976</v>
      </c>
      <c r="U1188" s="3">
        <v>-20.399999999999999</v>
      </c>
    </row>
    <row r="1189" spans="19:21">
      <c r="S1189" s="117">
        <v>8006</v>
      </c>
      <c r="T1189" s="117">
        <v>8006</v>
      </c>
      <c r="U1189" s="3">
        <v>-21.7</v>
      </c>
    </row>
    <row r="1190" spans="19:21">
      <c r="S1190" s="117">
        <v>8037</v>
      </c>
      <c r="T1190" s="48">
        <f>1+T1178</f>
        <v>1922</v>
      </c>
      <c r="U1190" s="3">
        <v>-18.600000000000001</v>
      </c>
    </row>
    <row r="1191" spans="19:21">
      <c r="S1191" s="117">
        <v>8068</v>
      </c>
      <c r="T1191" s="117">
        <v>8068</v>
      </c>
      <c r="U1191" s="3">
        <v>-15.4</v>
      </c>
    </row>
    <row r="1192" spans="19:21">
      <c r="S1192" s="117">
        <v>8096</v>
      </c>
      <c r="T1192" s="117">
        <v>8096</v>
      </c>
      <c r="U1192" s="3">
        <v>-11.2</v>
      </c>
    </row>
    <row r="1193" spans="19:21">
      <c r="S1193" s="117">
        <v>8127</v>
      </c>
      <c r="T1193" s="117">
        <v>8127</v>
      </c>
      <c r="U1193" s="3">
        <v>-14.7</v>
      </c>
    </row>
    <row r="1194" spans="19:21">
      <c r="S1194" s="117">
        <v>8157</v>
      </c>
      <c r="T1194" s="117">
        <v>8157</v>
      </c>
      <c r="U1194" s="3">
        <v>-10.5</v>
      </c>
    </row>
    <row r="1195" spans="19:21">
      <c r="S1195" s="117">
        <v>8188</v>
      </c>
      <c r="T1195" s="117">
        <v>8188</v>
      </c>
      <c r="U1195" s="3">
        <v>-6.3</v>
      </c>
    </row>
    <row r="1196" spans="19:21">
      <c r="S1196" s="117">
        <v>8218</v>
      </c>
      <c r="T1196" s="117">
        <v>8218</v>
      </c>
      <c r="U1196" s="3">
        <v>-6.6</v>
      </c>
    </row>
    <row r="1197" spans="19:21">
      <c r="S1197" s="117">
        <v>8249</v>
      </c>
      <c r="T1197" s="117">
        <v>8249</v>
      </c>
      <c r="U1197" s="3">
        <v>-7.9</v>
      </c>
    </row>
    <row r="1198" spans="19:21">
      <c r="S1198" s="117">
        <v>8280</v>
      </c>
      <c r="T1198" s="117">
        <v>8280</v>
      </c>
      <c r="U1198" s="3">
        <v>-3.7</v>
      </c>
    </row>
    <row r="1199" spans="19:21">
      <c r="S1199" s="117">
        <v>8310</v>
      </c>
      <c r="T1199" s="117">
        <v>8310</v>
      </c>
      <c r="U1199" s="3">
        <v>1.5</v>
      </c>
    </row>
    <row r="1200" spans="19:21">
      <c r="S1200" s="117">
        <v>8341</v>
      </c>
      <c r="T1200" s="117">
        <v>8341</v>
      </c>
      <c r="U1200" s="3">
        <v>5.6</v>
      </c>
    </row>
    <row r="1201" spans="19:21">
      <c r="S1201" s="117">
        <v>8371</v>
      </c>
      <c r="T1201" s="117">
        <v>8371</v>
      </c>
      <c r="U1201" s="3">
        <v>8.6999999999999993</v>
      </c>
    </row>
    <row r="1202" spans="19:21">
      <c r="S1202" s="117">
        <v>8402</v>
      </c>
      <c r="T1202" s="48">
        <f>1+T1190</f>
        <v>1923</v>
      </c>
      <c r="U1202" s="3">
        <v>7.3</v>
      </c>
    </row>
    <row r="1203" spans="19:21">
      <c r="S1203" s="117">
        <v>8433</v>
      </c>
      <c r="T1203" s="117">
        <v>8433</v>
      </c>
      <c r="U1203" s="3">
        <v>8.1999999999999993</v>
      </c>
    </row>
    <row r="1204" spans="19:21">
      <c r="S1204" s="117">
        <v>8461</v>
      </c>
      <c r="T1204" s="117">
        <v>8461</v>
      </c>
      <c r="U1204" s="3">
        <v>11.1</v>
      </c>
    </row>
    <row r="1205" spans="19:21">
      <c r="S1205" s="117">
        <v>8492</v>
      </c>
      <c r="T1205" s="117">
        <v>8492</v>
      </c>
      <c r="U1205" s="3">
        <v>14.1</v>
      </c>
    </row>
    <row r="1206" spans="19:21">
      <c r="S1206" s="117">
        <v>8522</v>
      </c>
      <c r="T1206" s="117">
        <v>8522</v>
      </c>
      <c r="U1206" s="3">
        <v>13.8</v>
      </c>
    </row>
    <row r="1207" spans="19:21">
      <c r="S1207" s="117">
        <v>8553</v>
      </c>
      <c r="T1207" s="117">
        <v>8553</v>
      </c>
      <c r="U1207" s="3">
        <v>13.6</v>
      </c>
    </row>
    <row r="1208" spans="19:21">
      <c r="S1208" s="117">
        <v>8583</v>
      </c>
      <c r="T1208" s="117">
        <v>8583</v>
      </c>
      <c r="U1208" s="3">
        <v>11.2</v>
      </c>
    </row>
    <row r="1209" spans="19:21">
      <c r="S1209" s="117">
        <v>8614</v>
      </c>
      <c r="T1209" s="117">
        <v>8614</v>
      </c>
      <c r="U1209" s="3">
        <v>9.8000000000000007</v>
      </c>
    </row>
    <row r="1210" spans="19:21">
      <c r="S1210" s="117">
        <v>8645</v>
      </c>
      <c r="T1210" s="117">
        <v>8645</v>
      </c>
      <c r="U1210" s="3">
        <v>6.4</v>
      </c>
    </row>
    <row r="1211" spans="19:21">
      <c r="S1211" s="117">
        <v>8675</v>
      </c>
      <c r="T1211" s="117">
        <v>8675</v>
      </c>
      <c r="U1211" s="3">
        <v>5.0999999999999996</v>
      </c>
    </row>
    <row r="1212" spans="19:21">
      <c r="S1212" s="117">
        <v>8706</v>
      </c>
      <c r="T1212" s="117">
        <v>8706</v>
      </c>
      <c r="U1212" s="3">
        <v>3.8</v>
      </c>
    </row>
    <row r="1213" spans="19:21">
      <c r="S1213" s="117">
        <v>8736</v>
      </c>
      <c r="T1213" s="117">
        <v>8736</v>
      </c>
      <c r="U1213" s="3">
        <v>2.5</v>
      </c>
    </row>
    <row r="1214" spans="19:21">
      <c r="S1214" s="117">
        <v>8767</v>
      </c>
      <c r="T1214" s="48">
        <f>1+T1202</f>
        <v>1924</v>
      </c>
      <c r="U1214" s="3">
        <v>5.4</v>
      </c>
    </row>
    <row r="1215" spans="19:21">
      <c r="S1215" s="117">
        <v>8798</v>
      </c>
      <c r="T1215" s="117">
        <v>8798</v>
      </c>
      <c r="U1215" s="3">
        <v>7.2</v>
      </c>
    </row>
    <row r="1216" spans="19:21">
      <c r="S1216" s="117">
        <v>8827</v>
      </c>
      <c r="T1216" s="117">
        <v>8827</v>
      </c>
      <c r="U1216" s="3">
        <v>4.9000000000000004</v>
      </c>
    </row>
    <row r="1217" spans="19:21">
      <c r="S1217" s="117">
        <v>8858</v>
      </c>
      <c r="T1217" s="117">
        <v>8858</v>
      </c>
      <c r="U1217" s="3">
        <v>-0.6</v>
      </c>
    </row>
    <row r="1218" spans="19:21">
      <c r="S1218" s="117">
        <v>8888</v>
      </c>
      <c r="T1218" s="117">
        <v>8888</v>
      </c>
      <c r="U1218" s="3">
        <v>-7.1</v>
      </c>
    </row>
    <row r="1219" spans="19:21">
      <c r="S1219" s="117">
        <v>8919</v>
      </c>
      <c r="T1219" s="117">
        <v>8919</v>
      </c>
      <c r="U1219" s="3">
        <v>-11.5</v>
      </c>
    </row>
    <row r="1220" spans="19:21">
      <c r="S1220" s="117">
        <v>8949</v>
      </c>
      <c r="T1220" s="117">
        <v>8949</v>
      </c>
      <c r="U1220" s="3">
        <v>-12.7</v>
      </c>
    </row>
    <row r="1221" spans="19:21">
      <c r="S1221" s="117">
        <v>8980</v>
      </c>
      <c r="T1221" s="117">
        <v>8980</v>
      </c>
      <c r="U1221" s="3">
        <v>-7.7</v>
      </c>
    </row>
    <row r="1222" spans="19:21">
      <c r="S1222" s="117">
        <v>9011</v>
      </c>
      <c r="T1222" s="117">
        <v>9011</v>
      </c>
      <c r="U1222" s="3">
        <v>-2.8</v>
      </c>
    </row>
    <row r="1223" spans="19:21">
      <c r="S1223" s="117">
        <v>9041</v>
      </c>
      <c r="T1223" s="117">
        <v>9041</v>
      </c>
      <c r="U1223" s="3">
        <v>-2</v>
      </c>
    </row>
    <row r="1224" spans="19:21">
      <c r="S1224" s="117">
        <v>9072</v>
      </c>
      <c r="T1224" s="117">
        <v>9072</v>
      </c>
      <c r="U1224" s="3">
        <v>-0.1</v>
      </c>
    </row>
    <row r="1225" spans="19:21">
      <c r="S1225" s="117">
        <v>9102</v>
      </c>
      <c r="T1225" s="117">
        <v>9102</v>
      </c>
      <c r="U1225" s="3">
        <v>3.8</v>
      </c>
    </row>
    <row r="1226" spans="19:21">
      <c r="S1226" s="117">
        <v>9133</v>
      </c>
      <c r="T1226" s="48">
        <f>1+T1214</f>
        <v>1925</v>
      </c>
      <c r="U1226" s="3">
        <v>7.6</v>
      </c>
    </row>
    <row r="1227" spans="19:21">
      <c r="S1227" s="117">
        <v>9164</v>
      </c>
      <c r="T1227" s="117">
        <v>9164</v>
      </c>
      <c r="U1227" s="3">
        <v>6.4</v>
      </c>
    </row>
    <row r="1228" spans="19:21">
      <c r="S1228" s="117">
        <v>9192</v>
      </c>
      <c r="T1228" s="117">
        <v>9192</v>
      </c>
      <c r="U1228" s="3">
        <v>5.0999999999999996</v>
      </c>
    </row>
    <row r="1229" spans="19:21">
      <c r="S1229" s="117">
        <v>9223</v>
      </c>
      <c r="T1229" s="117">
        <v>9223</v>
      </c>
      <c r="U1229" s="3">
        <v>3.9</v>
      </c>
    </row>
    <row r="1230" spans="19:21">
      <c r="S1230" s="117">
        <v>9253</v>
      </c>
      <c r="T1230" s="117">
        <v>9253</v>
      </c>
      <c r="U1230" s="3">
        <v>3.6</v>
      </c>
    </row>
    <row r="1231" spans="19:21">
      <c r="S1231" s="117">
        <v>9284</v>
      </c>
      <c r="T1231" s="117">
        <v>9284</v>
      </c>
      <c r="U1231" s="3">
        <v>3.4</v>
      </c>
    </row>
    <row r="1232" spans="19:21">
      <c r="S1232" s="117">
        <v>9314</v>
      </c>
      <c r="T1232" s="117">
        <v>9314</v>
      </c>
      <c r="U1232" s="3">
        <v>4.2</v>
      </c>
    </row>
    <row r="1233" spans="19:21">
      <c r="S1233" s="117">
        <v>9345</v>
      </c>
      <c r="T1233" s="117">
        <v>9345</v>
      </c>
      <c r="U1233" s="3">
        <v>3.9</v>
      </c>
    </row>
    <row r="1234" spans="19:21">
      <c r="S1234" s="117">
        <v>9376</v>
      </c>
      <c r="T1234" s="117">
        <v>9376</v>
      </c>
      <c r="U1234" s="3">
        <v>1.7</v>
      </c>
    </row>
    <row r="1235" spans="19:21">
      <c r="S1235" s="117">
        <v>9406</v>
      </c>
      <c r="T1235" s="117">
        <v>9406</v>
      </c>
      <c r="U1235" s="3">
        <v>4.4000000000000004</v>
      </c>
    </row>
    <row r="1236" spans="19:21">
      <c r="S1236" s="117">
        <v>9437</v>
      </c>
      <c r="T1236" s="117">
        <v>9437</v>
      </c>
      <c r="U1236" s="3">
        <v>7.2</v>
      </c>
    </row>
    <row r="1237" spans="19:21">
      <c r="S1237" s="117">
        <v>9467</v>
      </c>
      <c r="T1237" s="117">
        <v>9467</v>
      </c>
      <c r="U1237" s="3">
        <v>9</v>
      </c>
    </row>
    <row r="1238" spans="19:21">
      <c r="S1238" s="117">
        <v>9498</v>
      </c>
      <c r="T1238" s="48">
        <f>1+T1226</f>
        <v>1926</v>
      </c>
      <c r="U1238" s="3">
        <v>5.7</v>
      </c>
    </row>
    <row r="1239" spans="19:21">
      <c r="S1239" s="117">
        <v>9529</v>
      </c>
      <c r="T1239" s="117">
        <v>9529</v>
      </c>
      <c r="U1239" s="3">
        <v>4.5</v>
      </c>
    </row>
    <row r="1240" spans="19:21">
      <c r="S1240" s="117">
        <v>9557</v>
      </c>
      <c r="T1240" s="117">
        <v>9557</v>
      </c>
      <c r="U1240" s="3">
        <v>5.2</v>
      </c>
    </row>
    <row r="1241" spans="19:21">
      <c r="S1241" s="117">
        <v>9588</v>
      </c>
      <c r="T1241" s="117">
        <v>9588</v>
      </c>
      <c r="U1241" s="3">
        <v>6</v>
      </c>
    </row>
    <row r="1242" spans="19:21">
      <c r="S1242" s="117">
        <v>9618</v>
      </c>
      <c r="T1242" s="117">
        <v>9618</v>
      </c>
      <c r="U1242" s="3">
        <v>4.8</v>
      </c>
    </row>
    <row r="1243" spans="19:21">
      <c r="S1243" s="117">
        <v>9649</v>
      </c>
      <c r="T1243" s="117">
        <v>9649</v>
      </c>
      <c r="U1243" s="3">
        <v>6.5</v>
      </c>
    </row>
    <row r="1244" spans="19:21">
      <c r="S1244" s="117">
        <v>9679</v>
      </c>
      <c r="T1244" s="117">
        <v>9679</v>
      </c>
      <c r="U1244" s="3">
        <v>6.3</v>
      </c>
    </row>
    <row r="1245" spans="19:21">
      <c r="S1245" s="117">
        <v>9710</v>
      </c>
      <c r="T1245" s="117">
        <v>9710</v>
      </c>
      <c r="U1245" s="3">
        <v>8</v>
      </c>
    </row>
    <row r="1246" spans="19:21">
      <c r="S1246" s="117">
        <v>9741</v>
      </c>
      <c r="T1246" s="117">
        <v>9741</v>
      </c>
      <c r="U1246" s="3">
        <v>8.6999999999999993</v>
      </c>
    </row>
    <row r="1247" spans="19:21">
      <c r="S1247" s="117">
        <v>9771</v>
      </c>
      <c r="T1247" s="117">
        <v>9771</v>
      </c>
      <c r="U1247" s="3">
        <v>8.5</v>
      </c>
    </row>
    <row r="1248" spans="19:21">
      <c r="S1248" s="117">
        <v>9802</v>
      </c>
      <c r="T1248" s="117">
        <v>9802</v>
      </c>
      <c r="U1248" s="3">
        <v>7.3</v>
      </c>
    </row>
    <row r="1249" spans="19:21">
      <c r="S1249" s="117">
        <v>9832</v>
      </c>
      <c r="T1249" s="117">
        <v>9832</v>
      </c>
      <c r="U1249" s="3">
        <v>4.0999999999999996</v>
      </c>
    </row>
    <row r="1250" spans="19:21">
      <c r="S1250" s="117">
        <v>9863</v>
      </c>
      <c r="T1250" s="48">
        <f>1+T1238</f>
        <v>1927</v>
      </c>
      <c r="U1250" s="3">
        <v>3.9</v>
      </c>
    </row>
    <row r="1251" spans="19:21">
      <c r="S1251" s="117">
        <v>9894</v>
      </c>
      <c r="T1251" s="117">
        <v>9894</v>
      </c>
      <c r="U1251" s="3">
        <v>4.5999999999999996</v>
      </c>
    </row>
    <row r="1252" spans="19:21">
      <c r="S1252" s="117">
        <v>9922</v>
      </c>
      <c r="T1252" s="117">
        <v>9922</v>
      </c>
      <c r="U1252" s="3">
        <v>6.3</v>
      </c>
    </row>
    <row r="1253" spans="19:21">
      <c r="S1253" s="117">
        <v>9953</v>
      </c>
      <c r="T1253" s="117">
        <v>9953</v>
      </c>
      <c r="U1253" s="3">
        <v>4.2</v>
      </c>
    </row>
    <row r="1254" spans="19:21">
      <c r="S1254" s="117">
        <v>9983</v>
      </c>
      <c r="T1254" s="117">
        <v>9983</v>
      </c>
      <c r="U1254" s="3">
        <v>4.9000000000000004</v>
      </c>
    </row>
    <row r="1255" spans="19:21">
      <c r="S1255" s="117">
        <v>10014</v>
      </c>
      <c r="T1255" s="117">
        <v>10014</v>
      </c>
      <c r="U1255" s="3">
        <v>2.7</v>
      </c>
    </row>
    <row r="1256" spans="19:21">
      <c r="S1256" s="117">
        <v>10044</v>
      </c>
      <c r="T1256" s="117">
        <v>10044</v>
      </c>
      <c r="U1256" s="3">
        <v>1.6</v>
      </c>
    </row>
    <row r="1257" spans="19:21">
      <c r="S1257" s="117">
        <v>10075</v>
      </c>
      <c r="T1257" s="117">
        <v>10075</v>
      </c>
      <c r="U1257" s="3">
        <v>1.3</v>
      </c>
    </row>
    <row r="1258" spans="19:21">
      <c r="S1258" s="117">
        <v>10106</v>
      </c>
      <c r="T1258" s="117">
        <v>10106</v>
      </c>
      <c r="U1258" s="3">
        <v>-0.8</v>
      </c>
    </row>
    <row r="1259" spans="19:21">
      <c r="S1259" s="117">
        <v>10136</v>
      </c>
      <c r="T1259" s="117">
        <v>10136</v>
      </c>
      <c r="U1259" s="3">
        <v>-2.9</v>
      </c>
    </row>
    <row r="1260" spans="19:21">
      <c r="S1260" s="117">
        <v>10167</v>
      </c>
      <c r="T1260" s="117">
        <v>10167</v>
      </c>
      <c r="U1260" s="3">
        <v>-4.0999999999999996</v>
      </c>
    </row>
    <row r="1261" spans="19:21">
      <c r="S1261" s="117">
        <v>10197</v>
      </c>
      <c r="T1261" s="117">
        <v>10197</v>
      </c>
      <c r="U1261" s="3">
        <v>-3.4</v>
      </c>
    </row>
    <row r="1262" spans="19:21">
      <c r="S1262" s="117">
        <v>10228</v>
      </c>
      <c r="T1262" s="48">
        <f>1+T1250</f>
        <v>1928</v>
      </c>
      <c r="U1262" s="3">
        <v>1.1000000000000001</v>
      </c>
    </row>
    <row r="1263" spans="19:21">
      <c r="S1263" s="117">
        <v>10259</v>
      </c>
      <c r="T1263" s="117">
        <v>10259</v>
      </c>
      <c r="U1263" s="3">
        <v>1.9</v>
      </c>
    </row>
    <row r="1264" spans="19:21">
      <c r="S1264" s="117">
        <v>10288</v>
      </c>
      <c r="T1264" s="117">
        <v>10288</v>
      </c>
      <c r="U1264" s="3">
        <v>1.6</v>
      </c>
    </row>
    <row r="1265" spans="19:21">
      <c r="S1265" s="117">
        <v>10319</v>
      </c>
      <c r="T1265" s="117">
        <v>10319</v>
      </c>
      <c r="U1265" s="3">
        <v>1.4</v>
      </c>
    </row>
    <row r="1266" spans="19:21">
      <c r="S1266" s="117">
        <v>10349</v>
      </c>
      <c r="T1266" s="117">
        <v>10349</v>
      </c>
      <c r="U1266" s="3">
        <v>1.2</v>
      </c>
    </row>
    <row r="1267" spans="19:21">
      <c r="S1267" s="117">
        <v>10380</v>
      </c>
      <c r="T1267" s="117">
        <v>10380</v>
      </c>
      <c r="U1267" s="3">
        <v>1</v>
      </c>
    </row>
    <row r="1268" spans="19:21">
      <c r="S1268" s="117">
        <v>10410</v>
      </c>
      <c r="T1268" s="117">
        <v>10410</v>
      </c>
      <c r="U1268" s="3">
        <v>1.7</v>
      </c>
    </row>
    <row r="1269" spans="19:21">
      <c r="S1269" s="117">
        <v>10441</v>
      </c>
      <c r="T1269" s="117">
        <v>10441</v>
      </c>
      <c r="U1269" s="3">
        <v>2.4</v>
      </c>
    </row>
    <row r="1270" spans="19:21">
      <c r="S1270" s="117">
        <v>10472</v>
      </c>
      <c r="T1270" s="117">
        <v>10472</v>
      </c>
      <c r="U1270" s="3">
        <v>4.9000000000000004</v>
      </c>
    </row>
    <row r="1271" spans="19:21">
      <c r="S1271" s="117">
        <v>10502</v>
      </c>
      <c r="T1271" s="117">
        <v>10502</v>
      </c>
      <c r="U1271" s="3">
        <v>6.6</v>
      </c>
    </row>
    <row r="1272" spans="19:21">
      <c r="S1272" s="117">
        <v>10533</v>
      </c>
      <c r="T1272" s="117">
        <v>10533</v>
      </c>
      <c r="U1272" s="3">
        <v>8.1999999999999993</v>
      </c>
    </row>
    <row r="1273" spans="19:21">
      <c r="S1273" s="117">
        <v>10563</v>
      </c>
      <c r="T1273" s="117">
        <v>10563</v>
      </c>
      <c r="U1273" s="3">
        <v>8.8000000000000007</v>
      </c>
    </row>
    <row r="1274" spans="19:21">
      <c r="S1274" s="117">
        <v>10594</v>
      </c>
      <c r="T1274" s="48">
        <f>1+T1262</f>
        <v>1929</v>
      </c>
      <c r="U1274" s="3">
        <v>10.199999999999999</v>
      </c>
    </row>
    <row r="1275" spans="19:21">
      <c r="S1275" s="117">
        <v>10625</v>
      </c>
      <c r="T1275" s="117">
        <v>10625</v>
      </c>
      <c r="U1275" s="3">
        <v>9.1</v>
      </c>
    </row>
    <row r="1276" spans="19:21">
      <c r="S1276" s="117">
        <v>10653</v>
      </c>
      <c r="T1276" s="117">
        <v>10653</v>
      </c>
      <c r="U1276" s="3">
        <v>8.9</v>
      </c>
    </row>
    <row r="1277" spans="19:21">
      <c r="S1277" s="117">
        <v>10684</v>
      </c>
      <c r="T1277" s="117">
        <v>10684</v>
      </c>
      <c r="U1277" s="3">
        <v>11.4</v>
      </c>
    </row>
    <row r="1278" spans="19:21">
      <c r="S1278" s="117">
        <v>10714</v>
      </c>
      <c r="T1278" s="117">
        <v>10714</v>
      </c>
      <c r="U1278" s="3">
        <v>12</v>
      </c>
    </row>
    <row r="1279" spans="19:21">
      <c r="S1279" s="117">
        <v>10745</v>
      </c>
      <c r="T1279" s="117">
        <v>10745</v>
      </c>
      <c r="U1279" s="3">
        <v>14.5</v>
      </c>
    </row>
    <row r="1280" spans="19:21">
      <c r="S1280" s="117">
        <v>10775</v>
      </c>
      <c r="T1280" s="117">
        <v>10775</v>
      </c>
      <c r="U1280" s="3">
        <v>13.4</v>
      </c>
    </row>
    <row r="1281" spans="19:21">
      <c r="S1281" s="117">
        <v>10806</v>
      </c>
      <c r="T1281" s="117">
        <v>10806</v>
      </c>
      <c r="U1281" s="3">
        <v>10.4</v>
      </c>
    </row>
    <row r="1282" spans="19:21">
      <c r="S1282" s="117">
        <v>10837</v>
      </c>
      <c r="T1282" s="117">
        <v>10837</v>
      </c>
      <c r="U1282" s="3">
        <v>10.199999999999999</v>
      </c>
    </row>
    <row r="1283" spans="19:21">
      <c r="S1283" s="117">
        <v>10867</v>
      </c>
      <c r="T1283" s="117">
        <v>10867</v>
      </c>
      <c r="U1283" s="3">
        <v>7.1</v>
      </c>
    </row>
    <row r="1284" spans="19:21">
      <c r="S1284" s="117">
        <v>10898</v>
      </c>
      <c r="T1284" s="117">
        <v>10898</v>
      </c>
      <c r="U1284" s="3">
        <v>-0.4</v>
      </c>
    </row>
    <row r="1285" spans="19:21">
      <c r="S1285" s="117">
        <v>10928</v>
      </c>
      <c r="T1285" s="117">
        <v>10928</v>
      </c>
      <c r="U1285" s="3">
        <v>-6.9</v>
      </c>
    </row>
    <row r="1286" spans="19:21">
      <c r="S1286" s="117">
        <v>10959</v>
      </c>
      <c r="T1286" s="48">
        <f>1+T1274</f>
        <v>1930</v>
      </c>
      <c r="U1286" s="3">
        <v>-4.4000000000000004</v>
      </c>
    </row>
    <row r="1287" spans="19:21">
      <c r="S1287" s="117">
        <v>10990</v>
      </c>
      <c r="T1287" s="117">
        <v>10990</v>
      </c>
      <c r="U1287" s="3">
        <v>-3.7</v>
      </c>
    </row>
    <row r="1288" spans="19:21">
      <c r="S1288" s="117">
        <v>11018</v>
      </c>
      <c r="T1288" s="117">
        <v>11018</v>
      </c>
      <c r="U1288" s="3">
        <v>-7.5</v>
      </c>
    </row>
    <row r="1289" spans="19:21">
      <c r="S1289" s="117">
        <v>11049</v>
      </c>
      <c r="T1289" s="117">
        <v>11049</v>
      </c>
      <c r="U1289" s="3">
        <v>-6.9</v>
      </c>
    </row>
    <row r="1290" spans="19:21">
      <c r="S1290" s="117">
        <v>11079</v>
      </c>
      <c r="T1290" s="117">
        <v>11079</v>
      </c>
      <c r="U1290" s="3">
        <v>-8.9</v>
      </c>
    </row>
    <row r="1291" spans="19:21">
      <c r="S1291" s="117">
        <v>11110</v>
      </c>
      <c r="T1291" s="117">
        <v>11110</v>
      </c>
      <c r="U1291" s="3">
        <v>-12.6</v>
      </c>
    </row>
    <row r="1292" spans="19:21">
      <c r="S1292" s="117">
        <v>11140</v>
      </c>
      <c r="T1292" s="117">
        <v>11140</v>
      </c>
      <c r="U1292" s="3">
        <v>-17.2</v>
      </c>
    </row>
    <row r="1293" spans="19:21">
      <c r="S1293" s="117">
        <v>11171</v>
      </c>
      <c r="T1293" s="117">
        <v>11171</v>
      </c>
      <c r="U1293" s="3">
        <v>-20.100000000000001</v>
      </c>
    </row>
    <row r="1294" spans="19:21">
      <c r="S1294" s="117">
        <v>11202</v>
      </c>
      <c r="T1294" s="117">
        <v>11202</v>
      </c>
      <c r="U1294" s="3">
        <v>-20.2</v>
      </c>
    </row>
    <row r="1295" spans="19:21">
      <c r="S1295" s="117">
        <v>11232</v>
      </c>
      <c r="T1295" s="117">
        <v>11232</v>
      </c>
      <c r="U1295" s="3">
        <v>-22.1</v>
      </c>
    </row>
    <row r="1296" spans="19:21">
      <c r="S1296" s="117">
        <v>11263</v>
      </c>
      <c r="T1296" s="117">
        <v>11263</v>
      </c>
      <c r="U1296" s="3">
        <v>-24</v>
      </c>
    </row>
    <row r="1297" spans="19:21">
      <c r="S1297" s="117">
        <v>11293</v>
      </c>
      <c r="T1297" s="117">
        <v>11293</v>
      </c>
      <c r="U1297" s="3">
        <v>-25.9</v>
      </c>
    </row>
    <row r="1298" spans="19:21">
      <c r="S1298" s="117">
        <v>11324</v>
      </c>
      <c r="T1298" s="48">
        <f>1+T1286</f>
        <v>1931</v>
      </c>
      <c r="U1298" s="3">
        <v>-27</v>
      </c>
    </row>
    <row r="1299" spans="19:21">
      <c r="S1299" s="117">
        <v>11355</v>
      </c>
      <c r="T1299" s="117">
        <v>11355</v>
      </c>
      <c r="U1299" s="3">
        <v>-24.3</v>
      </c>
    </row>
    <row r="1300" spans="19:21">
      <c r="S1300" s="117">
        <v>11383</v>
      </c>
      <c r="T1300" s="117">
        <v>11383</v>
      </c>
      <c r="U1300" s="3">
        <v>-23.7</v>
      </c>
    </row>
    <row r="1301" spans="19:21">
      <c r="S1301" s="117">
        <v>11414</v>
      </c>
      <c r="T1301" s="117">
        <v>11414</v>
      </c>
      <c r="U1301" s="3">
        <v>-23</v>
      </c>
    </row>
    <row r="1302" spans="19:21">
      <c r="S1302" s="117">
        <v>11444</v>
      </c>
      <c r="T1302" s="117">
        <v>11444</v>
      </c>
      <c r="U1302" s="3">
        <v>-23.9</v>
      </c>
    </row>
    <row r="1303" spans="19:21">
      <c r="S1303" s="117">
        <v>11475</v>
      </c>
      <c r="T1303" s="117">
        <v>11475</v>
      </c>
      <c r="U1303" s="3">
        <v>-27.9</v>
      </c>
    </row>
    <row r="1304" spans="19:21">
      <c r="S1304" s="117">
        <v>11505</v>
      </c>
      <c r="T1304" s="117">
        <v>11505</v>
      </c>
      <c r="U1304" s="3">
        <v>-28.6</v>
      </c>
    </row>
    <row r="1305" spans="19:21">
      <c r="S1305" s="117">
        <v>11536</v>
      </c>
      <c r="T1305" s="117">
        <v>11536</v>
      </c>
      <c r="U1305" s="3">
        <v>-32.200000000000003</v>
      </c>
    </row>
    <row r="1306" spans="19:21">
      <c r="S1306" s="117">
        <v>11567</v>
      </c>
      <c r="T1306" s="117">
        <v>11567</v>
      </c>
      <c r="U1306" s="3">
        <v>-34</v>
      </c>
    </row>
    <row r="1307" spans="19:21">
      <c r="S1307" s="117">
        <v>11597</v>
      </c>
      <c r="T1307" s="117">
        <v>11597</v>
      </c>
      <c r="U1307" s="3">
        <v>-36.700000000000003</v>
      </c>
    </row>
    <row r="1308" spans="19:21">
      <c r="S1308" s="117">
        <v>11628</v>
      </c>
      <c r="T1308" s="117">
        <v>11628</v>
      </c>
      <c r="U1308" s="3">
        <v>-36.9</v>
      </c>
    </row>
    <row r="1309" spans="19:21">
      <c r="S1309" s="117">
        <v>11658</v>
      </c>
      <c r="T1309" s="117">
        <v>11658</v>
      </c>
      <c r="U1309" s="3">
        <v>-36.1</v>
      </c>
    </row>
    <row r="1310" spans="19:21">
      <c r="S1310" s="117">
        <v>11689</v>
      </c>
      <c r="T1310" s="48">
        <f>1+T1298</f>
        <v>1932</v>
      </c>
      <c r="U1310" s="3">
        <v>-37.9</v>
      </c>
    </row>
    <row r="1311" spans="19:21">
      <c r="S1311" s="117">
        <v>11720</v>
      </c>
      <c r="T1311" s="117">
        <v>11720</v>
      </c>
      <c r="U1311" s="3">
        <v>-40.6</v>
      </c>
    </row>
    <row r="1312" spans="19:21">
      <c r="S1312" s="117">
        <v>11749</v>
      </c>
      <c r="T1312" s="117">
        <v>11749</v>
      </c>
      <c r="U1312" s="3">
        <v>-42.4</v>
      </c>
    </row>
    <row r="1313" spans="19:21">
      <c r="S1313" s="117">
        <v>11780</v>
      </c>
      <c r="T1313" s="117">
        <v>11780</v>
      </c>
      <c r="U1313" s="3">
        <v>-46</v>
      </c>
    </row>
    <row r="1314" spans="19:21">
      <c r="S1314" s="117">
        <v>11810</v>
      </c>
      <c r="T1314" s="117">
        <v>11810</v>
      </c>
      <c r="U1314" s="3">
        <v>-48.7</v>
      </c>
    </row>
    <row r="1315" spans="19:21">
      <c r="S1315" s="117">
        <v>11841</v>
      </c>
      <c r="T1315" s="117">
        <v>11841</v>
      </c>
      <c r="U1315" s="3">
        <v>-49.6</v>
      </c>
    </row>
    <row r="1316" spans="19:21">
      <c r="S1316" s="117">
        <v>11871</v>
      </c>
      <c r="T1316" s="117">
        <v>11871</v>
      </c>
      <c r="U1316" s="3">
        <v>-50.6</v>
      </c>
    </row>
    <row r="1317" spans="19:21">
      <c r="S1317" s="117">
        <v>11902</v>
      </c>
      <c r="T1317" s="117">
        <v>11902</v>
      </c>
      <c r="U1317" s="3">
        <v>-48.9</v>
      </c>
    </row>
    <row r="1318" spans="19:21">
      <c r="S1318" s="117">
        <v>11933</v>
      </c>
      <c r="T1318" s="117">
        <v>11933</v>
      </c>
      <c r="U1318" s="3">
        <v>-43.9</v>
      </c>
    </row>
    <row r="1319" spans="19:21">
      <c r="S1319" s="117">
        <v>11963</v>
      </c>
      <c r="T1319" s="117">
        <v>11963</v>
      </c>
      <c r="U1319" s="3">
        <v>-43.1</v>
      </c>
    </row>
    <row r="1320" spans="19:21">
      <c r="S1320" s="117">
        <v>11994</v>
      </c>
      <c r="T1320" s="117">
        <v>11994</v>
      </c>
      <c r="U1320" s="3">
        <v>-44.9</v>
      </c>
    </row>
    <row r="1321" spans="19:21">
      <c r="S1321" s="117">
        <v>12024</v>
      </c>
      <c r="T1321" s="117">
        <v>12024</v>
      </c>
      <c r="U1321" s="3">
        <v>-44.2</v>
      </c>
    </row>
    <row r="1322" spans="19:21">
      <c r="S1322" s="117">
        <v>12055</v>
      </c>
      <c r="T1322" s="48">
        <f>1+T1310</f>
        <v>1933</v>
      </c>
      <c r="U1322" s="3">
        <v>-45.1</v>
      </c>
    </row>
    <row r="1323" spans="19:21">
      <c r="S1323" s="117">
        <v>12086</v>
      </c>
      <c r="T1323" s="117">
        <v>12086</v>
      </c>
      <c r="U1323" s="3">
        <v>-46.8</v>
      </c>
    </row>
    <row r="1324" spans="19:21">
      <c r="S1324" s="117">
        <v>12114</v>
      </c>
      <c r="T1324" s="117">
        <v>12114</v>
      </c>
      <c r="U1324" s="3">
        <v>-50.4</v>
      </c>
    </row>
    <row r="1325" spans="19:21">
      <c r="S1325" s="117">
        <v>12145</v>
      </c>
      <c r="T1325" s="117">
        <v>12145</v>
      </c>
      <c r="U1325" s="3">
        <v>-44.5</v>
      </c>
    </row>
    <row r="1326" spans="19:21">
      <c r="S1326" s="117">
        <v>12175</v>
      </c>
      <c r="T1326" s="117">
        <v>12175</v>
      </c>
      <c r="U1326" s="3">
        <v>-34.5</v>
      </c>
    </row>
    <row r="1327" spans="19:21">
      <c r="S1327" s="117">
        <v>12206</v>
      </c>
      <c r="T1327" s="117">
        <v>12206</v>
      </c>
      <c r="U1327" s="3">
        <v>-23.8</v>
      </c>
    </row>
    <row r="1328" spans="19:21">
      <c r="S1328" s="117">
        <v>12236</v>
      </c>
      <c r="T1328" s="117">
        <v>12236</v>
      </c>
      <c r="U1328" s="3">
        <v>-16.399999999999999</v>
      </c>
    </row>
    <row r="1329" spans="19:21">
      <c r="S1329" s="117">
        <v>12267</v>
      </c>
      <c r="T1329" s="117">
        <v>12267</v>
      </c>
      <c r="U1329" s="3">
        <v>-24</v>
      </c>
    </row>
    <row r="1330" spans="19:21">
      <c r="S1330" s="117">
        <v>12298</v>
      </c>
      <c r="T1330" s="117">
        <v>12298</v>
      </c>
      <c r="U1330" s="3">
        <v>-30</v>
      </c>
    </row>
    <row r="1331" spans="19:21">
      <c r="S1331" s="117">
        <v>12328</v>
      </c>
      <c r="T1331" s="117">
        <v>12328</v>
      </c>
      <c r="U1331" s="3">
        <v>-36.799999999999997</v>
      </c>
    </row>
    <row r="1332" spans="19:21">
      <c r="S1332" s="117">
        <v>12359</v>
      </c>
      <c r="T1332" s="117">
        <v>12359</v>
      </c>
      <c r="U1332" s="3">
        <v>-40.200000000000003</v>
      </c>
    </row>
    <row r="1333" spans="19:21">
      <c r="S1333" s="117">
        <v>12389</v>
      </c>
      <c r="T1333" s="117">
        <v>12389</v>
      </c>
      <c r="U1333" s="3">
        <v>-37.799999999999997</v>
      </c>
    </row>
    <row r="1334" spans="19:21">
      <c r="S1334" s="117">
        <v>12420</v>
      </c>
      <c r="T1334" s="48">
        <f>1+T1322</f>
        <v>1934</v>
      </c>
      <c r="U1334" s="3">
        <v>-35.4</v>
      </c>
    </row>
    <row r="1335" spans="19:21">
      <c r="S1335" s="117">
        <v>12451</v>
      </c>
      <c r="T1335" s="117">
        <v>12451</v>
      </c>
      <c r="U1335" s="3">
        <v>-33.1</v>
      </c>
    </row>
    <row r="1336" spans="19:21">
      <c r="S1336" s="117">
        <v>12479</v>
      </c>
      <c r="T1336" s="117">
        <v>12479</v>
      </c>
      <c r="U1336" s="3">
        <v>-30.7</v>
      </c>
    </row>
    <row r="1337" spans="19:21">
      <c r="S1337" s="117">
        <v>12510</v>
      </c>
      <c r="T1337" s="117">
        <v>12510</v>
      </c>
      <c r="U1337" s="3">
        <v>-29.1</v>
      </c>
    </row>
    <row r="1338" spans="19:21">
      <c r="S1338" s="117">
        <v>12540</v>
      </c>
      <c r="T1338" s="117">
        <v>12540</v>
      </c>
      <c r="U1338" s="3">
        <v>-29.3</v>
      </c>
    </row>
    <row r="1339" spans="19:21">
      <c r="S1339" s="117">
        <v>12571</v>
      </c>
      <c r="T1339" s="117">
        <v>12571</v>
      </c>
      <c r="U1339" s="3">
        <v>-31.1</v>
      </c>
    </row>
    <row r="1340" spans="19:21">
      <c r="S1340" s="117">
        <v>12601</v>
      </c>
      <c r="T1340" s="117">
        <v>12601</v>
      </c>
      <c r="U1340" s="3">
        <v>-37.700000000000003</v>
      </c>
    </row>
    <row r="1341" spans="19:21">
      <c r="S1341" s="117">
        <v>12632</v>
      </c>
      <c r="T1341" s="117">
        <v>12632</v>
      </c>
      <c r="U1341" s="3">
        <v>-40.299999999999997</v>
      </c>
    </row>
    <row r="1342" spans="19:21">
      <c r="S1342" s="117">
        <v>12663</v>
      </c>
      <c r="T1342" s="117">
        <v>12663</v>
      </c>
      <c r="U1342" s="3">
        <v>-42</v>
      </c>
    </row>
    <row r="1343" spans="19:21">
      <c r="S1343" s="117">
        <v>12693</v>
      </c>
      <c r="T1343" s="117">
        <v>12693</v>
      </c>
      <c r="U1343" s="3">
        <v>-39.6</v>
      </c>
    </row>
    <row r="1344" spans="19:21">
      <c r="S1344" s="117">
        <v>12724</v>
      </c>
      <c r="T1344" s="117">
        <v>12724</v>
      </c>
      <c r="U1344" s="3">
        <v>-38.9</v>
      </c>
    </row>
    <row r="1345" spans="19:21">
      <c r="S1345" s="117">
        <v>12754</v>
      </c>
      <c r="T1345" s="117">
        <v>12754</v>
      </c>
      <c r="U1345" s="3">
        <v>-30.2</v>
      </c>
    </row>
    <row r="1346" spans="19:21">
      <c r="S1346" s="117">
        <v>12785</v>
      </c>
      <c r="T1346" s="48">
        <f>1+T1334</f>
        <v>1935</v>
      </c>
      <c r="U1346" s="3">
        <v>-27</v>
      </c>
    </row>
    <row r="1347" spans="19:21">
      <c r="S1347" s="117">
        <v>12816</v>
      </c>
      <c r="T1347" s="117">
        <v>12816</v>
      </c>
      <c r="U1347" s="3">
        <v>-27.1</v>
      </c>
    </row>
    <row r="1348" spans="19:21">
      <c r="S1348" s="117">
        <v>12844</v>
      </c>
      <c r="T1348" s="117">
        <v>12844</v>
      </c>
      <c r="U1348" s="3">
        <v>-28.8</v>
      </c>
    </row>
    <row r="1349" spans="19:21">
      <c r="S1349" s="117">
        <v>12875</v>
      </c>
      <c r="T1349" s="117">
        <v>12875</v>
      </c>
      <c r="U1349" s="3">
        <v>-30.6</v>
      </c>
    </row>
    <row r="1350" spans="19:21">
      <c r="S1350" s="117">
        <v>12905</v>
      </c>
      <c r="T1350" s="117">
        <v>12905</v>
      </c>
      <c r="U1350" s="3">
        <v>-31.4</v>
      </c>
    </row>
    <row r="1351" spans="19:21">
      <c r="S1351" s="117">
        <v>12936</v>
      </c>
      <c r="T1351" s="117">
        <v>12936</v>
      </c>
      <c r="U1351" s="3">
        <v>-30</v>
      </c>
    </row>
    <row r="1352" spans="19:21">
      <c r="S1352" s="117">
        <v>12966</v>
      </c>
      <c r="T1352" s="117">
        <v>12966</v>
      </c>
      <c r="U1352" s="3">
        <v>-30.9</v>
      </c>
    </row>
    <row r="1353" spans="19:21">
      <c r="S1353" s="117">
        <v>12997</v>
      </c>
      <c r="T1353" s="117">
        <v>12997</v>
      </c>
      <c r="U1353" s="3">
        <v>-29.4</v>
      </c>
    </row>
    <row r="1354" spans="19:21">
      <c r="S1354" s="117">
        <v>13028</v>
      </c>
      <c r="T1354" s="117">
        <v>13028</v>
      </c>
      <c r="U1354" s="3">
        <v>-27.1</v>
      </c>
    </row>
    <row r="1355" spans="19:21">
      <c r="S1355" s="117">
        <v>13058</v>
      </c>
      <c r="T1355" s="117">
        <v>13058</v>
      </c>
      <c r="U1355" s="3">
        <v>-24.1</v>
      </c>
    </row>
    <row r="1356" spans="19:21">
      <c r="S1356" s="117">
        <v>13089</v>
      </c>
      <c r="T1356" s="117">
        <v>13089</v>
      </c>
      <c r="U1356" s="3">
        <v>-23.4</v>
      </c>
    </row>
    <row r="1357" spans="19:21">
      <c r="S1357" s="117">
        <v>13119</v>
      </c>
      <c r="T1357" s="117">
        <v>13119</v>
      </c>
      <c r="U1357" s="3">
        <v>-19.5</v>
      </c>
    </row>
    <row r="1358" spans="19:21">
      <c r="S1358" s="117">
        <v>13150</v>
      </c>
      <c r="T1358" s="48">
        <f>1+T1346</f>
        <v>1936</v>
      </c>
      <c r="U1358" s="3">
        <v>-22.9</v>
      </c>
    </row>
    <row r="1359" spans="19:21">
      <c r="S1359" s="117">
        <v>13181</v>
      </c>
      <c r="T1359" s="117">
        <v>13181</v>
      </c>
      <c r="U1359" s="3">
        <v>-25.4</v>
      </c>
    </row>
    <row r="1360" spans="19:21">
      <c r="S1360" s="117">
        <v>13210</v>
      </c>
      <c r="T1360" s="117">
        <v>13210</v>
      </c>
      <c r="U1360" s="3">
        <v>-26.3</v>
      </c>
    </row>
    <row r="1361" spans="19:21">
      <c r="S1361" s="117">
        <v>13241</v>
      </c>
      <c r="T1361" s="117">
        <v>13241</v>
      </c>
      <c r="U1361" s="3">
        <v>-20.100000000000001</v>
      </c>
    </row>
    <row r="1362" spans="19:21">
      <c r="S1362" s="117">
        <v>13271</v>
      </c>
      <c r="T1362" s="117">
        <v>13271</v>
      </c>
      <c r="U1362" s="3">
        <v>-20.2</v>
      </c>
    </row>
    <row r="1363" spans="19:21">
      <c r="S1363" s="117">
        <v>13302</v>
      </c>
      <c r="T1363" s="117">
        <v>13302</v>
      </c>
      <c r="U1363" s="3">
        <v>-17.899999999999999</v>
      </c>
    </row>
    <row r="1364" spans="19:21">
      <c r="S1364" s="117">
        <v>13332</v>
      </c>
      <c r="T1364" s="117">
        <v>13332</v>
      </c>
      <c r="U1364" s="3">
        <v>-15</v>
      </c>
    </row>
    <row r="1365" spans="19:21">
      <c r="S1365" s="117">
        <v>13363</v>
      </c>
      <c r="T1365" s="117">
        <v>13363</v>
      </c>
      <c r="U1365" s="3">
        <v>-15.1</v>
      </c>
    </row>
    <row r="1366" spans="19:21">
      <c r="S1366" s="117">
        <v>13394</v>
      </c>
      <c r="T1366" s="117">
        <v>13394</v>
      </c>
      <c r="U1366" s="3">
        <v>-14.4</v>
      </c>
    </row>
    <row r="1367" spans="19:21">
      <c r="S1367" s="117">
        <v>13424</v>
      </c>
      <c r="T1367" s="117">
        <v>13424</v>
      </c>
      <c r="U1367" s="3">
        <v>-13.8</v>
      </c>
    </row>
    <row r="1368" spans="19:21">
      <c r="S1368" s="117">
        <v>13455</v>
      </c>
      <c r="T1368" s="117">
        <v>13455</v>
      </c>
      <c r="U1368" s="3">
        <v>-10.8</v>
      </c>
    </row>
    <row r="1369" spans="19:21">
      <c r="S1369" s="117">
        <v>13485</v>
      </c>
      <c r="T1369" s="117">
        <v>13485</v>
      </c>
      <c r="U1369" s="3">
        <v>-5.5</v>
      </c>
    </row>
    <row r="1370" spans="19:21">
      <c r="S1370" s="117">
        <v>13516</v>
      </c>
      <c r="T1370" s="48">
        <f>1+T1358</f>
        <v>1937</v>
      </c>
      <c r="U1370" s="3">
        <v>-11.1</v>
      </c>
    </row>
    <row r="1371" spans="19:21">
      <c r="S1371" s="117">
        <v>13547</v>
      </c>
      <c r="T1371" s="117">
        <v>13547</v>
      </c>
      <c r="U1371" s="3">
        <v>-9.6999999999999993</v>
      </c>
    </row>
    <row r="1372" spans="19:21">
      <c r="S1372" s="117">
        <v>13575</v>
      </c>
      <c r="T1372" s="117">
        <v>13575</v>
      </c>
      <c r="U1372" s="3">
        <v>-8.3000000000000007</v>
      </c>
    </row>
    <row r="1373" spans="19:21">
      <c r="S1373" s="117">
        <v>13606</v>
      </c>
      <c r="T1373" s="117">
        <v>13606</v>
      </c>
      <c r="U1373" s="3">
        <v>-8.4</v>
      </c>
    </row>
    <row r="1374" spans="19:21">
      <c r="S1374" s="117">
        <v>13636</v>
      </c>
      <c r="T1374" s="117">
        <v>13636</v>
      </c>
      <c r="U1374" s="3">
        <v>-8.5</v>
      </c>
    </row>
    <row r="1375" spans="19:21">
      <c r="S1375" s="117">
        <v>13667</v>
      </c>
      <c r="T1375" s="117">
        <v>13667</v>
      </c>
      <c r="U1375" s="3">
        <v>-11.8</v>
      </c>
    </row>
    <row r="1376" spans="19:21">
      <c r="S1376" s="117">
        <v>13697</v>
      </c>
      <c r="T1376" s="117">
        <v>13697</v>
      </c>
      <c r="U1376" s="3">
        <v>-11.9</v>
      </c>
    </row>
    <row r="1377" spans="19:21">
      <c r="S1377" s="117">
        <v>13728</v>
      </c>
      <c r="T1377" s="117">
        <v>13728</v>
      </c>
      <c r="U1377" s="3">
        <v>-9.6999999999999993</v>
      </c>
    </row>
    <row r="1378" spans="19:21">
      <c r="S1378" s="117">
        <v>13759</v>
      </c>
      <c r="T1378" s="117">
        <v>13759</v>
      </c>
      <c r="U1378" s="3">
        <v>-14.6</v>
      </c>
    </row>
    <row r="1379" spans="19:21">
      <c r="S1379" s="117">
        <v>13789</v>
      </c>
      <c r="T1379" s="117">
        <v>13789</v>
      </c>
      <c r="U1379" s="3">
        <v>-21.6</v>
      </c>
    </row>
    <row r="1380" spans="19:21">
      <c r="S1380" s="117">
        <v>13820</v>
      </c>
      <c r="T1380" s="117">
        <v>13820</v>
      </c>
      <c r="U1380" s="3">
        <v>-32.5</v>
      </c>
    </row>
    <row r="1381" spans="19:21">
      <c r="S1381" s="117">
        <v>13850</v>
      </c>
      <c r="T1381" s="117">
        <v>13850</v>
      </c>
      <c r="U1381" s="3">
        <v>-35.6</v>
      </c>
    </row>
    <row r="1382" spans="19:21">
      <c r="S1382" s="117">
        <v>13881</v>
      </c>
      <c r="T1382" s="48">
        <f>1+T1370</f>
        <v>1938</v>
      </c>
      <c r="U1382" s="3">
        <v>-38.700000000000003</v>
      </c>
    </row>
    <row r="1383" spans="19:21">
      <c r="S1383" s="117">
        <v>13912</v>
      </c>
      <c r="T1383" s="117">
        <v>13912</v>
      </c>
      <c r="U1383" s="3">
        <v>-39.700000000000003</v>
      </c>
    </row>
    <row r="1384" spans="19:21">
      <c r="S1384" s="117">
        <v>13940</v>
      </c>
      <c r="T1384" s="117">
        <v>13940</v>
      </c>
      <c r="U1384" s="3">
        <v>-39.799999999999997</v>
      </c>
    </row>
    <row r="1385" spans="19:21">
      <c r="S1385" s="117">
        <v>13971</v>
      </c>
      <c r="T1385" s="117">
        <v>13971</v>
      </c>
      <c r="U1385" s="3">
        <v>-41.4</v>
      </c>
    </row>
    <row r="1386" spans="19:21">
      <c r="S1386" s="117">
        <v>14001</v>
      </c>
      <c r="T1386" s="117">
        <v>14001</v>
      </c>
      <c r="U1386" s="3">
        <v>-42.2</v>
      </c>
    </row>
    <row r="1387" spans="19:21">
      <c r="S1387" s="117">
        <v>14032</v>
      </c>
      <c r="T1387" s="117">
        <v>14032</v>
      </c>
      <c r="U1387" s="3">
        <v>-41.5</v>
      </c>
    </row>
    <row r="1388" spans="19:21">
      <c r="S1388" s="117">
        <v>14062</v>
      </c>
      <c r="T1388" s="117">
        <v>14062</v>
      </c>
      <c r="U1388" s="3">
        <v>-37.1</v>
      </c>
    </row>
    <row r="1389" spans="19:21">
      <c r="S1389" s="117">
        <v>14093</v>
      </c>
      <c r="T1389" s="117">
        <v>14093</v>
      </c>
      <c r="U1389" s="3">
        <v>-33.4</v>
      </c>
    </row>
    <row r="1390" spans="19:21">
      <c r="S1390" s="117">
        <v>14124</v>
      </c>
      <c r="T1390" s="117">
        <v>14124</v>
      </c>
      <c r="U1390" s="3">
        <v>-32</v>
      </c>
    </row>
    <row r="1391" spans="19:21">
      <c r="S1391" s="117">
        <v>14154</v>
      </c>
      <c r="T1391" s="117">
        <v>14154</v>
      </c>
      <c r="U1391" s="3">
        <v>-27.6</v>
      </c>
    </row>
    <row r="1392" spans="19:21">
      <c r="S1392" s="117">
        <v>14185</v>
      </c>
      <c r="T1392" s="117">
        <v>14185</v>
      </c>
      <c r="U1392" s="3">
        <v>-22.4</v>
      </c>
    </row>
    <row r="1393" spans="19:21">
      <c r="S1393" s="117">
        <v>14215</v>
      </c>
      <c r="T1393" s="117">
        <v>14215</v>
      </c>
      <c r="U1393" s="3">
        <v>-21.8</v>
      </c>
    </row>
    <row r="1394" spans="19:21">
      <c r="S1394" s="117">
        <v>14246</v>
      </c>
      <c r="T1394" s="48">
        <f>1+T1382</f>
        <v>1939</v>
      </c>
      <c r="U1394" s="3">
        <v>-24.2</v>
      </c>
    </row>
    <row r="1395" spans="19:21">
      <c r="S1395" s="117">
        <v>14277</v>
      </c>
      <c r="T1395" s="117">
        <v>14277</v>
      </c>
      <c r="U1395" s="3">
        <v>-25.8</v>
      </c>
    </row>
    <row r="1396" spans="19:21">
      <c r="S1396" s="117">
        <v>14305</v>
      </c>
      <c r="T1396" s="117">
        <v>14305</v>
      </c>
      <c r="U1396" s="3">
        <v>-26.7</v>
      </c>
    </row>
    <row r="1397" spans="19:21">
      <c r="S1397" s="117">
        <v>14336</v>
      </c>
      <c r="T1397" s="117">
        <v>14336</v>
      </c>
      <c r="U1397" s="3">
        <v>-31.2</v>
      </c>
    </row>
    <row r="1398" spans="19:21">
      <c r="S1398" s="117">
        <v>14366</v>
      </c>
      <c r="T1398" s="117">
        <v>14366</v>
      </c>
      <c r="U1398" s="3">
        <v>-31.4</v>
      </c>
    </row>
    <row r="1399" spans="19:21">
      <c r="S1399" s="117">
        <v>14397</v>
      </c>
      <c r="T1399" s="117">
        <v>14397</v>
      </c>
      <c r="U1399" s="3">
        <v>-27</v>
      </c>
    </row>
    <row r="1400" spans="19:21">
      <c r="S1400" s="117">
        <v>14427</v>
      </c>
      <c r="T1400" s="117">
        <v>14427</v>
      </c>
      <c r="U1400" s="3">
        <v>-24.9</v>
      </c>
    </row>
    <row r="1401" spans="19:21">
      <c r="S1401" s="117">
        <v>14458</v>
      </c>
      <c r="T1401" s="117">
        <v>14458</v>
      </c>
    </row>
    <row r="1402" spans="19:21">
      <c r="S1402" s="117">
        <v>14489</v>
      </c>
      <c r="T1402" s="117">
        <v>14489</v>
      </c>
    </row>
    <row r="1403" spans="19:21">
      <c r="S1403" s="117">
        <v>14519</v>
      </c>
      <c r="T1403" s="117">
        <v>14519</v>
      </c>
    </row>
    <row r="1404" spans="19:21">
      <c r="S1404" s="117">
        <v>14550</v>
      </c>
      <c r="T1404" s="117">
        <v>14550</v>
      </c>
    </row>
    <row r="1405" spans="19:21">
      <c r="S1405" s="117">
        <v>14580</v>
      </c>
      <c r="T1405" s="117">
        <v>14580</v>
      </c>
    </row>
    <row r="1406" spans="19:21">
      <c r="S1406" s="117">
        <v>14611</v>
      </c>
      <c r="T1406" s="48">
        <f>1+T1394</f>
        <v>1940</v>
      </c>
    </row>
    <row r="1407" spans="19:21">
      <c r="S1407" s="117">
        <v>14642</v>
      </c>
      <c r="T1407" s="117">
        <v>14642</v>
      </c>
    </row>
    <row r="1408" spans="19:21">
      <c r="S1408" s="117">
        <v>14671</v>
      </c>
      <c r="T1408" s="117">
        <v>14671</v>
      </c>
    </row>
    <row r="1409" spans="19:20">
      <c r="S1409" s="117">
        <v>14702</v>
      </c>
      <c r="T1409" s="117">
        <v>14702</v>
      </c>
    </row>
    <row r="1410" spans="19:20">
      <c r="S1410" s="117">
        <v>14732</v>
      </c>
      <c r="T1410" s="117">
        <v>14732</v>
      </c>
    </row>
    <row r="1411" spans="19:20">
      <c r="S1411" s="117">
        <v>14763</v>
      </c>
      <c r="T1411" s="117">
        <v>14763</v>
      </c>
    </row>
    <row r="1412" spans="19:20">
      <c r="S1412" s="117">
        <v>14793</v>
      </c>
      <c r="T1412" s="117">
        <v>14793</v>
      </c>
    </row>
    <row r="1413" spans="19:20">
      <c r="S1413" s="117">
        <v>14824</v>
      </c>
      <c r="T1413" s="117">
        <v>14824</v>
      </c>
    </row>
    <row r="1414" spans="19:20">
      <c r="S1414" s="117">
        <v>14855</v>
      </c>
      <c r="T1414" s="117">
        <v>14855</v>
      </c>
    </row>
    <row r="1415" spans="19:20">
      <c r="S1415" s="117">
        <v>14885</v>
      </c>
      <c r="T1415" s="117">
        <v>14885</v>
      </c>
    </row>
    <row r="1416" spans="19:20">
      <c r="S1416" s="117">
        <v>14916</v>
      </c>
      <c r="T1416" s="117">
        <v>14916</v>
      </c>
    </row>
    <row r="1417" spans="19:20">
      <c r="S1417" s="117">
        <v>14946</v>
      </c>
      <c r="T1417" s="117">
        <v>14946</v>
      </c>
    </row>
    <row r="1418" spans="19:20">
      <c r="S1418" s="117">
        <v>14977</v>
      </c>
      <c r="T1418" s="48">
        <f>1+T1406</f>
        <v>1941</v>
      </c>
    </row>
    <row r="1419" spans="19:20">
      <c r="S1419" s="117">
        <v>15008</v>
      </c>
      <c r="T1419" s="117">
        <v>15008</v>
      </c>
    </row>
    <row r="1420" spans="19:20">
      <c r="S1420" s="117">
        <v>15036</v>
      </c>
      <c r="T1420" s="117">
        <v>15036</v>
      </c>
    </row>
    <row r="1421" spans="19:20">
      <c r="S1421" s="117">
        <v>15067</v>
      </c>
      <c r="T1421" s="117">
        <v>15067</v>
      </c>
    </row>
    <row r="1422" spans="19:20">
      <c r="S1422" s="117">
        <v>15097</v>
      </c>
      <c r="T1422" s="117">
        <v>15097</v>
      </c>
    </row>
    <row r="1423" spans="19:20">
      <c r="S1423" s="117">
        <v>15128</v>
      </c>
      <c r="T1423" s="117">
        <v>15128</v>
      </c>
    </row>
    <row r="1424" spans="19:20">
      <c r="S1424" s="117">
        <v>15158</v>
      </c>
      <c r="T1424" s="117">
        <v>15158</v>
      </c>
    </row>
    <row r="1425" spans="19:20">
      <c r="S1425" s="117">
        <v>15189</v>
      </c>
      <c r="T1425" s="117">
        <v>15189</v>
      </c>
    </row>
    <row r="1426" spans="19:20">
      <c r="S1426" s="117">
        <v>15220</v>
      </c>
      <c r="T1426" s="117">
        <v>15220</v>
      </c>
    </row>
    <row r="1427" spans="19:20">
      <c r="S1427" s="117">
        <v>15250</v>
      </c>
      <c r="T1427" s="117">
        <v>15250</v>
      </c>
    </row>
    <row r="1428" spans="19:20">
      <c r="S1428" s="117">
        <v>15281</v>
      </c>
      <c r="T1428" s="117">
        <v>15281</v>
      </c>
    </row>
    <row r="1429" spans="19:20">
      <c r="S1429" s="117">
        <v>15311</v>
      </c>
      <c r="T1429" s="117">
        <v>15311</v>
      </c>
    </row>
    <row r="1430" spans="19:20">
      <c r="S1430" s="117">
        <v>15342</v>
      </c>
      <c r="T1430" s="48">
        <f>1+T1418</f>
        <v>1942</v>
      </c>
    </row>
    <row r="1431" spans="19:20">
      <c r="S1431" s="117">
        <v>15373</v>
      </c>
      <c r="T1431" s="117">
        <v>15373</v>
      </c>
    </row>
    <row r="1432" spans="19:20">
      <c r="S1432" s="117">
        <v>15401</v>
      </c>
      <c r="T1432" s="117">
        <v>15401</v>
      </c>
    </row>
    <row r="1433" spans="19:20">
      <c r="S1433" s="117">
        <v>15432</v>
      </c>
      <c r="T1433" s="117">
        <v>15432</v>
      </c>
    </row>
    <row r="1434" spans="19:20">
      <c r="S1434" s="117">
        <v>15462</v>
      </c>
      <c r="T1434" s="117">
        <v>15462</v>
      </c>
    </row>
    <row r="1435" spans="19:20">
      <c r="S1435" s="117">
        <v>15493</v>
      </c>
      <c r="T1435" s="117">
        <v>15493</v>
      </c>
    </row>
    <row r="1436" spans="19:20">
      <c r="S1436" s="117">
        <v>15523</v>
      </c>
      <c r="T1436" s="117">
        <v>15523</v>
      </c>
    </row>
    <row r="1437" spans="19:20">
      <c r="S1437" s="117">
        <v>15554</v>
      </c>
      <c r="T1437" s="117">
        <v>15554</v>
      </c>
    </row>
    <row r="1438" spans="19:20">
      <c r="S1438" s="117">
        <v>15585</v>
      </c>
      <c r="T1438" s="117">
        <v>15585</v>
      </c>
    </row>
    <row r="1439" spans="19:20">
      <c r="S1439" s="117">
        <v>15615</v>
      </c>
      <c r="T1439" s="117">
        <v>15615</v>
      </c>
    </row>
    <row r="1440" spans="19:20">
      <c r="S1440" s="117">
        <v>15646</v>
      </c>
      <c r="T1440" s="117">
        <v>15646</v>
      </c>
    </row>
    <row r="1441" spans="19:20">
      <c r="S1441" s="117">
        <v>15676</v>
      </c>
      <c r="T1441" s="117">
        <v>15676</v>
      </c>
    </row>
    <row r="1442" spans="19:20">
      <c r="S1442" s="117">
        <v>15707</v>
      </c>
      <c r="T1442" s="48">
        <f>1+T1430</f>
        <v>1943</v>
      </c>
    </row>
    <row r="1443" spans="19:20">
      <c r="S1443" s="117">
        <v>15738</v>
      </c>
      <c r="T1443" s="117">
        <v>15738</v>
      </c>
    </row>
    <row r="1444" spans="19:20">
      <c r="S1444" s="117">
        <v>15766</v>
      </c>
      <c r="T1444" s="117">
        <v>15766</v>
      </c>
    </row>
    <row r="1445" spans="19:20">
      <c r="S1445" s="117">
        <v>15797</v>
      </c>
      <c r="T1445" s="117">
        <v>15797</v>
      </c>
    </row>
    <row r="1446" spans="19:20">
      <c r="S1446" s="117">
        <v>15827</v>
      </c>
      <c r="T1446" s="117">
        <v>15827</v>
      </c>
    </row>
    <row r="1447" spans="19:20">
      <c r="S1447" s="117">
        <v>15858</v>
      </c>
      <c r="T1447" s="117">
        <v>15858</v>
      </c>
    </row>
    <row r="1448" spans="19:20">
      <c r="S1448" s="117">
        <v>15888</v>
      </c>
      <c r="T1448" s="117">
        <v>15888</v>
      </c>
    </row>
    <row r="1449" spans="19:20">
      <c r="S1449" s="117">
        <v>15919</v>
      </c>
      <c r="T1449" s="117">
        <v>15919</v>
      </c>
    </row>
    <row r="1450" spans="19:20">
      <c r="S1450" s="117">
        <v>15950</v>
      </c>
      <c r="T1450" s="117">
        <v>15950</v>
      </c>
    </row>
    <row r="1451" spans="19:20">
      <c r="S1451" s="117">
        <v>15980</v>
      </c>
      <c r="T1451" s="117">
        <v>15980</v>
      </c>
    </row>
    <row r="1452" spans="19:20">
      <c r="S1452" s="117">
        <v>16011</v>
      </c>
      <c r="T1452" s="117">
        <v>16011</v>
      </c>
    </row>
    <row r="1453" spans="19:20">
      <c r="S1453" s="117">
        <v>16041</v>
      </c>
      <c r="T1453" s="117">
        <v>16041</v>
      </c>
    </row>
    <row r="1454" spans="19:20">
      <c r="S1454" s="117">
        <v>16072</v>
      </c>
      <c r="T1454" s="48">
        <f>1+T1442</f>
        <v>1944</v>
      </c>
    </row>
    <row r="1455" spans="19:20">
      <c r="S1455" s="117">
        <v>16103</v>
      </c>
      <c r="T1455" s="117">
        <v>16103</v>
      </c>
    </row>
    <row r="1456" spans="19:20">
      <c r="S1456" s="117">
        <v>16132</v>
      </c>
      <c r="T1456" s="117">
        <v>16132</v>
      </c>
    </row>
    <row r="1457" spans="19:20">
      <c r="S1457" s="117">
        <v>16163</v>
      </c>
      <c r="T1457" s="117">
        <v>16163</v>
      </c>
    </row>
    <row r="1458" spans="19:20">
      <c r="S1458" s="117">
        <v>16193</v>
      </c>
      <c r="T1458" s="117">
        <v>16193</v>
      </c>
    </row>
    <row r="1459" spans="19:20">
      <c r="S1459" s="117">
        <v>16224</v>
      </c>
      <c r="T1459" s="117">
        <v>16224</v>
      </c>
    </row>
    <row r="1460" spans="19:20">
      <c r="S1460" s="117">
        <v>16254</v>
      </c>
      <c r="T1460" s="117">
        <v>16254</v>
      </c>
    </row>
    <row r="1461" spans="19:20">
      <c r="S1461" s="117">
        <v>16285</v>
      </c>
      <c r="T1461" s="117">
        <v>16285</v>
      </c>
    </row>
    <row r="1462" spans="19:20">
      <c r="S1462" s="117">
        <v>16316</v>
      </c>
      <c r="T1462" s="117">
        <v>16316</v>
      </c>
    </row>
    <row r="1463" spans="19:20">
      <c r="S1463" s="117">
        <v>16346</v>
      </c>
      <c r="T1463" s="117">
        <v>16346</v>
      </c>
    </row>
    <row r="1464" spans="19:20">
      <c r="S1464" s="117">
        <v>16377</v>
      </c>
      <c r="T1464" s="117">
        <v>16377</v>
      </c>
    </row>
    <row r="1465" spans="19:20">
      <c r="S1465" s="117">
        <v>16407</v>
      </c>
      <c r="T1465" s="117">
        <v>16407</v>
      </c>
    </row>
    <row r="1466" spans="19:20">
      <c r="S1466" s="117">
        <v>16438</v>
      </c>
      <c r="T1466" s="48">
        <f>1+T1454</f>
        <v>1945</v>
      </c>
    </row>
    <row r="1467" spans="19:20">
      <c r="S1467" s="117">
        <v>16469</v>
      </c>
      <c r="T1467" s="117">
        <v>16469</v>
      </c>
    </row>
    <row r="1468" spans="19:20">
      <c r="S1468" s="117">
        <v>16497</v>
      </c>
      <c r="T1468" s="117">
        <v>16497</v>
      </c>
    </row>
    <row r="1469" spans="19:20">
      <c r="S1469" s="117">
        <v>16528</v>
      </c>
      <c r="T1469" s="117">
        <v>16528</v>
      </c>
    </row>
    <row r="1470" spans="19:20">
      <c r="S1470" s="117">
        <v>16558</v>
      </c>
      <c r="T1470" s="117">
        <v>16558</v>
      </c>
    </row>
    <row r="1471" spans="19:20">
      <c r="S1471" s="117">
        <v>16589</v>
      </c>
      <c r="T1471" s="117">
        <v>16589</v>
      </c>
    </row>
    <row r="1472" spans="19:20">
      <c r="S1472" s="117">
        <v>16619</v>
      </c>
      <c r="T1472" s="117">
        <v>16619</v>
      </c>
    </row>
    <row r="1473" spans="19:20">
      <c r="S1473" s="117">
        <v>16650</v>
      </c>
      <c r="T1473" s="117">
        <v>16650</v>
      </c>
    </row>
    <row r="1474" spans="19:20">
      <c r="S1474" s="117">
        <v>16681</v>
      </c>
      <c r="T1474" s="117">
        <v>16681</v>
      </c>
    </row>
    <row r="1475" spans="19:20">
      <c r="S1475" s="117">
        <v>16711</v>
      </c>
      <c r="T1475" s="117">
        <v>16711</v>
      </c>
    </row>
    <row r="1476" spans="19:20">
      <c r="S1476" s="117">
        <v>16742</v>
      </c>
      <c r="T1476" s="117">
        <v>16742</v>
      </c>
    </row>
    <row r="1477" spans="19:20">
      <c r="S1477" s="117">
        <v>16772</v>
      </c>
      <c r="T1477" s="117">
        <v>16772</v>
      </c>
    </row>
    <row r="1478" spans="19:20">
      <c r="S1478" s="117">
        <v>16803</v>
      </c>
      <c r="T1478" s="48">
        <f>1+T1466</f>
        <v>1946</v>
      </c>
    </row>
    <row r="1479" spans="19:20">
      <c r="S1479" s="117">
        <v>16834</v>
      </c>
      <c r="T1479" s="117">
        <v>16834</v>
      </c>
    </row>
    <row r="1480" spans="19:20">
      <c r="S1480" s="117">
        <v>16862</v>
      </c>
      <c r="T1480" s="117">
        <v>16862</v>
      </c>
    </row>
    <row r="1481" spans="19:20">
      <c r="S1481" s="117">
        <v>16893</v>
      </c>
      <c r="T1481" s="117">
        <v>16893</v>
      </c>
    </row>
    <row r="1482" spans="19:20">
      <c r="S1482" s="117">
        <v>16923</v>
      </c>
      <c r="T1482" s="117">
        <v>16923</v>
      </c>
    </row>
    <row r="1483" spans="19:20">
      <c r="S1483" s="117">
        <v>16954</v>
      </c>
      <c r="T1483" s="117">
        <v>16954</v>
      </c>
    </row>
    <row r="1484" spans="19:20">
      <c r="S1484" s="117">
        <v>16984</v>
      </c>
      <c r="T1484" s="117">
        <v>16984</v>
      </c>
    </row>
    <row r="1485" spans="19:20">
      <c r="S1485" s="117">
        <v>17015</v>
      </c>
      <c r="T1485" s="117">
        <v>17015</v>
      </c>
    </row>
    <row r="1486" spans="19:20">
      <c r="S1486" s="117">
        <v>17046</v>
      </c>
      <c r="T1486" s="117">
        <v>17046</v>
      </c>
    </row>
    <row r="1487" spans="19:20">
      <c r="S1487" s="117">
        <v>17076</v>
      </c>
      <c r="T1487" s="117">
        <v>17076</v>
      </c>
    </row>
    <row r="1488" spans="19:20">
      <c r="S1488" s="117">
        <v>17107</v>
      </c>
      <c r="T1488" s="117">
        <v>17107</v>
      </c>
    </row>
    <row r="1489" spans="19:20">
      <c r="S1489" s="117">
        <v>17137</v>
      </c>
      <c r="T1489" s="117">
        <v>17137</v>
      </c>
    </row>
    <row r="1490" spans="19:20">
      <c r="S1490" s="117">
        <v>17168</v>
      </c>
      <c r="T1490" s="48">
        <f>1+T1478</f>
        <v>1947</v>
      </c>
    </row>
    <row r="1491" spans="19:20">
      <c r="S1491" s="117">
        <v>17199</v>
      </c>
      <c r="T1491" s="117">
        <v>17199</v>
      </c>
    </row>
    <row r="1492" spans="19:20">
      <c r="S1492" s="117">
        <v>17227</v>
      </c>
      <c r="T1492" s="117">
        <v>17227</v>
      </c>
    </row>
    <row r="1493" spans="19:20">
      <c r="S1493" s="117">
        <v>17258</v>
      </c>
      <c r="T1493" s="117">
        <v>17258</v>
      </c>
    </row>
    <row r="1494" spans="19:20">
      <c r="S1494" s="117">
        <v>17288</v>
      </c>
      <c r="T1494" s="117">
        <v>17288</v>
      </c>
    </row>
    <row r="1495" spans="19:20">
      <c r="S1495" s="117">
        <v>17319</v>
      </c>
      <c r="T1495" s="117">
        <v>17319</v>
      </c>
    </row>
    <row r="1496" spans="19:20">
      <c r="S1496" s="117">
        <v>17349</v>
      </c>
      <c r="T1496" s="117">
        <v>17349</v>
      </c>
    </row>
    <row r="1497" spans="19:20">
      <c r="S1497" s="117">
        <v>17380</v>
      </c>
      <c r="T1497" s="117">
        <v>17380</v>
      </c>
    </row>
    <row r="1498" spans="19:20">
      <c r="S1498" s="117">
        <v>17411</v>
      </c>
      <c r="T1498" s="117">
        <v>17411</v>
      </c>
    </row>
    <row r="1499" spans="19:20">
      <c r="S1499" s="117">
        <v>17441</v>
      </c>
      <c r="T1499" s="117">
        <v>17441</v>
      </c>
    </row>
    <row r="1500" spans="19:20">
      <c r="S1500" s="117">
        <v>17472</v>
      </c>
      <c r="T1500" s="117">
        <v>17472</v>
      </c>
    </row>
    <row r="1501" spans="19:20">
      <c r="S1501" s="117">
        <v>17502</v>
      </c>
      <c r="T1501" s="117">
        <v>17502</v>
      </c>
    </row>
    <row r="1502" spans="19:20">
      <c r="S1502" s="117">
        <v>17533</v>
      </c>
      <c r="T1502" s="48">
        <f>1+T1490</f>
        <v>1948</v>
      </c>
    </row>
    <row r="1503" spans="19:20">
      <c r="S1503" s="117">
        <v>17564</v>
      </c>
      <c r="T1503" s="117">
        <v>17564</v>
      </c>
    </row>
    <row r="1504" spans="19:20">
      <c r="S1504" s="117">
        <v>17593</v>
      </c>
      <c r="T1504" s="117">
        <v>17593</v>
      </c>
    </row>
    <row r="1505" spans="19:20">
      <c r="S1505" s="117">
        <v>17624</v>
      </c>
      <c r="T1505" s="117">
        <v>17624</v>
      </c>
    </row>
    <row r="1506" spans="19:20">
      <c r="S1506" s="117">
        <v>17654</v>
      </c>
      <c r="T1506" s="117">
        <v>17654</v>
      </c>
    </row>
    <row r="1507" spans="19:20">
      <c r="S1507" s="117">
        <v>17685</v>
      </c>
      <c r="T1507" s="117">
        <v>17685</v>
      </c>
    </row>
    <row r="1508" spans="19:20">
      <c r="S1508" s="117">
        <v>17715</v>
      </c>
      <c r="T1508" s="117">
        <v>17715</v>
      </c>
    </row>
    <row r="1509" spans="19:20">
      <c r="S1509" s="117">
        <v>17746</v>
      </c>
      <c r="T1509" s="117">
        <v>17746</v>
      </c>
    </row>
    <row r="1510" spans="19:20">
      <c r="S1510" s="117">
        <v>17777</v>
      </c>
      <c r="T1510" s="117">
        <v>17777</v>
      </c>
    </row>
    <row r="1511" spans="19:20">
      <c r="S1511" s="117">
        <v>17807</v>
      </c>
      <c r="T1511" s="117">
        <v>17807</v>
      </c>
    </row>
    <row r="1512" spans="19:20">
      <c r="S1512" s="117">
        <v>17838</v>
      </c>
      <c r="T1512" s="117">
        <v>17838</v>
      </c>
    </row>
    <row r="1513" spans="19:20">
      <c r="S1513" s="117">
        <v>17868</v>
      </c>
      <c r="T1513" s="117">
        <v>17868</v>
      </c>
    </row>
    <row r="1514" spans="19:20">
      <c r="S1514" s="117">
        <v>17899</v>
      </c>
      <c r="T1514" s="48">
        <f>1+T1502</f>
        <v>1949</v>
      </c>
    </row>
    <row r="1515" spans="19:20">
      <c r="S1515" s="117">
        <v>17930</v>
      </c>
      <c r="T1515" s="117">
        <v>17930</v>
      </c>
    </row>
    <row r="1516" spans="19:20">
      <c r="S1516" s="117">
        <v>17958</v>
      </c>
      <c r="T1516" s="117">
        <v>17958</v>
      </c>
    </row>
    <row r="1517" spans="19:20">
      <c r="S1517" s="117">
        <v>17989</v>
      </c>
      <c r="T1517" s="117">
        <v>17989</v>
      </c>
    </row>
    <row r="1518" spans="19:20">
      <c r="S1518" s="117">
        <v>18019</v>
      </c>
      <c r="T1518" s="117">
        <v>18019</v>
      </c>
    </row>
    <row r="1519" spans="19:20">
      <c r="S1519" s="117">
        <v>18050</v>
      </c>
      <c r="T1519" s="117">
        <v>18050</v>
      </c>
    </row>
    <row r="1520" spans="19:20">
      <c r="S1520" s="117">
        <v>18080</v>
      </c>
      <c r="T1520" s="117">
        <v>18080</v>
      </c>
    </row>
    <row r="1521" spans="19:20">
      <c r="S1521" s="117">
        <v>18111</v>
      </c>
      <c r="T1521" s="117">
        <v>18111</v>
      </c>
    </row>
    <row r="1522" spans="19:20">
      <c r="S1522" s="117">
        <v>18142</v>
      </c>
      <c r="T1522" s="117">
        <v>18142</v>
      </c>
    </row>
    <row r="1523" spans="19:20">
      <c r="S1523" s="117">
        <v>18172</v>
      </c>
      <c r="T1523" s="117">
        <v>18172</v>
      </c>
    </row>
    <row r="1524" spans="19:20">
      <c r="S1524" s="117">
        <v>18203</v>
      </c>
      <c r="T1524" s="117">
        <v>18203</v>
      </c>
    </row>
    <row r="1525" spans="19:20">
      <c r="S1525" s="117">
        <v>18233</v>
      </c>
      <c r="T1525" s="117">
        <v>18233</v>
      </c>
    </row>
    <row r="1526" spans="19:20">
      <c r="S1526" s="117">
        <v>18264</v>
      </c>
      <c r="T1526" s="48">
        <f>1+T1514</f>
        <v>1950</v>
      </c>
    </row>
    <row r="1527" spans="19:20">
      <c r="S1527" s="117">
        <v>18295</v>
      </c>
      <c r="T1527" s="117">
        <v>18295</v>
      </c>
    </row>
    <row r="1528" spans="19:20">
      <c r="S1528" s="117">
        <v>18323</v>
      </c>
      <c r="T1528" s="117">
        <v>18323</v>
      </c>
    </row>
    <row r="1529" spans="19:20">
      <c r="S1529" s="117">
        <v>18354</v>
      </c>
      <c r="T1529" s="117">
        <v>18354</v>
      </c>
    </row>
    <row r="1530" spans="19:20">
      <c r="S1530" s="117">
        <v>18384</v>
      </c>
      <c r="T1530" s="117">
        <v>18384</v>
      </c>
    </row>
    <row r="1531" spans="19:20">
      <c r="S1531" s="117">
        <v>18415</v>
      </c>
      <c r="T1531" s="117">
        <v>18415</v>
      </c>
    </row>
    <row r="1532" spans="19:20">
      <c r="S1532" s="117">
        <v>18445</v>
      </c>
      <c r="T1532" s="117">
        <v>18445</v>
      </c>
    </row>
    <row r="1533" spans="19:20">
      <c r="S1533" s="117">
        <v>18476</v>
      </c>
      <c r="T1533" s="117">
        <v>18476</v>
      </c>
    </row>
    <row r="1534" spans="19:20">
      <c r="S1534" s="117">
        <v>18507</v>
      </c>
      <c r="T1534" s="117">
        <v>18507</v>
      </c>
    </row>
    <row r="1535" spans="19:20">
      <c r="S1535" s="117">
        <v>18537</v>
      </c>
      <c r="T1535" s="117">
        <v>18537</v>
      </c>
    </row>
    <row r="1536" spans="19:20">
      <c r="S1536" s="117">
        <v>18568</v>
      </c>
      <c r="T1536" s="117">
        <v>18568</v>
      </c>
    </row>
    <row r="1537" spans="19:20">
      <c r="S1537" s="117">
        <v>18598</v>
      </c>
      <c r="T1537" s="117">
        <v>18598</v>
      </c>
    </row>
    <row r="1538" spans="19:20">
      <c r="S1538" s="117">
        <v>18629</v>
      </c>
      <c r="T1538" s="48">
        <f>1+T1526</f>
        <v>1951</v>
      </c>
    </row>
    <row r="1539" spans="19:20">
      <c r="S1539" s="117">
        <v>18660</v>
      </c>
      <c r="T1539" s="117">
        <v>18660</v>
      </c>
    </row>
    <row r="1540" spans="19:20">
      <c r="S1540" s="117">
        <v>18688</v>
      </c>
      <c r="T1540" s="117">
        <v>18688</v>
      </c>
    </row>
    <row r="1541" spans="19:20">
      <c r="S1541" s="117">
        <v>18719</v>
      </c>
      <c r="T1541" s="117">
        <v>18719</v>
      </c>
    </row>
    <row r="1542" spans="19:20">
      <c r="S1542" s="117">
        <v>18749</v>
      </c>
      <c r="T1542" s="117">
        <v>18749</v>
      </c>
    </row>
    <row r="1543" spans="19:20">
      <c r="S1543" s="117">
        <v>18780</v>
      </c>
      <c r="T1543" s="117">
        <v>18780</v>
      </c>
    </row>
    <row r="1544" spans="19:20">
      <c r="S1544" s="117">
        <v>18810</v>
      </c>
      <c r="T1544" s="117">
        <v>18810</v>
      </c>
    </row>
    <row r="1545" spans="19:20">
      <c r="S1545" s="117">
        <v>18841</v>
      </c>
      <c r="T1545" s="117">
        <v>18841</v>
      </c>
    </row>
    <row r="1546" spans="19:20">
      <c r="S1546" s="117">
        <v>18872</v>
      </c>
      <c r="T1546" s="117">
        <v>18872</v>
      </c>
    </row>
    <row r="1547" spans="19:20">
      <c r="S1547" s="117">
        <v>18902</v>
      </c>
      <c r="T1547" s="117">
        <v>18902</v>
      </c>
    </row>
    <row r="1548" spans="19:20">
      <c r="S1548" s="117">
        <v>18933</v>
      </c>
      <c r="T1548" s="117">
        <v>18933</v>
      </c>
    </row>
    <row r="1549" spans="19:20">
      <c r="S1549" s="117">
        <v>18963</v>
      </c>
      <c r="T1549" s="117">
        <v>18963</v>
      </c>
    </row>
    <row r="1550" spans="19:20">
      <c r="S1550" s="117">
        <v>18994</v>
      </c>
      <c r="T1550" s="48">
        <f>1+T1538</f>
        <v>1952</v>
      </c>
    </row>
    <row r="1551" spans="19:20">
      <c r="S1551" s="117">
        <v>19025</v>
      </c>
      <c r="T1551" s="117">
        <v>19025</v>
      </c>
    </row>
    <row r="1552" spans="19:20">
      <c r="S1552" s="117">
        <v>19054</v>
      </c>
      <c r="T1552" s="117">
        <v>19054</v>
      </c>
    </row>
    <row r="1553" spans="19:20">
      <c r="S1553" s="117">
        <v>19085</v>
      </c>
      <c r="T1553" s="117">
        <v>19085</v>
      </c>
    </row>
    <row r="1554" spans="19:20">
      <c r="S1554" s="117">
        <v>19115</v>
      </c>
      <c r="T1554" s="117">
        <v>19115</v>
      </c>
    </row>
    <row r="1555" spans="19:20">
      <c r="S1555" s="117">
        <v>19146</v>
      </c>
      <c r="T1555" s="117">
        <v>19146</v>
      </c>
    </row>
    <row r="1556" spans="19:20">
      <c r="S1556" s="117">
        <v>19176</v>
      </c>
      <c r="T1556" s="117">
        <v>19176</v>
      </c>
    </row>
    <row r="1557" spans="19:20">
      <c r="S1557" s="117">
        <v>19207</v>
      </c>
      <c r="T1557" s="117">
        <v>19207</v>
      </c>
    </row>
    <row r="1558" spans="19:20">
      <c r="S1558" s="117">
        <v>19238</v>
      </c>
      <c r="T1558" s="117">
        <v>19238</v>
      </c>
    </row>
    <row r="1559" spans="19:20">
      <c r="S1559" s="117">
        <v>19268</v>
      </c>
      <c r="T1559" s="117">
        <v>19268</v>
      </c>
    </row>
    <row r="1560" spans="19:20">
      <c r="S1560" s="117">
        <v>19299</v>
      </c>
      <c r="T1560" s="117">
        <v>19299</v>
      </c>
    </row>
    <row r="1561" spans="19:20">
      <c r="S1561" s="117">
        <v>19329</v>
      </c>
      <c r="T1561" s="117">
        <v>19329</v>
      </c>
    </row>
    <row r="1562" spans="19:20">
      <c r="S1562" s="117">
        <v>19360</v>
      </c>
      <c r="T1562" s="48">
        <f>1+T1550</f>
        <v>1953</v>
      </c>
    </row>
    <row r="1563" spans="19:20">
      <c r="S1563" s="117">
        <v>19391</v>
      </c>
      <c r="T1563" s="117">
        <v>19391</v>
      </c>
    </row>
    <row r="1564" spans="19:20">
      <c r="S1564" s="117">
        <v>19419</v>
      </c>
      <c r="T1564" s="117">
        <v>19419</v>
      </c>
    </row>
    <row r="1565" spans="19:20">
      <c r="S1565" s="117">
        <v>19450</v>
      </c>
      <c r="T1565" s="117">
        <v>19450</v>
      </c>
    </row>
    <row r="1566" spans="19:20">
      <c r="S1566" s="117">
        <v>19480</v>
      </c>
      <c r="T1566" s="117">
        <v>19480</v>
      </c>
    </row>
    <row r="1567" spans="19:20">
      <c r="S1567" s="117">
        <v>19511</v>
      </c>
      <c r="T1567" s="117">
        <v>19511</v>
      </c>
    </row>
    <row r="1568" spans="19:20">
      <c r="S1568" s="117">
        <v>19541</v>
      </c>
      <c r="T1568" s="117">
        <v>19541</v>
      </c>
    </row>
    <row r="1569" spans="19:20">
      <c r="S1569" s="117">
        <v>19572</v>
      </c>
      <c r="T1569" s="117">
        <v>19572</v>
      </c>
    </row>
    <row r="1570" spans="19:20">
      <c r="S1570" s="117">
        <v>19603</v>
      </c>
      <c r="T1570" s="117">
        <v>19603</v>
      </c>
    </row>
    <row r="1571" spans="19:20">
      <c r="S1571" s="117">
        <v>19633</v>
      </c>
      <c r="T1571" s="117">
        <v>19633</v>
      </c>
    </row>
    <row r="1572" spans="19:20">
      <c r="S1572" s="117">
        <v>19664</v>
      </c>
      <c r="T1572" s="117">
        <v>19664</v>
      </c>
    </row>
    <row r="1573" spans="19:20">
      <c r="S1573" s="117">
        <v>19694</v>
      </c>
      <c r="T1573" s="117">
        <v>19694</v>
      </c>
    </row>
    <row r="1574" spans="19:20">
      <c r="S1574" s="117">
        <v>19725</v>
      </c>
      <c r="T1574" s="48">
        <f>1+T1562</f>
        <v>1954</v>
      </c>
    </row>
    <row r="1575" spans="19:20">
      <c r="S1575" s="117">
        <v>19756</v>
      </c>
      <c r="T1575" s="117">
        <v>19756</v>
      </c>
    </row>
    <row r="1576" spans="19:20">
      <c r="S1576" s="117">
        <v>19784</v>
      </c>
      <c r="T1576" s="117">
        <v>19784</v>
      </c>
    </row>
    <row r="1577" spans="19:20">
      <c r="S1577" s="117">
        <v>19815</v>
      </c>
      <c r="T1577" s="117">
        <v>19815</v>
      </c>
    </row>
    <row r="1578" spans="19:20">
      <c r="S1578" s="117">
        <v>19845</v>
      </c>
      <c r="T1578" s="117">
        <v>19845</v>
      </c>
    </row>
    <row r="1579" spans="19:20">
      <c r="S1579" s="117">
        <v>19876</v>
      </c>
      <c r="T1579" s="117">
        <v>19876</v>
      </c>
    </row>
    <row r="1580" spans="19:20">
      <c r="S1580" s="117">
        <v>19906</v>
      </c>
      <c r="T1580" s="117">
        <v>19906</v>
      </c>
    </row>
    <row r="1581" spans="19:20">
      <c r="S1581" s="117">
        <v>19937</v>
      </c>
      <c r="T1581" s="117">
        <v>19937</v>
      </c>
    </row>
    <row r="1582" spans="19:20">
      <c r="S1582" s="117">
        <v>19968</v>
      </c>
      <c r="T1582" s="117">
        <v>19968</v>
      </c>
    </row>
    <row r="1583" spans="19:20">
      <c r="S1583" s="117">
        <v>19998</v>
      </c>
      <c r="T1583" s="117">
        <v>19998</v>
      </c>
    </row>
    <row r="1584" spans="19:20">
      <c r="S1584" s="117">
        <v>20029</v>
      </c>
      <c r="T1584" s="117">
        <v>20029</v>
      </c>
    </row>
    <row r="1585" spans="19:20">
      <c r="S1585" s="117">
        <v>20059</v>
      </c>
      <c r="T1585" s="117">
        <v>20059</v>
      </c>
    </row>
    <row r="1586" spans="19:20">
      <c r="S1586" s="117">
        <v>20090</v>
      </c>
      <c r="T1586" s="48">
        <f>1+T1574</f>
        <v>1955</v>
      </c>
    </row>
    <row r="1587" spans="19:20">
      <c r="S1587" s="117">
        <v>20121</v>
      </c>
      <c r="T1587" s="117">
        <v>20121</v>
      </c>
    </row>
    <row r="1588" spans="19:20">
      <c r="S1588" s="117">
        <v>20149</v>
      </c>
      <c r="T1588" s="117">
        <v>20149</v>
      </c>
    </row>
    <row r="1589" spans="19:20">
      <c r="S1589" s="117">
        <v>20180</v>
      </c>
      <c r="T1589" s="117">
        <v>20180</v>
      </c>
    </row>
    <row r="1590" spans="19:20">
      <c r="S1590" s="117">
        <v>20210</v>
      </c>
      <c r="T1590" s="117">
        <v>20210</v>
      </c>
    </row>
    <row r="1591" spans="19:20">
      <c r="S1591" s="117">
        <v>20241</v>
      </c>
      <c r="T1591" s="117">
        <v>20241</v>
      </c>
    </row>
    <row r="1592" spans="19:20">
      <c r="S1592" s="117">
        <v>20271</v>
      </c>
      <c r="T1592" s="117">
        <v>20271</v>
      </c>
    </row>
    <row r="1593" spans="19:20">
      <c r="S1593" s="117">
        <v>20302</v>
      </c>
      <c r="T1593" s="117">
        <v>20302</v>
      </c>
    </row>
    <row r="1594" spans="19:20">
      <c r="S1594" s="117">
        <v>20333</v>
      </c>
      <c r="T1594" s="117">
        <v>20333</v>
      </c>
    </row>
    <row r="1595" spans="19:20">
      <c r="S1595" s="117">
        <v>20363</v>
      </c>
      <c r="T1595" s="117">
        <v>20363</v>
      </c>
    </row>
    <row r="1596" spans="19:20">
      <c r="S1596" s="117">
        <v>20394</v>
      </c>
      <c r="T1596" s="117">
        <v>20394</v>
      </c>
    </row>
    <row r="1597" spans="19:20">
      <c r="S1597" s="117">
        <v>20424</v>
      </c>
      <c r="T1597" s="117">
        <v>20424</v>
      </c>
    </row>
    <row r="1598" spans="19:20">
      <c r="S1598" s="117">
        <v>20455</v>
      </c>
      <c r="T1598" s="48">
        <f>1+T1586</f>
        <v>1956</v>
      </c>
    </row>
    <row r="1599" spans="19:20">
      <c r="S1599" s="117">
        <v>20486</v>
      </c>
      <c r="T1599" s="117">
        <v>20486</v>
      </c>
    </row>
    <row r="1600" spans="19:20">
      <c r="S1600" s="117">
        <v>20515</v>
      </c>
      <c r="T1600" s="117">
        <v>20515</v>
      </c>
    </row>
    <row r="1601" spans="19:20">
      <c r="S1601" s="117">
        <v>20546</v>
      </c>
      <c r="T1601" s="117">
        <v>20546</v>
      </c>
    </row>
    <row r="1602" spans="19:20">
      <c r="S1602" s="117">
        <v>20576</v>
      </c>
      <c r="T1602" s="117">
        <v>20576</v>
      </c>
    </row>
    <row r="1603" spans="19:20">
      <c r="S1603" s="117">
        <v>20607</v>
      </c>
      <c r="T1603" s="117">
        <v>20607</v>
      </c>
    </row>
    <row r="1604" spans="19:20">
      <c r="S1604" s="117">
        <v>20637</v>
      </c>
      <c r="T1604" s="117">
        <v>20637</v>
      </c>
    </row>
    <row r="1605" spans="19:20">
      <c r="S1605" s="117">
        <v>20668</v>
      </c>
      <c r="T1605" s="117">
        <v>20668</v>
      </c>
    </row>
    <row r="1606" spans="19:20">
      <c r="S1606" s="117">
        <v>20699</v>
      </c>
      <c r="T1606" s="117">
        <v>20699</v>
      </c>
    </row>
    <row r="1607" spans="19:20">
      <c r="S1607" s="117">
        <v>20729</v>
      </c>
      <c r="T1607" s="117">
        <v>20729</v>
      </c>
    </row>
    <row r="1608" spans="19:20">
      <c r="S1608" s="117">
        <v>20760</v>
      </c>
      <c r="T1608" s="117">
        <v>20760</v>
      </c>
    </row>
    <row r="1609" spans="19:20">
      <c r="S1609" s="117">
        <v>20790</v>
      </c>
      <c r="T1609" s="117">
        <v>20790</v>
      </c>
    </row>
    <row r="1610" spans="19:20">
      <c r="S1610" s="117">
        <v>20821</v>
      </c>
      <c r="T1610" s="48">
        <f>1+T1598</f>
        <v>1957</v>
      </c>
    </row>
    <row r="1611" spans="19:20">
      <c r="S1611" s="117">
        <v>20852</v>
      </c>
      <c r="T1611" s="117">
        <v>20852</v>
      </c>
    </row>
    <row r="1612" spans="19:20">
      <c r="S1612" s="117">
        <v>20880</v>
      </c>
      <c r="T1612" s="117">
        <v>20880</v>
      </c>
    </row>
    <row r="1613" spans="19:20">
      <c r="S1613" s="117">
        <v>20911</v>
      </c>
      <c r="T1613" s="117">
        <v>20911</v>
      </c>
    </row>
    <row r="1614" spans="19:20">
      <c r="S1614" s="117">
        <v>20941</v>
      </c>
      <c r="T1614" s="117">
        <v>20941</v>
      </c>
    </row>
    <row r="1615" spans="19:20">
      <c r="S1615" s="117">
        <v>20972</v>
      </c>
      <c r="T1615" s="117">
        <v>20972</v>
      </c>
    </row>
    <row r="1616" spans="19:20">
      <c r="S1616" s="117">
        <v>21002</v>
      </c>
      <c r="T1616" s="117">
        <v>21002</v>
      </c>
    </row>
    <row r="1617" spans="19:20">
      <c r="S1617" s="117">
        <v>21033</v>
      </c>
      <c r="T1617" s="117">
        <v>21033</v>
      </c>
    </row>
    <row r="1618" spans="19:20">
      <c r="S1618" s="117">
        <v>21064</v>
      </c>
      <c r="T1618" s="117">
        <v>21064</v>
      </c>
    </row>
    <row r="1619" spans="19:20">
      <c r="S1619" s="117">
        <v>21094</v>
      </c>
      <c r="T1619" s="117">
        <v>21094</v>
      </c>
    </row>
    <row r="1620" spans="19:20">
      <c r="S1620" s="117">
        <v>21125</v>
      </c>
      <c r="T1620" s="117">
        <v>21125</v>
      </c>
    </row>
    <row r="1621" spans="19:20">
      <c r="S1621" s="117">
        <v>21155</v>
      </c>
      <c r="T1621" s="117">
        <v>21155</v>
      </c>
    </row>
    <row r="1622" spans="19:20">
      <c r="S1622" s="117">
        <v>21186</v>
      </c>
      <c r="T1622" s="48">
        <f>1+T1610</f>
        <v>1958</v>
      </c>
    </row>
    <row r="1623" spans="19:20">
      <c r="S1623" s="117">
        <v>21217</v>
      </c>
      <c r="T1623" s="117">
        <v>21217</v>
      </c>
    </row>
    <row r="1624" spans="19:20">
      <c r="S1624" s="117">
        <v>21245</v>
      </c>
      <c r="T1624" s="117">
        <v>21245</v>
      </c>
    </row>
    <row r="1625" spans="19:20">
      <c r="S1625" s="117">
        <v>21276</v>
      </c>
      <c r="T1625" s="117">
        <v>21276</v>
      </c>
    </row>
    <row r="1626" spans="19:20">
      <c r="S1626" s="117">
        <v>21306</v>
      </c>
      <c r="T1626" s="117">
        <v>21306</v>
      </c>
    </row>
    <row r="1627" spans="19:20">
      <c r="S1627" s="117">
        <v>21337</v>
      </c>
      <c r="T1627" s="117">
        <v>21337</v>
      </c>
    </row>
    <row r="1628" spans="19:20">
      <c r="S1628" s="117">
        <v>21367</v>
      </c>
      <c r="T1628" s="117">
        <v>21367</v>
      </c>
    </row>
    <row r="1629" spans="19:20">
      <c r="S1629" s="117">
        <v>21398</v>
      </c>
      <c r="T1629" s="117">
        <v>21398</v>
      </c>
    </row>
    <row r="1630" spans="19:20">
      <c r="S1630" s="117">
        <v>21429</v>
      </c>
      <c r="T1630" s="117">
        <v>21429</v>
      </c>
    </row>
    <row r="1631" spans="19:20">
      <c r="S1631" s="117">
        <v>21459</v>
      </c>
      <c r="T1631" s="117">
        <v>21459</v>
      </c>
    </row>
    <row r="1632" spans="19:20">
      <c r="S1632" s="117">
        <v>21490</v>
      </c>
      <c r="T1632" s="117">
        <v>21490</v>
      </c>
    </row>
    <row r="1633" spans="19:20">
      <c r="S1633" s="117">
        <v>21520</v>
      </c>
      <c r="T1633" s="117">
        <v>21520</v>
      </c>
    </row>
    <row r="1634" spans="19:20">
      <c r="S1634" s="117">
        <v>21551</v>
      </c>
      <c r="T1634" s="48">
        <f>1+T1622</f>
        <v>1959</v>
      </c>
    </row>
    <row r="1635" spans="19:20">
      <c r="S1635" s="117">
        <v>21582</v>
      </c>
      <c r="T1635" s="117">
        <v>21582</v>
      </c>
    </row>
    <row r="1636" spans="19:20">
      <c r="S1636" s="117">
        <v>21610</v>
      </c>
      <c r="T1636" s="117">
        <v>21610</v>
      </c>
    </row>
    <row r="1637" spans="19:20">
      <c r="S1637" s="117">
        <v>21641</v>
      </c>
      <c r="T1637" s="117">
        <v>21641</v>
      </c>
    </row>
    <row r="1638" spans="19:20">
      <c r="S1638" s="117">
        <v>21671</v>
      </c>
      <c r="T1638" s="117">
        <v>21671</v>
      </c>
    </row>
    <row r="1639" spans="19:20">
      <c r="S1639" s="117">
        <v>21702</v>
      </c>
      <c r="T1639" s="117">
        <v>21702</v>
      </c>
    </row>
    <row r="1640" spans="19:20">
      <c r="S1640" s="117">
        <v>21732</v>
      </c>
      <c r="T1640" s="117">
        <v>21732</v>
      </c>
    </row>
    <row r="1641" spans="19:20">
      <c r="S1641" s="117">
        <v>21763</v>
      </c>
      <c r="T1641" s="117">
        <v>21763</v>
      </c>
    </row>
    <row r="1642" spans="19:20">
      <c r="S1642" s="117">
        <v>21794</v>
      </c>
      <c r="T1642" s="117">
        <v>21794</v>
      </c>
    </row>
    <row r="1643" spans="19:20">
      <c r="S1643" s="117">
        <v>21824</v>
      </c>
      <c r="T1643" s="117">
        <v>21824</v>
      </c>
    </row>
    <row r="1644" spans="19:20">
      <c r="S1644" s="117">
        <v>21855</v>
      </c>
      <c r="T1644" s="117">
        <v>21855</v>
      </c>
    </row>
    <row r="1645" spans="19:20">
      <c r="S1645" s="117">
        <v>21885</v>
      </c>
      <c r="T1645" s="117">
        <v>21885</v>
      </c>
    </row>
    <row r="1646" spans="19:20">
      <c r="S1646" s="117">
        <v>21916</v>
      </c>
      <c r="T1646" s="48">
        <f>1+T1634</f>
        <v>1960</v>
      </c>
    </row>
    <row r="1647" spans="19:20">
      <c r="S1647" s="117">
        <v>21947</v>
      </c>
      <c r="T1647" s="117">
        <v>21947</v>
      </c>
    </row>
    <row r="1648" spans="19:20">
      <c r="S1648" s="117">
        <v>21976</v>
      </c>
      <c r="T1648" s="117">
        <v>21976</v>
      </c>
    </row>
    <row r="1649" spans="19:20">
      <c r="S1649" s="117">
        <v>22007</v>
      </c>
      <c r="T1649" s="117">
        <v>22007</v>
      </c>
    </row>
    <row r="1650" spans="19:20">
      <c r="S1650" s="117">
        <v>22037</v>
      </c>
      <c r="T1650" s="117">
        <v>22037</v>
      </c>
    </row>
    <row r="1651" spans="19:20">
      <c r="S1651" s="117">
        <v>22068</v>
      </c>
      <c r="T1651" s="117">
        <v>22068</v>
      </c>
    </row>
    <row r="1652" spans="19:20">
      <c r="S1652" s="117">
        <v>22098</v>
      </c>
      <c r="T1652" s="117">
        <v>22098</v>
      </c>
    </row>
    <row r="1653" spans="19:20">
      <c r="S1653" s="117">
        <v>22129</v>
      </c>
      <c r="T1653" s="117">
        <v>22129</v>
      </c>
    </row>
    <row r="1654" spans="19:20">
      <c r="S1654" s="117">
        <v>22160</v>
      </c>
      <c r="T1654" s="117">
        <v>22160</v>
      </c>
    </row>
    <row r="1655" spans="19:20">
      <c r="S1655" s="117">
        <v>22190</v>
      </c>
      <c r="T1655" s="117">
        <v>22190</v>
      </c>
    </row>
    <row r="1656" spans="19:20">
      <c r="S1656" s="117">
        <v>22221</v>
      </c>
      <c r="T1656" s="117">
        <v>22221</v>
      </c>
    </row>
    <row r="1657" spans="19:20">
      <c r="S1657" s="117">
        <v>22251</v>
      </c>
      <c r="T1657" s="117">
        <v>22251</v>
      </c>
    </row>
    <row r="1658" spans="19:20">
      <c r="S1658" s="117">
        <v>22282</v>
      </c>
      <c r="T1658" s="48">
        <f>1+T1646</f>
        <v>1961</v>
      </c>
    </row>
    <row r="1659" spans="19:20">
      <c r="S1659" s="117">
        <v>22313</v>
      </c>
      <c r="T1659" s="117">
        <v>22313</v>
      </c>
    </row>
    <row r="1660" spans="19:20">
      <c r="S1660" s="117">
        <v>22341</v>
      </c>
      <c r="T1660" s="117">
        <v>22341</v>
      </c>
    </row>
    <row r="1661" spans="19:20">
      <c r="S1661" s="117">
        <v>22372</v>
      </c>
      <c r="T1661" s="117">
        <v>22372</v>
      </c>
    </row>
    <row r="1662" spans="19:20">
      <c r="S1662" s="117">
        <v>22402</v>
      </c>
      <c r="T1662" s="117">
        <v>22402</v>
      </c>
    </row>
    <row r="1663" spans="19:20">
      <c r="S1663" s="117">
        <v>22433</v>
      </c>
      <c r="T1663" s="117">
        <v>22433</v>
      </c>
    </row>
    <row r="1664" spans="19:20">
      <c r="S1664" s="117">
        <v>22463</v>
      </c>
      <c r="T1664" s="117">
        <v>22463</v>
      </c>
    </row>
    <row r="1665" spans="19:20">
      <c r="S1665" s="117">
        <v>22494</v>
      </c>
      <c r="T1665" s="117">
        <v>22494</v>
      </c>
    </row>
    <row r="1666" spans="19:20">
      <c r="S1666" s="117">
        <v>22525</v>
      </c>
      <c r="T1666" s="117">
        <v>22525</v>
      </c>
    </row>
    <row r="1667" spans="19:20">
      <c r="S1667" s="117">
        <v>22555</v>
      </c>
      <c r="T1667" s="117">
        <v>22555</v>
      </c>
    </row>
    <row r="1668" spans="19:20">
      <c r="S1668" s="117">
        <v>22586</v>
      </c>
      <c r="T1668" s="117">
        <v>22586</v>
      </c>
    </row>
    <row r="1669" spans="19:20">
      <c r="S1669" s="117">
        <v>22616</v>
      </c>
      <c r="T1669" s="117">
        <v>22616</v>
      </c>
    </row>
    <row r="1670" spans="19:20">
      <c r="S1670" s="117">
        <v>22647</v>
      </c>
      <c r="T1670" s="48">
        <f>1+T1658</f>
        <v>1962</v>
      </c>
    </row>
    <row r="1671" spans="19:20">
      <c r="S1671" s="117">
        <v>22678</v>
      </c>
      <c r="T1671" s="117">
        <v>22678</v>
      </c>
    </row>
    <row r="1672" spans="19:20">
      <c r="S1672" s="117">
        <v>22706</v>
      </c>
      <c r="T1672" s="117">
        <v>22706</v>
      </c>
    </row>
    <row r="1673" spans="19:20">
      <c r="S1673" s="117">
        <v>22737</v>
      </c>
      <c r="T1673" s="117">
        <v>22737</v>
      </c>
    </row>
    <row r="1674" spans="19:20">
      <c r="S1674" s="117">
        <v>22767</v>
      </c>
      <c r="T1674" s="117">
        <v>22767</v>
      </c>
    </row>
    <row r="1675" spans="19:20">
      <c r="S1675" s="117">
        <v>22798</v>
      </c>
      <c r="T1675" s="117">
        <v>22798</v>
      </c>
    </row>
    <row r="1676" spans="19:20">
      <c r="S1676" s="117">
        <v>22828</v>
      </c>
      <c r="T1676" s="117">
        <v>22828</v>
      </c>
    </row>
    <row r="1677" spans="19:20">
      <c r="S1677" s="117">
        <v>22859</v>
      </c>
      <c r="T1677" s="117">
        <v>22859</v>
      </c>
    </row>
    <row r="1678" spans="19:20">
      <c r="S1678" s="117">
        <v>22890</v>
      </c>
      <c r="T1678" s="117">
        <v>22890</v>
      </c>
    </row>
    <row r="1679" spans="19:20">
      <c r="S1679" s="117">
        <v>22920</v>
      </c>
      <c r="T1679" s="117">
        <v>22920</v>
      </c>
    </row>
    <row r="1680" spans="19:20">
      <c r="S1680" s="117">
        <v>22951</v>
      </c>
      <c r="T1680" s="117">
        <v>22951</v>
      </c>
    </row>
    <row r="1681" spans="19:20">
      <c r="S1681" s="117">
        <v>22981</v>
      </c>
      <c r="T1681" s="117">
        <v>22981</v>
      </c>
    </row>
    <row r="1682" spans="19:20">
      <c r="S1682" s="117">
        <v>23012</v>
      </c>
      <c r="T1682" s="48">
        <f>1+T1670</f>
        <v>1963</v>
      </c>
    </row>
    <row r="1683" spans="19:20">
      <c r="S1683" s="117">
        <v>23043</v>
      </c>
      <c r="T1683" s="117">
        <v>23043</v>
      </c>
    </row>
    <row r="1684" spans="19:20">
      <c r="S1684" s="117">
        <v>23071</v>
      </c>
      <c r="T1684" s="117">
        <v>23071</v>
      </c>
    </row>
    <row r="1685" spans="19:20">
      <c r="S1685" s="117">
        <v>23102</v>
      </c>
      <c r="T1685" s="117">
        <v>23102</v>
      </c>
    </row>
    <row r="1686" spans="19:20">
      <c r="S1686" s="117">
        <v>23132</v>
      </c>
      <c r="T1686" s="117">
        <v>23132</v>
      </c>
    </row>
    <row r="1687" spans="19:20">
      <c r="S1687" s="117">
        <v>23163</v>
      </c>
      <c r="T1687" s="117">
        <v>23163</v>
      </c>
    </row>
    <row r="1688" spans="19:20">
      <c r="S1688" s="117">
        <v>23193</v>
      </c>
      <c r="T1688" s="117">
        <v>23193</v>
      </c>
    </row>
    <row r="1689" spans="19:20">
      <c r="S1689" s="117">
        <v>23224</v>
      </c>
      <c r="T1689" s="117">
        <v>23224</v>
      </c>
    </row>
    <row r="1690" spans="19:20">
      <c r="S1690" s="117">
        <v>23255</v>
      </c>
      <c r="T1690" s="117">
        <v>23255</v>
      </c>
    </row>
    <row r="1691" spans="19:20">
      <c r="S1691" s="117">
        <v>23285</v>
      </c>
      <c r="T1691" s="117">
        <v>23285</v>
      </c>
    </row>
    <row r="1692" spans="19:20">
      <c r="S1692" s="117">
        <v>23316</v>
      </c>
      <c r="T1692" s="117">
        <v>23316</v>
      </c>
    </row>
    <row r="1693" spans="19:20">
      <c r="S1693" s="117">
        <v>23346</v>
      </c>
      <c r="T1693" s="117">
        <v>23346</v>
      </c>
    </row>
    <row r="1694" spans="19:20">
      <c r="S1694" s="117">
        <v>23377</v>
      </c>
      <c r="T1694" s="48">
        <f>1+T1682</f>
        <v>1964</v>
      </c>
    </row>
    <row r="1695" spans="19:20">
      <c r="S1695" s="117">
        <v>23408</v>
      </c>
      <c r="T1695" s="117">
        <v>23408</v>
      </c>
    </row>
    <row r="1696" spans="19:20">
      <c r="S1696" s="117">
        <v>23437</v>
      </c>
      <c r="T1696" s="117">
        <v>23437</v>
      </c>
    </row>
    <row r="1697" spans="19:20">
      <c r="S1697" s="117">
        <v>23468</v>
      </c>
      <c r="T1697" s="117">
        <v>23468</v>
      </c>
    </row>
    <row r="1698" spans="19:20">
      <c r="S1698" s="117">
        <v>23498</v>
      </c>
      <c r="T1698" s="117">
        <v>23498</v>
      </c>
    </row>
    <row r="1699" spans="19:20">
      <c r="S1699" s="117">
        <v>23529</v>
      </c>
      <c r="T1699" s="117">
        <v>23529</v>
      </c>
    </row>
    <row r="1700" spans="19:20">
      <c r="S1700" s="117">
        <v>23559</v>
      </c>
      <c r="T1700" s="117">
        <v>23559</v>
      </c>
    </row>
    <row r="1701" spans="19:20">
      <c r="S1701" s="117">
        <v>23590</v>
      </c>
      <c r="T1701" s="117">
        <v>23590</v>
      </c>
    </row>
    <row r="1702" spans="19:20">
      <c r="S1702" s="117">
        <v>23621</v>
      </c>
      <c r="T1702" s="117">
        <v>23621</v>
      </c>
    </row>
    <row r="1703" spans="19:20">
      <c r="S1703" s="117">
        <v>23651</v>
      </c>
      <c r="T1703" s="117">
        <v>23651</v>
      </c>
    </row>
    <row r="1704" spans="19:20">
      <c r="S1704" s="117">
        <v>23682</v>
      </c>
      <c r="T1704" s="117">
        <v>23682</v>
      </c>
    </row>
    <row r="1705" spans="19:20">
      <c r="S1705" s="117">
        <v>23712</v>
      </c>
      <c r="T1705" s="117">
        <v>23712</v>
      </c>
    </row>
    <row r="1706" spans="19:20">
      <c r="S1706" s="117">
        <v>23743</v>
      </c>
      <c r="T1706" s="48">
        <f>1+T1694</f>
        <v>1965</v>
      </c>
    </row>
    <row r="1707" spans="19:20">
      <c r="S1707" s="117">
        <v>23774</v>
      </c>
      <c r="T1707" s="117">
        <v>23774</v>
      </c>
    </row>
    <row r="1708" spans="19:20">
      <c r="S1708" s="117">
        <v>23802</v>
      </c>
      <c r="T1708" s="117">
        <v>23802</v>
      </c>
    </row>
    <row r="1709" spans="19:20">
      <c r="S1709" s="117">
        <v>23833</v>
      </c>
      <c r="T1709" s="117">
        <v>23833</v>
      </c>
    </row>
    <row r="1710" spans="19:20">
      <c r="S1710" s="117">
        <v>23863</v>
      </c>
      <c r="T1710" s="117">
        <v>23863</v>
      </c>
    </row>
    <row r="1711" spans="19:20">
      <c r="S1711" s="117">
        <v>23894</v>
      </c>
      <c r="T1711" s="117">
        <v>23894</v>
      </c>
    </row>
    <row r="1712" spans="19:20">
      <c r="S1712" s="117">
        <v>23924</v>
      </c>
      <c r="T1712" s="117">
        <v>23924</v>
      </c>
    </row>
    <row r="1713" spans="19:20">
      <c r="S1713" s="117">
        <v>23955</v>
      </c>
      <c r="T1713" s="117">
        <v>23955</v>
      </c>
    </row>
    <row r="1714" spans="19:20">
      <c r="S1714" s="117">
        <v>23986</v>
      </c>
      <c r="T1714" s="117">
        <v>23986</v>
      </c>
    </row>
    <row r="1715" spans="19:20">
      <c r="S1715" s="117">
        <v>24016</v>
      </c>
      <c r="T1715" s="117">
        <v>24016</v>
      </c>
    </row>
    <row r="1716" spans="19:20">
      <c r="S1716" s="117">
        <v>24047</v>
      </c>
      <c r="T1716" s="117">
        <v>24047</v>
      </c>
    </row>
    <row r="1717" spans="19:20">
      <c r="S1717" s="117">
        <v>24077</v>
      </c>
      <c r="T1717" s="117">
        <v>24077</v>
      </c>
    </row>
    <row r="1718" spans="19:20">
      <c r="S1718" s="117">
        <v>24108</v>
      </c>
      <c r="T1718" s="48">
        <f>1+T1706</f>
        <v>1966</v>
      </c>
    </row>
    <row r="1719" spans="19:20">
      <c r="S1719" s="117">
        <v>24139</v>
      </c>
      <c r="T1719" s="117">
        <v>24139</v>
      </c>
    </row>
    <row r="1720" spans="19:20">
      <c r="S1720" s="117">
        <v>24167</v>
      </c>
      <c r="T1720" s="117">
        <v>24167</v>
      </c>
    </row>
    <row r="1721" spans="19:20">
      <c r="S1721" s="117">
        <v>24198</v>
      </c>
      <c r="T1721" s="117">
        <v>24198</v>
      </c>
    </row>
    <row r="1722" spans="19:20">
      <c r="S1722" s="117">
        <v>24228</v>
      </c>
      <c r="T1722" s="117">
        <v>24228</v>
      </c>
    </row>
    <row r="1723" spans="19:20">
      <c r="S1723" s="117">
        <v>24259</v>
      </c>
      <c r="T1723" s="117">
        <v>24259</v>
      </c>
    </row>
    <row r="1724" spans="19:20">
      <c r="S1724" s="117">
        <v>24289</v>
      </c>
      <c r="T1724" s="117">
        <v>24289</v>
      </c>
    </row>
    <row r="1725" spans="19:20">
      <c r="S1725" s="117">
        <v>24320</v>
      </c>
      <c r="T1725" s="117">
        <v>24320</v>
      </c>
    </row>
    <row r="1726" spans="19:20">
      <c r="S1726" s="117">
        <v>24351</v>
      </c>
      <c r="T1726" s="117">
        <v>24351</v>
      </c>
    </row>
    <row r="1727" spans="19:20">
      <c r="S1727" s="117">
        <v>24381</v>
      </c>
      <c r="T1727" s="117">
        <v>24381</v>
      </c>
    </row>
    <row r="1728" spans="19:20">
      <c r="S1728" s="117">
        <v>24412</v>
      </c>
      <c r="T1728" s="117">
        <v>24412</v>
      </c>
    </row>
    <row r="1729" spans="19:20">
      <c r="S1729" s="117">
        <v>24442</v>
      </c>
      <c r="T1729" s="117">
        <v>24442</v>
      </c>
    </row>
    <row r="1730" spans="19:20">
      <c r="S1730" s="117">
        <v>24473</v>
      </c>
      <c r="T1730" s="48">
        <f>1+T1718</f>
        <v>1967</v>
      </c>
    </row>
    <row r="1731" spans="19:20">
      <c r="S1731" s="117">
        <v>24504</v>
      </c>
      <c r="T1731" s="117">
        <v>24504</v>
      </c>
    </row>
    <row r="1732" spans="19:20">
      <c r="S1732" s="117">
        <v>24532</v>
      </c>
      <c r="T1732" s="117">
        <v>24532</v>
      </c>
    </row>
    <row r="1733" spans="19:20">
      <c r="S1733" s="117">
        <v>24563</v>
      </c>
      <c r="T1733" s="117">
        <v>24563</v>
      </c>
    </row>
    <row r="1734" spans="19:20">
      <c r="S1734" s="117">
        <v>24593</v>
      </c>
      <c r="T1734" s="117">
        <v>24593</v>
      </c>
    </row>
    <row r="1735" spans="19:20">
      <c r="S1735" s="117">
        <v>24624</v>
      </c>
      <c r="T1735" s="117">
        <v>24624</v>
      </c>
    </row>
    <row r="1736" spans="19:20">
      <c r="S1736" s="117">
        <v>24654</v>
      </c>
      <c r="T1736" s="117">
        <v>24654</v>
      </c>
    </row>
    <row r="1737" spans="19:20">
      <c r="S1737" s="117">
        <v>24685</v>
      </c>
      <c r="T1737" s="117">
        <v>24685</v>
      </c>
    </row>
    <row r="1738" spans="19:20">
      <c r="S1738" s="117">
        <v>24716</v>
      </c>
      <c r="T1738" s="117">
        <v>24716</v>
      </c>
    </row>
    <row r="1739" spans="19:20">
      <c r="S1739" s="117">
        <v>24746</v>
      </c>
      <c r="T1739" s="117">
        <v>24746</v>
      </c>
    </row>
    <row r="1740" spans="19:20">
      <c r="S1740" s="117">
        <v>24777</v>
      </c>
      <c r="T1740" s="117">
        <v>24777</v>
      </c>
    </row>
    <row r="1741" spans="19:20">
      <c r="S1741" s="117">
        <v>24807</v>
      </c>
      <c r="T1741" s="117">
        <v>24807</v>
      </c>
    </row>
    <row r="1742" spans="19:20">
      <c r="S1742" s="117">
        <v>24838</v>
      </c>
      <c r="T1742" s="48">
        <f>1+T1730</f>
        <v>1968</v>
      </c>
    </row>
    <row r="1743" spans="19:20">
      <c r="S1743" s="117">
        <v>24869</v>
      </c>
      <c r="T1743" s="117">
        <v>24869</v>
      </c>
    </row>
    <row r="1744" spans="19:20">
      <c r="S1744" s="117">
        <v>24898</v>
      </c>
      <c r="T1744" s="117">
        <v>24898</v>
      </c>
    </row>
    <row r="1745" spans="19:20">
      <c r="S1745" s="117">
        <v>24929</v>
      </c>
      <c r="T1745" s="117">
        <v>24929</v>
      </c>
    </row>
    <row r="1746" spans="19:20">
      <c r="S1746" s="117">
        <v>24959</v>
      </c>
      <c r="T1746" s="117">
        <v>24959</v>
      </c>
    </row>
    <row r="1747" spans="19:20">
      <c r="S1747" s="117">
        <v>24990</v>
      </c>
      <c r="T1747" s="117">
        <v>24990</v>
      </c>
    </row>
    <row r="1748" spans="19:20">
      <c r="S1748" s="117">
        <v>25020</v>
      </c>
      <c r="T1748" s="117">
        <v>25020</v>
      </c>
    </row>
    <row r="1749" spans="19:20">
      <c r="S1749" s="117">
        <v>25051</v>
      </c>
      <c r="T1749" s="117">
        <v>25051</v>
      </c>
    </row>
    <row r="1750" spans="19:20">
      <c r="S1750" s="117">
        <v>25082</v>
      </c>
      <c r="T1750" s="117">
        <v>25082</v>
      </c>
    </row>
    <row r="1751" spans="19:20">
      <c r="S1751" s="117">
        <v>25112</v>
      </c>
      <c r="T1751" s="117">
        <v>25112</v>
      </c>
    </row>
    <row r="1752" spans="19:20">
      <c r="S1752" s="117">
        <v>25143</v>
      </c>
      <c r="T1752" s="117">
        <v>25143</v>
      </c>
    </row>
    <row r="1753" spans="19:20">
      <c r="S1753" s="117">
        <v>25173</v>
      </c>
      <c r="T1753" s="117">
        <v>25173</v>
      </c>
    </row>
    <row r="1754" spans="19:20">
      <c r="S1754" s="117">
        <v>25204</v>
      </c>
      <c r="T1754" s="48">
        <f>1+T1742</f>
        <v>1969</v>
      </c>
    </row>
    <row r="1755" spans="19:20">
      <c r="S1755" s="117">
        <v>25235</v>
      </c>
      <c r="T1755" s="117">
        <v>25235</v>
      </c>
    </row>
    <row r="1756" spans="19:20">
      <c r="S1756" s="117">
        <v>25263</v>
      </c>
      <c r="T1756" s="117">
        <v>25263</v>
      </c>
    </row>
    <row r="1757" spans="19:20">
      <c r="S1757" s="117">
        <v>25294</v>
      </c>
      <c r="T1757" s="117">
        <v>25294</v>
      </c>
    </row>
    <row r="1758" spans="19:20">
      <c r="S1758" s="117">
        <v>25324</v>
      </c>
      <c r="T1758" s="117">
        <v>25324</v>
      </c>
    </row>
    <row r="1759" spans="19:20">
      <c r="S1759" s="117">
        <v>25355</v>
      </c>
      <c r="T1759" s="117">
        <v>25355</v>
      </c>
    </row>
    <row r="1760" spans="19:20">
      <c r="S1760" s="117">
        <v>25385</v>
      </c>
      <c r="T1760" s="117">
        <v>25385</v>
      </c>
    </row>
    <row r="1761" spans="19:20">
      <c r="S1761" s="117">
        <v>25416</v>
      </c>
      <c r="T1761" s="117">
        <v>25416</v>
      </c>
    </row>
    <row r="1762" spans="19:20">
      <c r="S1762" s="117">
        <v>25447</v>
      </c>
      <c r="T1762" s="117">
        <v>25447</v>
      </c>
    </row>
    <row r="1763" spans="19:20">
      <c r="S1763" s="117">
        <v>25477</v>
      </c>
      <c r="T1763" s="117">
        <v>25477</v>
      </c>
    </row>
    <row r="1764" spans="19:20">
      <c r="S1764" s="117">
        <v>25508</v>
      </c>
      <c r="T1764" s="117">
        <v>25508</v>
      </c>
    </row>
    <row r="1765" spans="19:20">
      <c r="S1765" s="117">
        <v>25538</v>
      </c>
      <c r="T1765" s="117">
        <v>25538</v>
      </c>
    </row>
    <row r="1766" spans="19:20">
      <c r="S1766" s="117">
        <v>25569</v>
      </c>
      <c r="T1766" s="48">
        <f>1+T1754</f>
        <v>1970</v>
      </c>
    </row>
    <row r="1767" spans="19:20">
      <c r="S1767" s="117">
        <v>25600</v>
      </c>
      <c r="T1767" s="117">
        <v>25600</v>
      </c>
    </row>
    <row r="1768" spans="19:20">
      <c r="S1768" s="117">
        <v>25628</v>
      </c>
      <c r="T1768" s="117">
        <v>25628</v>
      </c>
    </row>
    <row r="1769" spans="19:20">
      <c r="S1769" s="117">
        <v>25659</v>
      </c>
      <c r="T1769" s="117">
        <v>25659</v>
      </c>
    </row>
    <row r="1770" spans="19:20">
      <c r="S1770" s="117">
        <v>25689</v>
      </c>
      <c r="T1770" s="117">
        <v>25689</v>
      </c>
    </row>
    <row r="1771" spans="19:20">
      <c r="S1771" s="117">
        <v>25720</v>
      </c>
      <c r="T1771" s="117">
        <v>25720</v>
      </c>
    </row>
    <row r="1772" spans="19:20">
      <c r="S1772" s="117">
        <v>25750</v>
      </c>
      <c r="T1772" s="117">
        <v>25750</v>
      </c>
    </row>
    <row r="1773" spans="19:20">
      <c r="S1773" s="117">
        <v>25781</v>
      </c>
      <c r="T1773" s="117">
        <v>25781</v>
      </c>
    </row>
    <row r="1774" spans="19:20">
      <c r="S1774" s="117">
        <v>25812</v>
      </c>
      <c r="T1774" s="117">
        <v>25812</v>
      </c>
    </row>
    <row r="1775" spans="19:20">
      <c r="S1775" s="117">
        <v>25842</v>
      </c>
      <c r="T1775" s="117">
        <v>25842</v>
      </c>
    </row>
    <row r="1776" spans="19:20">
      <c r="S1776" s="117">
        <v>25873</v>
      </c>
      <c r="T1776" s="117">
        <v>25873</v>
      </c>
    </row>
    <row r="1777" spans="19:20">
      <c r="S1777" s="117">
        <v>25903</v>
      </c>
      <c r="T1777" s="117">
        <v>25903</v>
      </c>
    </row>
    <row r="1778" spans="19:20">
      <c r="S1778" s="117">
        <v>25934</v>
      </c>
      <c r="T1778" s="48">
        <f>1+T1766</f>
        <v>1971</v>
      </c>
    </row>
    <row r="1779" spans="19:20">
      <c r="S1779" s="117">
        <v>25965</v>
      </c>
      <c r="T1779" s="117">
        <v>25965</v>
      </c>
    </row>
    <row r="1780" spans="19:20">
      <c r="S1780" s="117">
        <v>25993</v>
      </c>
      <c r="T1780" s="117">
        <v>25993</v>
      </c>
    </row>
    <row r="1781" spans="19:20">
      <c r="S1781" s="117">
        <v>26024</v>
      </c>
      <c r="T1781" s="117">
        <v>26024</v>
      </c>
    </row>
    <row r="1782" spans="19:20">
      <c r="S1782" s="117">
        <v>26054</v>
      </c>
      <c r="T1782" s="117">
        <v>26054</v>
      </c>
    </row>
    <row r="1783" spans="19:20">
      <c r="S1783" s="117">
        <v>26085</v>
      </c>
      <c r="T1783" s="117">
        <v>26085</v>
      </c>
    </row>
    <row r="1784" spans="19:20">
      <c r="S1784" s="117">
        <v>26115</v>
      </c>
      <c r="T1784" s="117">
        <v>26115</v>
      </c>
    </row>
    <row r="1785" spans="19:20">
      <c r="S1785" s="117">
        <v>26146</v>
      </c>
      <c r="T1785" s="117">
        <v>26146</v>
      </c>
    </row>
    <row r="1786" spans="19:20">
      <c r="S1786" s="117">
        <v>26177</v>
      </c>
      <c r="T1786" s="117">
        <v>26177</v>
      </c>
    </row>
    <row r="1787" spans="19:20">
      <c r="S1787" s="117">
        <v>26207</v>
      </c>
      <c r="T1787" s="117">
        <v>26207</v>
      </c>
    </row>
    <row r="1788" spans="19:20">
      <c r="S1788" s="117">
        <v>26238</v>
      </c>
      <c r="T1788" s="117">
        <v>26238</v>
      </c>
    </row>
    <row r="1789" spans="19:20">
      <c r="S1789" s="117">
        <v>26268</v>
      </c>
      <c r="T1789" s="117">
        <v>26268</v>
      </c>
    </row>
    <row r="1790" spans="19:20">
      <c r="S1790" s="117">
        <v>26299</v>
      </c>
      <c r="T1790" s="48">
        <f>1+T1778</f>
        <v>1972</v>
      </c>
    </row>
    <row r="1791" spans="19:20">
      <c r="S1791" s="117">
        <v>26330</v>
      </c>
      <c r="T1791" s="117">
        <v>26330</v>
      </c>
    </row>
    <row r="1792" spans="19:20">
      <c r="S1792" s="117">
        <v>26359</v>
      </c>
      <c r="T1792" s="117">
        <v>26359</v>
      </c>
    </row>
    <row r="1793" spans="19:20">
      <c r="S1793" s="117">
        <v>26390</v>
      </c>
      <c r="T1793" s="117">
        <v>26390</v>
      </c>
    </row>
    <row r="1794" spans="19:20">
      <c r="S1794" s="117">
        <v>26420</v>
      </c>
      <c r="T1794" s="117">
        <v>26420</v>
      </c>
    </row>
    <row r="1795" spans="19:20">
      <c r="S1795" s="117">
        <v>26451</v>
      </c>
      <c r="T1795" s="117">
        <v>26451</v>
      </c>
    </row>
    <row r="1796" spans="19:20">
      <c r="S1796" s="117">
        <v>26481</v>
      </c>
      <c r="T1796" s="117">
        <v>26481</v>
      </c>
    </row>
    <row r="1797" spans="19:20">
      <c r="S1797" s="117">
        <v>26512</v>
      </c>
      <c r="T1797" s="117">
        <v>26512</v>
      </c>
    </row>
    <row r="1798" spans="19:20">
      <c r="S1798" s="117">
        <v>26543</v>
      </c>
      <c r="T1798" s="117">
        <v>26543</v>
      </c>
    </row>
    <row r="1799" spans="19:20">
      <c r="S1799" s="117">
        <v>26573</v>
      </c>
      <c r="T1799" s="117">
        <v>26573</v>
      </c>
    </row>
    <row r="1800" spans="19:20">
      <c r="S1800" s="117">
        <v>26604</v>
      </c>
      <c r="T1800" s="117">
        <v>26604</v>
      </c>
    </row>
    <row r="1801" spans="19:20">
      <c r="S1801" s="117">
        <v>26634</v>
      </c>
      <c r="T1801" s="117">
        <v>26634</v>
      </c>
    </row>
    <row r="1802" spans="19:20">
      <c r="S1802" s="117">
        <v>26665</v>
      </c>
      <c r="T1802" s="48">
        <f>1+T1790</f>
        <v>1973</v>
      </c>
    </row>
    <row r="1803" spans="19:20">
      <c r="S1803" s="117">
        <v>26696</v>
      </c>
      <c r="T1803" s="117">
        <v>26696</v>
      </c>
    </row>
    <row r="1804" spans="19:20">
      <c r="S1804" s="117">
        <v>26724</v>
      </c>
      <c r="T1804" s="117">
        <v>26724</v>
      </c>
    </row>
    <row r="1805" spans="19:20">
      <c r="S1805" s="117">
        <v>26755</v>
      </c>
      <c r="T1805" s="117">
        <v>26755</v>
      </c>
    </row>
    <row r="1806" spans="19:20">
      <c r="S1806" s="117">
        <v>26785</v>
      </c>
      <c r="T1806" s="117">
        <v>26785</v>
      </c>
    </row>
    <row r="1807" spans="19:20">
      <c r="S1807" s="117">
        <v>26816</v>
      </c>
      <c r="T1807" s="117">
        <v>26816</v>
      </c>
    </row>
    <row r="1808" spans="19:20">
      <c r="S1808" s="117">
        <v>26846</v>
      </c>
      <c r="T1808" s="117">
        <v>26846</v>
      </c>
    </row>
    <row r="1809" spans="19:20">
      <c r="S1809" s="117">
        <v>26877</v>
      </c>
      <c r="T1809" s="117">
        <v>26877</v>
      </c>
    </row>
    <row r="1810" spans="19:20">
      <c r="S1810" s="117">
        <v>26908</v>
      </c>
      <c r="T1810" s="117">
        <v>26908</v>
      </c>
    </row>
    <row r="1811" spans="19:20">
      <c r="S1811" s="117">
        <v>26938</v>
      </c>
      <c r="T1811" s="117">
        <v>26938</v>
      </c>
    </row>
    <row r="1812" spans="19:20">
      <c r="S1812" s="117">
        <v>26969</v>
      </c>
      <c r="T1812" s="117">
        <v>26969</v>
      </c>
    </row>
    <row r="1813" spans="19:20">
      <c r="S1813" s="117">
        <v>26999</v>
      </c>
      <c r="T1813" s="117">
        <v>26999</v>
      </c>
    </row>
    <row r="1814" spans="19:20">
      <c r="S1814" s="117">
        <v>27030</v>
      </c>
      <c r="T1814" s="48">
        <f>1+T1802</f>
        <v>1974</v>
      </c>
    </row>
    <row r="1815" spans="19:20">
      <c r="S1815" s="117">
        <v>27061</v>
      </c>
      <c r="T1815" s="117">
        <v>27061</v>
      </c>
    </row>
    <row r="1816" spans="19:20">
      <c r="S1816" s="117">
        <v>27089</v>
      </c>
      <c r="T1816" s="117">
        <v>27089</v>
      </c>
    </row>
    <row r="1817" spans="19:20">
      <c r="S1817" s="117">
        <v>27120</v>
      </c>
      <c r="T1817" s="117">
        <v>27120</v>
      </c>
    </row>
    <row r="1818" spans="19:20">
      <c r="S1818" s="117">
        <v>27150</v>
      </c>
      <c r="T1818" s="117">
        <v>27150</v>
      </c>
    </row>
    <row r="1819" spans="19:20">
      <c r="S1819" s="117">
        <v>27181</v>
      </c>
      <c r="T1819" s="117">
        <v>27181</v>
      </c>
    </row>
    <row r="1820" spans="19:20">
      <c r="S1820" s="117">
        <v>27211</v>
      </c>
      <c r="T1820" s="117">
        <v>27211</v>
      </c>
    </row>
    <row r="1821" spans="19:20">
      <c r="S1821" s="117">
        <v>27242</v>
      </c>
      <c r="T1821" s="117">
        <v>27242</v>
      </c>
    </row>
    <row r="1822" spans="19:20">
      <c r="S1822" s="117">
        <v>27273</v>
      </c>
      <c r="T1822" s="117">
        <v>27273</v>
      </c>
    </row>
    <row r="1823" spans="19:20">
      <c r="S1823" s="117">
        <v>27303</v>
      </c>
      <c r="T1823" s="117">
        <v>27303</v>
      </c>
    </row>
    <row r="1824" spans="19:20">
      <c r="S1824" s="117">
        <v>27334</v>
      </c>
      <c r="T1824" s="117">
        <v>27334</v>
      </c>
    </row>
    <row r="1825" spans="19:20">
      <c r="S1825" s="117">
        <v>27364</v>
      </c>
      <c r="T1825" s="117">
        <v>27364</v>
      </c>
    </row>
    <row r="1826" spans="19:20">
      <c r="S1826" s="117">
        <v>27395</v>
      </c>
      <c r="T1826" s="48">
        <f>1+T1814</f>
        <v>1975</v>
      </c>
    </row>
    <row r="1827" spans="19:20">
      <c r="S1827" s="117">
        <v>27426</v>
      </c>
      <c r="T1827" s="117">
        <v>27426</v>
      </c>
    </row>
    <row r="1828" spans="19:20">
      <c r="S1828" s="117">
        <v>27454</v>
      </c>
      <c r="T1828" s="117">
        <v>27454</v>
      </c>
    </row>
    <row r="1829" spans="19:20">
      <c r="S1829" s="117">
        <v>27485</v>
      </c>
      <c r="T1829" s="117">
        <v>27485</v>
      </c>
    </row>
    <row r="1830" spans="19:20">
      <c r="S1830" s="117">
        <v>27515</v>
      </c>
      <c r="T1830" s="117">
        <v>27515</v>
      </c>
    </row>
    <row r="1831" spans="19:20">
      <c r="S1831" s="117">
        <v>27546</v>
      </c>
      <c r="T1831" s="117">
        <v>27546</v>
      </c>
    </row>
    <row r="1832" spans="19:20">
      <c r="S1832" s="117">
        <v>27576</v>
      </c>
      <c r="T1832" s="117">
        <v>27576</v>
      </c>
    </row>
    <row r="1833" spans="19:20">
      <c r="S1833" s="117">
        <v>27607</v>
      </c>
      <c r="T1833" s="117">
        <v>27607</v>
      </c>
    </row>
    <row r="1834" spans="19:20">
      <c r="S1834" s="117">
        <v>27638</v>
      </c>
      <c r="T1834" s="117">
        <v>27638</v>
      </c>
    </row>
    <row r="1835" spans="19:20">
      <c r="S1835" s="117">
        <v>27668</v>
      </c>
      <c r="T1835" s="117">
        <v>27668</v>
      </c>
    </row>
    <row r="1836" spans="19:20">
      <c r="S1836" s="117">
        <v>27699</v>
      </c>
      <c r="T1836" s="117">
        <v>27699</v>
      </c>
    </row>
    <row r="1837" spans="19:20">
      <c r="S1837" s="117">
        <v>27729</v>
      </c>
      <c r="T1837" s="117">
        <v>27729</v>
      </c>
    </row>
    <row r="1838" spans="19:20">
      <c r="S1838" s="117">
        <v>27760</v>
      </c>
      <c r="T1838" s="48">
        <f>1+T1826</f>
        <v>1976</v>
      </c>
    </row>
    <row r="1839" spans="19:20">
      <c r="S1839" s="117">
        <v>27791</v>
      </c>
      <c r="T1839" s="117">
        <v>27791</v>
      </c>
    </row>
    <row r="1840" spans="19:20">
      <c r="S1840" s="117">
        <v>27820</v>
      </c>
      <c r="T1840" s="117">
        <v>27820</v>
      </c>
    </row>
    <row r="1841" spans="19:20">
      <c r="S1841" s="117">
        <v>27851</v>
      </c>
      <c r="T1841" s="117">
        <v>27851</v>
      </c>
    </row>
    <row r="1842" spans="19:20">
      <c r="S1842" s="117">
        <v>27881</v>
      </c>
      <c r="T1842" s="117">
        <v>27881</v>
      </c>
    </row>
    <row r="1843" spans="19:20">
      <c r="S1843" s="117">
        <v>27912</v>
      </c>
      <c r="T1843" s="117">
        <v>27912</v>
      </c>
    </row>
    <row r="1844" spans="19:20">
      <c r="S1844" s="117">
        <v>27942</v>
      </c>
      <c r="T1844" s="117">
        <v>27942</v>
      </c>
    </row>
    <row r="1845" spans="19:20">
      <c r="S1845" s="117">
        <v>27973</v>
      </c>
      <c r="T1845" s="117">
        <v>27973</v>
      </c>
    </row>
    <row r="1846" spans="19:20">
      <c r="S1846" s="117">
        <v>28004</v>
      </c>
      <c r="T1846" s="117">
        <v>28004</v>
      </c>
    </row>
    <row r="1847" spans="19:20">
      <c r="S1847" s="117">
        <v>28034</v>
      </c>
      <c r="T1847" s="117">
        <v>28034</v>
      </c>
    </row>
    <row r="1848" spans="19:20">
      <c r="S1848" s="117">
        <v>28065</v>
      </c>
      <c r="T1848" s="117">
        <v>28065</v>
      </c>
    </row>
    <row r="1849" spans="19:20">
      <c r="S1849" s="117">
        <v>28095</v>
      </c>
      <c r="T1849" s="117">
        <v>28095</v>
      </c>
    </row>
    <row r="1850" spans="19:20">
      <c r="S1850" s="117">
        <v>28126</v>
      </c>
      <c r="T1850" s="48">
        <f>1+T1838</f>
        <v>1977</v>
      </c>
    </row>
    <row r="1851" spans="19:20">
      <c r="S1851" s="117">
        <v>28157</v>
      </c>
      <c r="T1851" s="117">
        <v>28157</v>
      </c>
    </row>
    <row r="1852" spans="19:20">
      <c r="S1852" s="117">
        <v>28185</v>
      </c>
      <c r="T1852" s="117">
        <v>28185</v>
      </c>
    </row>
    <row r="1853" spans="19:20">
      <c r="S1853" s="117">
        <v>28216</v>
      </c>
      <c r="T1853" s="117">
        <v>28216</v>
      </c>
    </row>
    <row r="1854" spans="19:20">
      <c r="S1854" s="117">
        <v>28246</v>
      </c>
      <c r="T1854" s="117">
        <v>28246</v>
      </c>
    </row>
    <row r="1855" spans="19:20">
      <c r="S1855" s="117">
        <v>28277</v>
      </c>
      <c r="T1855" s="117">
        <v>28277</v>
      </c>
    </row>
    <row r="1856" spans="19:20">
      <c r="S1856" s="117">
        <v>28307</v>
      </c>
      <c r="T1856" s="117">
        <v>28307</v>
      </c>
    </row>
    <row r="1857" spans="19:20">
      <c r="S1857" s="117">
        <v>28338</v>
      </c>
      <c r="T1857" s="117">
        <v>28338</v>
      </c>
    </row>
    <row r="1858" spans="19:20">
      <c r="S1858" s="117">
        <v>28369</v>
      </c>
      <c r="T1858" s="117">
        <v>28369</v>
      </c>
    </row>
    <row r="1859" spans="19:20">
      <c r="S1859" s="117">
        <v>28399</v>
      </c>
      <c r="T1859" s="117">
        <v>28399</v>
      </c>
    </row>
    <row r="1860" spans="19:20">
      <c r="S1860" s="117">
        <v>28430</v>
      </c>
      <c r="T1860" s="117">
        <v>28430</v>
      </c>
    </row>
    <row r="1861" spans="19:20">
      <c r="S1861" s="117">
        <v>28460</v>
      </c>
      <c r="T1861" s="117">
        <v>28460</v>
      </c>
    </row>
    <row r="1862" spans="19:20">
      <c r="S1862" s="117">
        <v>28491</v>
      </c>
      <c r="T1862" s="48">
        <f>1+T1850</f>
        <v>1978</v>
      </c>
    </row>
    <row r="1863" spans="19:20">
      <c r="S1863" s="117">
        <v>28522</v>
      </c>
      <c r="T1863" s="117">
        <v>28522</v>
      </c>
    </row>
    <row r="1864" spans="19:20">
      <c r="S1864" s="117">
        <v>28550</v>
      </c>
      <c r="T1864" s="117">
        <v>28550</v>
      </c>
    </row>
    <row r="1865" spans="19:20">
      <c r="S1865" s="117">
        <v>28581</v>
      </c>
      <c r="T1865" s="117">
        <v>28581</v>
      </c>
    </row>
    <row r="1866" spans="19:20">
      <c r="S1866" s="117">
        <v>28611</v>
      </c>
      <c r="T1866" s="117">
        <v>28611</v>
      </c>
    </row>
    <row r="1867" spans="19:20">
      <c r="S1867" s="117">
        <v>28642</v>
      </c>
      <c r="T1867" s="117">
        <v>28642</v>
      </c>
    </row>
    <row r="1868" spans="19:20">
      <c r="S1868" s="117">
        <v>28672</v>
      </c>
      <c r="T1868" s="117">
        <v>28672</v>
      </c>
    </row>
    <row r="1869" spans="19:20">
      <c r="S1869" s="117">
        <v>28703</v>
      </c>
      <c r="T1869" s="117">
        <v>28703</v>
      </c>
    </row>
    <row r="1870" spans="19:20">
      <c r="S1870" s="117">
        <v>28734</v>
      </c>
      <c r="T1870" s="117">
        <v>28734</v>
      </c>
    </row>
    <row r="1871" spans="19:20">
      <c r="S1871" s="117">
        <v>28764</v>
      </c>
      <c r="T1871" s="117">
        <v>28764</v>
      </c>
    </row>
    <row r="1872" spans="19:20">
      <c r="S1872" s="117">
        <v>28795</v>
      </c>
      <c r="T1872" s="117">
        <v>28795</v>
      </c>
    </row>
    <row r="1873" spans="19:20">
      <c r="S1873" s="117">
        <v>28825</v>
      </c>
      <c r="T1873" s="117">
        <v>28825</v>
      </c>
    </row>
    <row r="1874" spans="19:20">
      <c r="S1874" s="117">
        <v>28856</v>
      </c>
      <c r="T1874" s="48">
        <f>1+T1862</f>
        <v>1979</v>
      </c>
    </row>
    <row r="1875" spans="19:20">
      <c r="S1875" s="117">
        <v>28887</v>
      </c>
      <c r="T1875" s="117">
        <v>28887</v>
      </c>
    </row>
    <row r="1876" spans="19:20">
      <c r="S1876" s="117">
        <v>28915</v>
      </c>
      <c r="T1876" s="117">
        <v>28915</v>
      </c>
    </row>
    <row r="1877" spans="19:20">
      <c r="S1877" s="117">
        <v>28946</v>
      </c>
      <c r="T1877" s="117">
        <v>28946</v>
      </c>
    </row>
    <row r="1878" spans="19:20">
      <c r="S1878" s="117">
        <v>28976</v>
      </c>
      <c r="T1878" s="117">
        <v>28976</v>
      </c>
    </row>
    <row r="1879" spans="19:20">
      <c r="S1879" s="117">
        <v>29007</v>
      </c>
      <c r="T1879" s="117">
        <v>29007</v>
      </c>
    </row>
    <row r="1880" spans="19:20">
      <c r="S1880" s="117">
        <v>29037</v>
      </c>
      <c r="T1880" s="117">
        <v>29037</v>
      </c>
    </row>
    <row r="1881" spans="19:20">
      <c r="S1881" s="117">
        <v>29068</v>
      </c>
      <c r="T1881" s="117">
        <v>29068</v>
      </c>
    </row>
    <row r="1882" spans="19:20">
      <c r="S1882" s="117">
        <v>29099</v>
      </c>
      <c r="T1882" s="117">
        <v>29099</v>
      </c>
    </row>
    <row r="1883" spans="19:20">
      <c r="S1883" s="117">
        <v>29129</v>
      </c>
      <c r="T1883" s="117">
        <v>29129</v>
      </c>
    </row>
    <row r="1884" spans="19:20">
      <c r="S1884" s="117">
        <v>29160</v>
      </c>
      <c r="T1884" s="117">
        <v>29160</v>
      </c>
    </row>
    <row r="1885" spans="19:20">
      <c r="S1885" s="117">
        <v>29190</v>
      </c>
      <c r="T1885" s="117">
        <v>29190</v>
      </c>
    </row>
    <row r="1886" spans="19:20">
      <c r="S1886" s="117">
        <v>29221</v>
      </c>
      <c r="T1886" s="48">
        <f>1+T1874</f>
        <v>1980</v>
      </c>
    </row>
    <row r="1887" spans="19:20">
      <c r="S1887" s="117">
        <v>29252</v>
      </c>
      <c r="T1887" s="117">
        <v>29252</v>
      </c>
    </row>
    <row r="1888" spans="19:20">
      <c r="S1888" s="117">
        <v>29281</v>
      </c>
      <c r="T1888" s="117">
        <v>29281</v>
      </c>
    </row>
    <row r="1889" spans="19:20">
      <c r="S1889" s="117">
        <v>29312</v>
      </c>
      <c r="T1889" s="117">
        <v>29312</v>
      </c>
    </row>
    <row r="1890" spans="19:20">
      <c r="S1890" s="117">
        <v>29342</v>
      </c>
      <c r="T1890" s="117">
        <v>29342</v>
      </c>
    </row>
    <row r="1891" spans="19:20">
      <c r="S1891" s="117">
        <v>29373</v>
      </c>
      <c r="T1891" s="117">
        <v>29373</v>
      </c>
    </row>
    <row r="1892" spans="19:20">
      <c r="S1892" s="117">
        <v>29403</v>
      </c>
      <c r="T1892" s="117">
        <v>29403</v>
      </c>
    </row>
    <row r="1893" spans="19:20">
      <c r="S1893" s="117">
        <v>29434</v>
      </c>
      <c r="T1893" s="117">
        <v>29434</v>
      </c>
    </row>
    <row r="1894" spans="19:20">
      <c r="S1894" s="117">
        <v>29465</v>
      </c>
      <c r="T1894" s="117">
        <v>29465</v>
      </c>
    </row>
    <row r="1895" spans="19:20">
      <c r="S1895" s="117">
        <v>29495</v>
      </c>
      <c r="T1895" s="117">
        <v>29495</v>
      </c>
    </row>
    <row r="1896" spans="19:20">
      <c r="S1896" s="117">
        <v>29526</v>
      </c>
      <c r="T1896" s="117">
        <v>29526</v>
      </c>
    </row>
    <row r="1897" spans="19:20">
      <c r="S1897" s="117">
        <v>29556</v>
      </c>
      <c r="T1897" s="117">
        <v>29556</v>
      </c>
    </row>
    <row r="1898" spans="19:20">
      <c r="S1898" s="117">
        <v>29587</v>
      </c>
      <c r="T1898" s="48">
        <f>1+T1886</f>
        <v>1981</v>
      </c>
    </row>
    <row r="1899" spans="19:20">
      <c r="S1899" s="117">
        <v>29618</v>
      </c>
      <c r="T1899" s="117">
        <v>29618</v>
      </c>
    </row>
    <row r="1900" spans="19:20">
      <c r="S1900" s="117">
        <v>29646</v>
      </c>
      <c r="T1900" s="117">
        <v>29646</v>
      </c>
    </row>
    <row r="1901" spans="19:20">
      <c r="S1901" s="117">
        <v>29677</v>
      </c>
      <c r="T1901" s="117">
        <v>29677</v>
      </c>
    </row>
    <row r="1902" spans="19:20">
      <c r="S1902" s="117">
        <v>29707</v>
      </c>
      <c r="T1902" s="117">
        <v>29707</v>
      </c>
    </row>
    <row r="1903" spans="19:20">
      <c r="S1903" s="117">
        <v>29738</v>
      </c>
      <c r="T1903" s="117">
        <v>29738</v>
      </c>
    </row>
    <row r="1904" spans="19:20">
      <c r="S1904" s="117">
        <v>29768</v>
      </c>
      <c r="T1904" s="117">
        <v>29768</v>
      </c>
    </row>
    <row r="1905" spans="19:20">
      <c r="S1905" s="117">
        <v>29799</v>
      </c>
      <c r="T1905" s="117">
        <v>29799</v>
      </c>
    </row>
    <row r="1906" spans="19:20">
      <c r="S1906" s="117">
        <v>29830</v>
      </c>
      <c r="T1906" s="117">
        <v>29830</v>
      </c>
    </row>
    <row r="1907" spans="19:20">
      <c r="S1907" s="117">
        <v>29860</v>
      </c>
      <c r="T1907" s="117">
        <v>29860</v>
      </c>
    </row>
    <row r="1908" spans="19:20">
      <c r="S1908" s="117">
        <v>29891</v>
      </c>
      <c r="T1908" s="117">
        <v>29891</v>
      </c>
    </row>
    <row r="1909" spans="19:20">
      <c r="S1909" s="117">
        <v>29921</v>
      </c>
      <c r="T1909" s="117">
        <v>29921</v>
      </c>
    </row>
    <row r="1910" spans="19:20">
      <c r="S1910" s="117">
        <v>29952</v>
      </c>
      <c r="T1910" s="48">
        <f>1+T1898</f>
        <v>1982</v>
      </c>
    </row>
    <row r="1911" spans="19:20">
      <c r="S1911" s="117">
        <v>29983</v>
      </c>
      <c r="T1911" s="117">
        <v>29983</v>
      </c>
    </row>
    <row r="1912" spans="19:20">
      <c r="S1912" s="117">
        <v>30011</v>
      </c>
      <c r="T1912" s="117">
        <v>30011</v>
      </c>
    </row>
    <row r="1913" spans="19:20">
      <c r="S1913" s="117">
        <v>30042</v>
      </c>
      <c r="T1913" s="117">
        <v>30042</v>
      </c>
    </row>
    <row r="1914" spans="19:20">
      <c r="S1914" s="117">
        <v>30072</v>
      </c>
      <c r="T1914" s="117">
        <v>30072</v>
      </c>
    </row>
    <row r="1915" spans="19:20">
      <c r="S1915" s="117">
        <v>30103</v>
      </c>
      <c r="T1915" s="117">
        <v>30103</v>
      </c>
    </row>
    <row r="1916" spans="19:20">
      <c r="S1916" s="117">
        <v>30133</v>
      </c>
      <c r="T1916" s="117">
        <v>30133</v>
      </c>
    </row>
    <row r="1917" spans="19:20">
      <c r="S1917" s="117">
        <v>30164</v>
      </c>
      <c r="T1917" s="117">
        <v>30164</v>
      </c>
    </row>
    <row r="1918" spans="19:20">
      <c r="S1918" s="117">
        <v>30195</v>
      </c>
      <c r="T1918" s="117">
        <v>30195</v>
      </c>
    </row>
    <row r="1919" spans="19:20">
      <c r="S1919" s="117">
        <v>30225</v>
      </c>
      <c r="T1919" s="117">
        <v>30225</v>
      </c>
    </row>
    <row r="1920" spans="19:20">
      <c r="S1920" s="117">
        <v>30256</v>
      </c>
      <c r="T1920" s="117">
        <v>30256</v>
      </c>
    </row>
    <row r="1921" spans="19:20">
      <c r="S1921" s="117">
        <v>30286</v>
      </c>
      <c r="T1921" s="117">
        <v>30286</v>
      </c>
    </row>
    <row r="1922" spans="19:20">
      <c r="S1922" s="117">
        <v>30317</v>
      </c>
      <c r="T1922" s="48">
        <f>1+T1910</f>
        <v>1983</v>
      </c>
    </row>
    <row r="1923" spans="19:20">
      <c r="S1923" s="117">
        <v>30348</v>
      </c>
      <c r="T1923" s="117">
        <v>30348</v>
      </c>
    </row>
    <row r="1924" spans="19:20">
      <c r="S1924" s="117">
        <v>30376</v>
      </c>
      <c r="T1924" s="117">
        <v>30376</v>
      </c>
    </row>
    <row r="1925" spans="19:20">
      <c r="S1925" s="117">
        <v>30407</v>
      </c>
      <c r="T1925" s="117">
        <v>30407</v>
      </c>
    </row>
    <row r="1926" spans="19:20">
      <c r="S1926" s="117">
        <v>30437</v>
      </c>
      <c r="T1926" s="117">
        <v>30437</v>
      </c>
    </row>
    <row r="1927" spans="19:20">
      <c r="S1927" s="117">
        <v>30468</v>
      </c>
      <c r="T1927" s="117">
        <v>30468</v>
      </c>
    </row>
    <row r="1928" spans="19:20">
      <c r="S1928" s="117">
        <v>30498</v>
      </c>
      <c r="T1928" s="117">
        <v>30498</v>
      </c>
    </row>
    <row r="1929" spans="19:20">
      <c r="S1929" s="117">
        <v>30529</v>
      </c>
      <c r="T1929" s="117">
        <v>30529</v>
      </c>
    </row>
    <row r="1930" spans="19:20">
      <c r="S1930" s="117">
        <v>30560</v>
      </c>
      <c r="T1930" s="117">
        <v>30560</v>
      </c>
    </row>
    <row r="1931" spans="19:20">
      <c r="S1931" s="117">
        <v>30590</v>
      </c>
      <c r="T1931" s="117">
        <v>30590</v>
      </c>
    </row>
    <row r="1932" spans="19:20">
      <c r="S1932" s="117">
        <v>30621</v>
      </c>
      <c r="T1932" s="117">
        <v>30621</v>
      </c>
    </row>
    <row r="1933" spans="19:20">
      <c r="S1933" s="117">
        <v>30651</v>
      </c>
      <c r="T1933" s="117">
        <v>30651</v>
      </c>
    </row>
    <row r="1934" spans="19:20">
      <c r="S1934" s="117">
        <v>30682</v>
      </c>
      <c r="T1934" s="48">
        <f>1+T1922</f>
        <v>1984</v>
      </c>
    </row>
    <row r="1935" spans="19:20">
      <c r="S1935" s="117">
        <v>30713</v>
      </c>
      <c r="T1935" s="117">
        <v>30713</v>
      </c>
    </row>
    <row r="1936" spans="19:20">
      <c r="S1936" s="117">
        <v>30742</v>
      </c>
      <c r="T1936" s="117">
        <v>30742</v>
      </c>
    </row>
    <row r="1937" spans="19:20">
      <c r="S1937" s="117">
        <v>30773</v>
      </c>
      <c r="T1937" s="117">
        <v>30773</v>
      </c>
    </row>
    <row r="1938" spans="19:20">
      <c r="S1938" s="117">
        <v>30803</v>
      </c>
      <c r="T1938" s="117">
        <v>30803</v>
      </c>
    </row>
    <row r="1939" spans="19:20">
      <c r="S1939" s="117">
        <v>30834</v>
      </c>
      <c r="T1939" s="117">
        <v>30834</v>
      </c>
    </row>
    <row r="1940" spans="19:20">
      <c r="S1940" s="117">
        <v>30864</v>
      </c>
      <c r="T1940" s="117">
        <v>30864</v>
      </c>
    </row>
    <row r="1941" spans="19:20">
      <c r="S1941" s="117">
        <v>30895</v>
      </c>
      <c r="T1941" s="117">
        <v>30895</v>
      </c>
    </row>
    <row r="1942" spans="19:20">
      <c r="S1942" s="117">
        <v>30926</v>
      </c>
      <c r="T1942" s="117">
        <v>30926</v>
      </c>
    </row>
    <row r="1943" spans="19:20">
      <c r="S1943" s="117">
        <v>30956</v>
      </c>
      <c r="T1943" s="117">
        <v>30956</v>
      </c>
    </row>
    <row r="1944" spans="19:20">
      <c r="S1944" s="117">
        <v>30987</v>
      </c>
      <c r="T1944" s="117">
        <v>30987</v>
      </c>
    </row>
    <row r="1945" spans="19:20">
      <c r="S1945" s="117">
        <v>31017</v>
      </c>
      <c r="T1945" s="117">
        <v>31017</v>
      </c>
    </row>
    <row r="1946" spans="19:20">
      <c r="S1946" s="117">
        <v>31048</v>
      </c>
      <c r="T1946" s="48">
        <f>1+T1934</f>
        <v>1985</v>
      </c>
    </row>
    <row r="1947" spans="19:20">
      <c r="S1947" s="117">
        <v>31079</v>
      </c>
      <c r="T1947" s="117">
        <v>31079</v>
      </c>
    </row>
    <row r="1948" spans="19:20">
      <c r="S1948" s="117">
        <v>31107</v>
      </c>
      <c r="T1948" s="117">
        <v>31107</v>
      </c>
    </row>
    <row r="1949" spans="19:20">
      <c r="S1949" s="117">
        <v>31138</v>
      </c>
      <c r="T1949" s="117">
        <v>31138</v>
      </c>
    </row>
    <row r="1950" spans="19:20">
      <c r="S1950" s="117">
        <v>31168</v>
      </c>
      <c r="T1950" s="117">
        <v>31168</v>
      </c>
    </row>
    <row r="1951" spans="19:20">
      <c r="S1951" s="117">
        <v>31199</v>
      </c>
      <c r="T1951" s="117">
        <v>31199</v>
      </c>
    </row>
    <row r="1952" spans="19:20">
      <c r="S1952" s="117">
        <v>31229</v>
      </c>
      <c r="T1952" s="117">
        <v>31229</v>
      </c>
    </row>
    <row r="1953" spans="19:20">
      <c r="S1953" s="117">
        <v>31260</v>
      </c>
      <c r="T1953" s="117">
        <v>31260</v>
      </c>
    </row>
    <row r="1954" spans="19:20">
      <c r="S1954" s="117">
        <v>31291</v>
      </c>
      <c r="T1954" s="117">
        <v>31291</v>
      </c>
    </row>
    <row r="1955" spans="19:20">
      <c r="S1955" s="117">
        <v>31321</v>
      </c>
      <c r="T1955" s="117">
        <v>31321</v>
      </c>
    </row>
    <row r="1956" spans="19:20">
      <c r="S1956" s="117">
        <v>31352</v>
      </c>
      <c r="T1956" s="117">
        <v>31352</v>
      </c>
    </row>
    <row r="1957" spans="19:20">
      <c r="S1957" s="117">
        <v>31382</v>
      </c>
      <c r="T1957" s="117">
        <v>31382</v>
      </c>
    </row>
    <row r="1958" spans="19:20">
      <c r="S1958" s="117">
        <v>31413</v>
      </c>
      <c r="T1958" s="48">
        <f>1+T1946</f>
        <v>1986</v>
      </c>
    </row>
    <row r="1959" spans="19:20">
      <c r="S1959" s="117">
        <v>31444</v>
      </c>
      <c r="T1959" s="117">
        <v>31444</v>
      </c>
    </row>
    <row r="1960" spans="19:20">
      <c r="S1960" s="117">
        <v>31472</v>
      </c>
      <c r="T1960" s="117">
        <v>31472</v>
      </c>
    </row>
    <row r="1961" spans="19:20">
      <c r="S1961" s="117">
        <v>31503</v>
      </c>
      <c r="T1961" s="117">
        <v>31503</v>
      </c>
    </row>
    <row r="1962" spans="19:20">
      <c r="S1962" s="117">
        <v>31533</v>
      </c>
      <c r="T1962" s="117">
        <v>31533</v>
      </c>
    </row>
    <row r="1963" spans="19:20">
      <c r="S1963" s="117">
        <v>31564</v>
      </c>
      <c r="T1963" s="117">
        <v>31564</v>
      </c>
    </row>
    <row r="1964" spans="19:20">
      <c r="S1964" s="117">
        <v>31594</v>
      </c>
      <c r="T1964" s="117">
        <v>31594</v>
      </c>
    </row>
    <row r="1965" spans="19:20">
      <c r="S1965" s="117">
        <v>31625</v>
      </c>
      <c r="T1965" s="117">
        <v>31625</v>
      </c>
    </row>
    <row r="1966" spans="19:20">
      <c r="S1966" s="117">
        <v>31656</v>
      </c>
      <c r="T1966" s="117">
        <v>31656</v>
      </c>
    </row>
    <row r="1967" spans="19:20">
      <c r="S1967" s="117">
        <v>31686</v>
      </c>
      <c r="T1967" s="117">
        <v>31686</v>
      </c>
    </row>
    <row r="1968" spans="19:20">
      <c r="S1968" s="117">
        <v>31717</v>
      </c>
      <c r="T1968" s="117">
        <v>31717</v>
      </c>
    </row>
    <row r="1969" spans="19:20">
      <c r="S1969" s="117">
        <v>31747</v>
      </c>
      <c r="T1969" s="117">
        <v>31747</v>
      </c>
    </row>
    <row r="1970" spans="19:20">
      <c r="S1970" s="117">
        <v>31778</v>
      </c>
      <c r="T1970" s="48">
        <f>1+T1958</f>
        <v>1987</v>
      </c>
    </row>
    <row r="1971" spans="19:20">
      <c r="S1971" s="117">
        <v>31809</v>
      </c>
      <c r="T1971" s="117">
        <v>31809</v>
      </c>
    </row>
    <row r="1972" spans="19:20">
      <c r="S1972" s="117">
        <v>31837</v>
      </c>
      <c r="T1972" s="117">
        <v>31837</v>
      </c>
    </row>
    <row r="1973" spans="19:20">
      <c r="S1973" s="117">
        <v>31868</v>
      </c>
      <c r="T1973" s="117">
        <v>31868</v>
      </c>
    </row>
    <row r="1974" spans="19:20">
      <c r="S1974" s="117">
        <v>31898</v>
      </c>
      <c r="T1974" s="117">
        <v>31898</v>
      </c>
    </row>
    <row r="1975" spans="19:20">
      <c r="S1975" s="117">
        <v>31929</v>
      </c>
      <c r="T1975" s="117">
        <v>31929</v>
      </c>
    </row>
    <row r="1976" spans="19:20">
      <c r="S1976" s="117">
        <v>31959</v>
      </c>
      <c r="T1976" s="117">
        <v>31959</v>
      </c>
    </row>
    <row r="1977" spans="19:20">
      <c r="S1977" s="117">
        <v>31990</v>
      </c>
      <c r="T1977" s="117">
        <v>31990</v>
      </c>
    </row>
    <row r="1978" spans="19:20">
      <c r="S1978" s="117">
        <v>32021</v>
      </c>
      <c r="T1978" s="117">
        <v>32021</v>
      </c>
    </row>
    <row r="1979" spans="19:20">
      <c r="S1979" s="117">
        <v>32051</v>
      </c>
      <c r="T1979" s="117">
        <v>32051</v>
      </c>
    </row>
    <row r="1980" spans="19:20">
      <c r="S1980" s="117">
        <v>32082</v>
      </c>
      <c r="T1980" s="117">
        <v>32082</v>
      </c>
    </row>
    <row r="1981" spans="19:20">
      <c r="S1981" s="117">
        <v>32112</v>
      </c>
      <c r="T1981" s="117">
        <v>32112</v>
      </c>
    </row>
    <row r="1982" spans="19:20">
      <c r="S1982" s="117">
        <v>32143</v>
      </c>
      <c r="T1982" s="48">
        <f>1+T1970</f>
        <v>1988</v>
      </c>
    </row>
    <row r="1983" spans="19:20">
      <c r="S1983" s="117">
        <v>32174</v>
      </c>
      <c r="T1983" s="117">
        <v>32174</v>
      </c>
    </row>
    <row r="1984" spans="19:20">
      <c r="S1984" s="117">
        <v>32203</v>
      </c>
      <c r="T1984" s="117">
        <v>32203</v>
      </c>
    </row>
    <row r="1985" spans="19:20">
      <c r="S1985" s="117">
        <v>32234</v>
      </c>
      <c r="T1985" s="117">
        <v>32234</v>
      </c>
    </row>
    <row r="1986" spans="19:20">
      <c r="S1986" s="117">
        <v>32264</v>
      </c>
      <c r="T1986" s="117">
        <v>32264</v>
      </c>
    </row>
    <row r="1987" spans="19:20">
      <c r="S1987" s="117">
        <v>32295</v>
      </c>
      <c r="T1987" s="117">
        <v>32295</v>
      </c>
    </row>
    <row r="1988" spans="19:20">
      <c r="S1988" s="117">
        <v>32325</v>
      </c>
      <c r="T1988" s="117">
        <v>32325</v>
      </c>
    </row>
    <row r="1989" spans="19:20">
      <c r="S1989" s="117">
        <v>32356</v>
      </c>
      <c r="T1989" s="117">
        <v>32356</v>
      </c>
    </row>
    <row r="1990" spans="19:20">
      <c r="S1990" s="117">
        <v>32387</v>
      </c>
      <c r="T1990" s="117">
        <v>32387</v>
      </c>
    </row>
    <row r="1991" spans="19:20">
      <c r="S1991" s="117">
        <v>32417</v>
      </c>
      <c r="T1991" s="117">
        <v>32417</v>
      </c>
    </row>
    <row r="1992" spans="19:20">
      <c r="S1992" s="117">
        <v>32448</v>
      </c>
      <c r="T1992" s="117">
        <v>32448</v>
      </c>
    </row>
    <row r="1993" spans="19:20">
      <c r="S1993" s="117">
        <v>32478</v>
      </c>
      <c r="T1993" s="117">
        <v>32478</v>
      </c>
    </row>
    <row r="1994" spans="19:20">
      <c r="S1994" s="117">
        <v>32509</v>
      </c>
      <c r="T1994" s="48">
        <f>1+T1982</f>
        <v>1989</v>
      </c>
    </row>
    <row r="1995" spans="19:20">
      <c r="S1995" s="117">
        <v>32540</v>
      </c>
      <c r="T1995" s="117">
        <v>32540</v>
      </c>
    </row>
    <row r="1996" spans="19:20">
      <c r="S1996" s="117">
        <v>32568</v>
      </c>
      <c r="T1996" s="117">
        <v>32568</v>
      </c>
    </row>
    <row r="1997" spans="19:20">
      <c r="S1997" s="117">
        <v>32599</v>
      </c>
      <c r="T1997" s="117">
        <v>32599</v>
      </c>
    </row>
    <row r="1998" spans="19:20">
      <c r="S1998" s="117">
        <v>32629</v>
      </c>
      <c r="T1998" s="117">
        <v>32629</v>
      </c>
    </row>
    <row r="1999" spans="19:20">
      <c r="S1999" s="117">
        <v>32660</v>
      </c>
      <c r="T1999" s="117">
        <v>32660</v>
      </c>
    </row>
    <row r="2000" spans="19:20">
      <c r="S2000" s="117">
        <v>32690</v>
      </c>
      <c r="T2000" s="117">
        <v>32690</v>
      </c>
    </row>
    <row r="2001" spans="19:20">
      <c r="S2001" s="117">
        <v>32721</v>
      </c>
      <c r="T2001" s="117">
        <v>32721</v>
      </c>
    </row>
    <row r="2002" spans="19:20">
      <c r="S2002" s="117">
        <v>32752</v>
      </c>
      <c r="T2002" s="117">
        <v>32752</v>
      </c>
    </row>
    <row r="2003" spans="19:20">
      <c r="S2003" s="117">
        <v>32782</v>
      </c>
      <c r="T2003" s="117">
        <v>32782</v>
      </c>
    </row>
    <row r="2004" spans="19:20">
      <c r="S2004" s="117">
        <v>32813</v>
      </c>
      <c r="T2004" s="117">
        <v>32813</v>
      </c>
    </row>
    <row r="2005" spans="19:20">
      <c r="S2005" s="117">
        <v>32843</v>
      </c>
      <c r="T2005" s="117">
        <v>32843</v>
      </c>
    </row>
    <row r="2006" spans="19:20">
      <c r="S2006" s="117">
        <v>32874</v>
      </c>
      <c r="T2006" s="48">
        <f>1+T1994</f>
        <v>1990</v>
      </c>
    </row>
    <row r="2007" spans="19:20">
      <c r="S2007" s="117">
        <v>32905</v>
      </c>
      <c r="T2007" s="117">
        <v>32905</v>
      </c>
    </row>
    <row r="2008" spans="19:20">
      <c r="S2008" s="117">
        <v>32933</v>
      </c>
      <c r="T2008" s="117">
        <v>32933</v>
      </c>
    </row>
    <row r="2009" spans="19:20">
      <c r="S2009" s="117">
        <v>32964</v>
      </c>
      <c r="T2009" s="117">
        <v>32964</v>
      </c>
    </row>
    <row r="2010" spans="19:20">
      <c r="S2010" s="117">
        <v>32994</v>
      </c>
      <c r="T2010" s="117">
        <v>32994</v>
      </c>
    </row>
    <row r="2011" spans="19:20">
      <c r="S2011" s="117">
        <v>33025</v>
      </c>
      <c r="T2011" s="117">
        <v>33025</v>
      </c>
    </row>
    <row r="2012" spans="19:20">
      <c r="S2012" s="117">
        <v>33055</v>
      </c>
      <c r="T2012" s="117">
        <v>33055</v>
      </c>
    </row>
    <row r="2013" spans="19:20">
      <c r="S2013" s="117">
        <v>33086</v>
      </c>
      <c r="T2013" s="117">
        <v>33086</v>
      </c>
    </row>
    <row r="2014" spans="19:20">
      <c r="S2014" s="117">
        <v>33117</v>
      </c>
      <c r="T2014" s="117">
        <v>33117</v>
      </c>
    </row>
    <row r="2015" spans="19:20">
      <c r="S2015" s="117">
        <v>33147</v>
      </c>
      <c r="T2015" s="117">
        <v>33147</v>
      </c>
    </row>
    <row r="2016" spans="19:20">
      <c r="S2016" s="117">
        <v>33178</v>
      </c>
      <c r="T2016" s="117">
        <v>33178</v>
      </c>
    </row>
    <row r="2017" spans="19:20">
      <c r="S2017" s="117">
        <v>33208</v>
      </c>
      <c r="T2017" s="117">
        <v>33208</v>
      </c>
    </row>
    <row r="2018" spans="19:20">
      <c r="S2018" s="117">
        <v>33239</v>
      </c>
      <c r="T2018" s="48">
        <f>1+T2006</f>
        <v>1991</v>
      </c>
    </row>
    <row r="2019" spans="19:20">
      <c r="S2019" s="117">
        <v>33270</v>
      </c>
      <c r="T2019" s="117">
        <v>33270</v>
      </c>
    </row>
    <row r="2020" spans="19:20">
      <c r="S2020" s="117">
        <v>33298</v>
      </c>
      <c r="T2020" s="117">
        <v>33298</v>
      </c>
    </row>
    <row r="2021" spans="19:20">
      <c r="S2021" s="117">
        <v>33329</v>
      </c>
      <c r="T2021" s="117">
        <v>33329</v>
      </c>
    </row>
    <row r="2022" spans="19:20">
      <c r="S2022" s="117">
        <v>33359</v>
      </c>
      <c r="T2022" s="117">
        <v>33359</v>
      </c>
    </row>
    <row r="2023" spans="19:20">
      <c r="S2023" s="117">
        <v>33390</v>
      </c>
      <c r="T2023" s="117">
        <v>33390</v>
      </c>
    </row>
    <row r="2024" spans="19:20">
      <c r="S2024" s="117">
        <v>33420</v>
      </c>
      <c r="T2024" s="117">
        <v>33420</v>
      </c>
    </row>
    <row r="2025" spans="19:20">
      <c r="S2025" s="117">
        <v>33451</v>
      </c>
      <c r="T2025" s="117">
        <v>33451</v>
      </c>
    </row>
    <row r="2026" spans="19:20">
      <c r="S2026" s="117">
        <v>33482</v>
      </c>
      <c r="T2026" s="117">
        <v>33482</v>
      </c>
    </row>
    <row r="2027" spans="19:20">
      <c r="S2027" s="117">
        <v>33512</v>
      </c>
      <c r="T2027" s="117">
        <v>33512</v>
      </c>
    </row>
    <row r="2028" spans="19:20">
      <c r="S2028" s="117">
        <v>33543</v>
      </c>
      <c r="T2028" s="117">
        <v>33543</v>
      </c>
    </row>
    <row r="2029" spans="19:20">
      <c r="S2029" s="117">
        <v>33573</v>
      </c>
      <c r="T2029" s="117">
        <v>33573</v>
      </c>
    </row>
    <row r="2030" spans="19:20">
      <c r="S2030" s="117">
        <v>33604</v>
      </c>
      <c r="T2030" s="48">
        <f>1+T2018</f>
        <v>1992</v>
      </c>
    </row>
    <row r="2031" spans="19:20">
      <c r="S2031" s="117">
        <v>33635</v>
      </c>
      <c r="T2031" s="117">
        <v>33635</v>
      </c>
    </row>
    <row r="2032" spans="19:20">
      <c r="S2032" s="117">
        <v>33664</v>
      </c>
      <c r="T2032" s="117">
        <v>33664</v>
      </c>
    </row>
    <row r="2033" spans="19:20">
      <c r="S2033" s="117">
        <v>33695</v>
      </c>
      <c r="T2033" s="117">
        <v>33695</v>
      </c>
    </row>
    <row r="2034" spans="19:20">
      <c r="S2034" s="117">
        <v>33725</v>
      </c>
      <c r="T2034" s="117">
        <v>33725</v>
      </c>
    </row>
    <row r="2035" spans="19:20">
      <c r="S2035" s="117">
        <v>33756</v>
      </c>
      <c r="T2035" s="117">
        <v>33756</v>
      </c>
    </row>
    <row r="2036" spans="19:20">
      <c r="S2036" s="117">
        <v>33786</v>
      </c>
      <c r="T2036" s="117">
        <v>33786</v>
      </c>
    </row>
    <row r="2037" spans="19:20">
      <c r="S2037" s="117">
        <v>33817</v>
      </c>
      <c r="T2037" s="117">
        <v>33817</v>
      </c>
    </row>
    <row r="2038" spans="19:20">
      <c r="S2038" s="117">
        <v>33848</v>
      </c>
      <c r="T2038" s="117">
        <v>33848</v>
      </c>
    </row>
    <row r="2039" spans="19:20">
      <c r="S2039" s="117">
        <v>33878</v>
      </c>
      <c r="T2039" s="117">
        <v>33878</v>
      </c>
    </row>
    <row r="2040" spans="19:20">
      <c r="S2040" s="117">
        <v>33909</v>
      </c>
      <c r="T2040" s="117">
        <v>33909</v>
      </c>
    </row>
    <row r="2041" spans="19:20">
      <c r="S2041" s="117">
        <v>33939</v>
      </c>
      <c r="T2041" s="117">
        <v>33939</v>
      </c>
    </row>
    <row r="2042" spans="19:20">
      <c r="S2042" s="117">
        <v>33970</v>
      </c>
      <c r="T2042" s="48">
        <f>1+T2030</f>
        <v>1993</v>
      </c>
    </row>
    <row r="2043" spans="19:20">
      <c r="S2043" s="117">
        <v>34001</v>
      </c>
      <c r="T2043" s="117">
        <v>34001</v>
      </c>
    </row>
    <row r="2044" spans="19:20">
      <c r="S2044" s="117">
        <v>34029</v>
      </c>
      <c r="T2044" s="117">
        <v>34029</v>
      </c>
    </row>
    <row r="2045" spans="19:20">
      <c r="S2045" s="117">
        <v>34060</v>
      </c>
      <c r="T2045" s="117">
        <v>34060</v>
      </c>
    </row>
    <row r="2046" spans="19:20">
      <c r="S2046" s="117">
        <v>34090</v>
      </c>
      <c r="T2046" s="117">
        <v>34090</v>
      </c>
    </row>
    <row r="2047" spans="19:20">
      <c r="S2047" s="117">
        <v>34121</v>
      </c>
      <c r="T2047" s="117">
        <v>34121</v>
      </c>
    </row>
    <row r="2048" spans="19:20">
      <c r="S2048" s="117">
        <v>34151</v>
      </c>
      <c r="T2048" s="117">
        <v>34151</v>
      </c>
    </row>
    <row r="2049" spans="19:20">
      <c r="S2049" s="117">
        <v>34182</v>
      </c>
      <c r="T2049" s="117">
        <v>34182</v>
      </c>
    </row>
    <row r="2050" spans="19:20">
      <c r="S2050" s="117">
        <v>34213</v>
      </c>
      <c r="T2050" s="117">
        <v>34213</v>
      </c>
    </row>
    <row r="2051" spans="19:20">
      <c r="S2051" s="117">
        <v>34243</v>
      </c>
      <c r="T2051" s="117">
        <v>34243</v>
      </c>
    </row>
    <row r="2052" spans="19:20">
      <c r="S2052" s="117">
        <v>34274</v>
      </c>
      <c r="T2052" s="117">
        <v>34274</v>
      </c>
    </row>
    <row r="2053" spans="19:20">
      <c r="S2053" s="117">
        <v>34304</v>
      </c>
      <c r="T2053" s="117">
        <v>34304</v>
      </c>
    </row>
    <row r="2054" spans="19:20">
      <c r="S2054" s="117">
        <v>34335</v>
      </c>
      <c r="T2054" s="48">
        <f>1+T2042</f>
        <v>1994</v>
      </c>
    </row>
    <row r="2055" spans="19:20">
      <c r="S2055" s="117">
        <v>34366</v>
      </c>
      <c r="T2055" s="117">
        <v>34366</v>
      </c>
    </row>
    <row r="2056" spans="19:20">
      <c r="S2056" s="117">
        <v>34394</v>
      </c>
      <c r="T2056" s="117">
        <v>34394</v>
      </c>
    </row>
    <row r="2057" spans="19:20">
      <c r="S2057" s="117">
        <v>34425</v>
      </c>
      <c r="T2057" s="117">
        <v>34425</v>
      </c>
    </row>
    <row r="2058" spans="19:20">
      <c r="S2058" s="117">
        <v>34455</v>
      </c>
      <c r="T2058" s="117">
        <v>34455</v>
      </c>
    </row>
    <row r="2059" spans="19:20">
      <c r="S2059" s="117">
        <v>34486</v>
      </c>
      <c r="T2059" s="117">
        <v>34486</v>
      </c>
    </row>
    <row r="2060" spans="19:20">
      <c r="S2060" s="117">
        <v>34516</v>
      </c>
      <c r="T2060" s="117">
        <v>34516</v>
      </c>
    </row>
    <row r="2061" spans="19:20">
      <c r="S2061" s="117">
        <v>34547</v>
      </c>
      <c r="T2061" s="117">
        <v>34547</v>
      </c>
    </row>
    <row r="2062" spans="19:20">
      <c r="S2062" s="117">
        <v>34578</v>
      </c>
      <c r="T2062" s="117">
        <v>34578</v>
      </c>
    </row>
    <row r="2063" spans="19:20">
      <c r="S2063" s="117">
        <v>34608</v>
      </c>
      <c r="T2063" s="117">
        <v>34608</v>
      </c>
    </row>
    <row r="2064" spans="19:20">
      <c r="S2064" s="117">
        <v>34639</v>
      </c>
      <c r="T2064" s="117">
        <v>34639</v>
      </c>
    </row>
    <row r="2065" spans="19:20">
      <c r="S2065" s="117">
        <v>34669</v>
      </c>
      <c r="T2065" s="117">
        <v>34669</v>
      </c>
    </row>
    <row r="2066" spans="19:20">
      <c r="S2066" s="117">
        <v>34700</v>
      </c>
      <c r="T2066" s="48">
        <f>1+T2054</f>
        <v>1995</v>
      </c>
    </row>
    <row r="2067" spans="19:20">
      <c r="S2067" s="117">
        <v>34731</v>
      </c>
      <c r="T2067" s="117">
        <v>34731</v>
      </c>
    </row>
    <row r="2068" spans="19:20">
      <c r="S2068" s="117">
        <v>34759</v>
      </c>
      <c r="T2068" s="117">
        <v>34759</v>
      </c>
    </row>
    <row r="2069" spans="19:20">
      <c r="S2069" s="117">
        <v>34790</v>
      </c>
      <c r="T2069" s="117">
        <v>34790</v>
      </c>
    </row>
    <row r="2070" spans="19:20">
      <c r="S2070" s="117">
        <v>34820</v>
      </c>
      <c r="T2070" s="117">
        <v>34820</v>
      </c>
    </row>
    <row r="2071" spans="19:20">
      <c r="S2071" s="117">
        <v>34851</v>
      </c>
      <c r="T2071" s="117">
        <v>34851</v>
      </c>
    </row>
    <row r="2072" spans="19:20">
      <c r="S2072" s="117">
        <v>34881</v>
      </c>
      <c r="T2072" s="117">
        <v>34881</v>
      </c>
    </row>
    <row r="2073" spans="19:20">
      <c r="S2073" s="117">
        <v>34912</v>
      </c>
      <c r="T2073" s="117">
        <v>34912</v>
      </c>
    </row>
    <row r="2074" spans="19:20">
      <c r="S2074" s="117">
        <v>34943</v>
      </c>
      <c r="T2074" s="117">
        <v>34943</v>
      </c>
    </row>
    <row r="2075" spans="19:20">
      <c r="S2075" s="117">
        <v>34973</v>
      </c>
      <c r="T2075" s="117">
        <v>34973</v>
      </c>
    </row>
    <row r="2076" spans="19:20">
      <c r="S2076" s="117">
        <v>35004</v>
      </c>
      <c r="T2076" s="117">
        <v>35004</v>
      </c>
    </row>
    <row r="2077" spans="19:20">
      <c r="S2077" s="117">
        <v>35034</v>
      </c>
      <c r="T2077" s="117">
        <v>35034</v>
      </c>
    </row>
    <row r="2078" spans="19:20">
      <c r="S2078" s="117">
        <v>35065</v>
      </c>
      <c r="T2078" s="48">
        <f>1+T2066</f>
        <v>1996</v>
      </c>
    </row>
    <row r="2079" spans="19:20">
      <c r="S2079" s="117">
        <v>35096</v>
      </c>
      <c r="T2079" s="117">
        <v>35096</v>
      </c>
    </row>
    <row r="2080" spans="19:20">
      <c r="S2080" s="117">
        <v>35125</v>
      </c>
      <c r="T2080" s="117">
        <v>35125</v>
      </c>
    </row>
    <row r="2081" spans="19:20">
      <c r="S2081" s="117">
        <v>35156</v>
      </c>
      <c r="T2081" s="117">
        <v>35156</v>
      </c>
    </row>
    <row r="2082" spans="19:20">
      <c r="S2082" s="117">
        <v>35186</v>
      </c>
      <c r="T2082" s="117">
        <v>35186</v>
      </c>
    </row>
    <row r="2083" spans="19:20">
      <c r="S2083" s="117">
        <v>35217</v>
      </c>
      <c r="T2083" s="117">
        <v>35217</v>
      </c>
    </row>
    <row r="2084" spans="19:20">
      <c r="S2084" s="117">
        <v>35247</v>
      </c>
      <c r="T2084" s="117">
        <v>35247</v>
      </c>
    </row>
    <row r="2085" spans="19:20">
      <c r="S2085" s="117">
        <v>35278</v>
      </c>
      <c r="T2085" s="117">
        <v>35278</v>
      </c>
    </row>
    <row r="2086" spans="19:20">
      <c r="S2086" s="117">
        <v>35309</v>
      </c>
      <c r="T2086" s="117">
        <v>35309</v>
      </c>
    </row>
    <row r="2087" spans="19:20">
      <c r="S2087" s="117">
        <v>35339</v>
      </c>
      <c r="T2087" s="117">
        <v>35339</v>
      </c>
    </row>
    <row r="2088" spans="19:20">
      <c r="S2088" s="117">
        <v>35370</v>
      </c>
      <c r="T2088" s="117">
        <v>35370</v>
      </c>
    </row>
    <row r="2089" spans="19:20">
      <c r="S2089" s="117">
        <v>35400</v>
      </c>
      <c r="T2089" s="117">
        <v>35400</v>
      </c>
    </row>
    <row r="2090" spans="19:20">
      <c r="S2090" s="117">
        <v>35431</v>
      </c>
      <c r="T2090" s="48">
        <f>1+T2078</f>
        <v>1997</v>
      </c>
    </row>
    <row r="2091" spans="19:20">
      <c r="S2091" s="117">
        <v>35462</v>
      </c>
      <c r="T2091" s="117">
        <v>35462</v>
      </c>
    </row>
    <row r="2092" spans="19:20">
      <c r="S2092" s="117">
        <v>35490</v>
      </c>
      <c r="T2092" s="117">
        <v>35490</v>
      </c>
    </row>
    <row r="2093" spans="19:20">
      <c r="S2093" s="117">
        <v>35521</v>
      </c>
      <c r="T2093" s="117">
        <v>35521</v>
      </c>
    </row>
    <row r="2094" spans="19:20">
      <c r="S2094" s="117">
        <v>35551</v>
      </c>
      <c r="T2094" s="117">
        <v>35551</v>
      </c>
    </row>
    <row r="2095" spans="19:20">
      <c r="S2095" s="117">
        <v>35582</v>
      </c>
      <c r="T2095" s="117">
        <v>35582</v>
      </c>
    </row>
    <row r="2096" spans="19:20">
      <c r="S2096" s="117">
        <v>35612</v>
      </c>
      <c r="T2096" s="117">
        <v>35612</v>
      </c>
    </row>
    <row r="2097" spans="19:20">
      <c r="S2097" s="117">
        <v>35643</v>
      </c>
      <c r="T2097" s="117">
        <v>35643</v>
      </c>
    </row>
    <row r="2098" spans="19:20">
      <c r="S2098" s="117">
        <v>35674</v>
      </c>
      <c r="T2098" s="117">
        <v>35674</v>
      </c>
    </row>
    <row r="2099" spans="19:20">
      <c r="S2099" s="117">
        <v>35704</v>
      </c>
      <c r="T2099" s="117">
        <v>35704</v>
      </c>
    </row>
    <row r="2100" spans="19:20">
      <c r="S2100" s="117">
        <v>35735</v>
      </c>
      <c r="T2100" s="117">
        <v>35735</v>
      </c>
    </row>
    <row r="2101" spans="19:20">
      <c r="S2101" s="117">
        <v>35765</v>
      </c>
      <c r="T2101" s="117">
        <v>35765</v>
      </c>
    </row>
    <row r="2102" spans="19:20">
      <c r="S2102" s="117">
        <v>35796</v>
      </c>
      <c r="T2102" s="48">
        <f>1+T2090</f>
        <v>1998</v>
      </c>
    </row>
    <row r="2103" spans="19:20">
      <c r="S2103" s="117">
        <v>35827</v>
      </c>
      <c r="T2103" s="117">
        <v>35827</v>
      </c>
    </row>
    <row r="2104" spans="19:20">
      <c r="S2104" s="117">
        <v>35855</v>
      </c>
      <c r="T2104" s="117">
        <v>35855</v>
      </c>
    </row>
    <row r="2105" spans="19:20">
      <c r="S2105" s="117">
        <v>35886</v>
      </c>
      <c r="T2105" s="117">
        <v>35886</v>
      </c>
    </row>
    <row r="2106" spans="19:20">
      <c r="S2106" s="117">
        <v>35916</v>
      </c>
      <c r="T2106" s="117">
        <v>35916</v>
      </c>
    </row>
    <row r="2107" spans="19:20">
      <c r="S2107" s="117">
        <v>35947</v>
      </c>
      <c r="T2107" s="117">
        <v>35947</v>
      </c>
    </row>
    <row r="2108" spans="19:20">
      <c r="S2108" s="117">
        <v>35977</v>
      </c>
      <c r="T2108" s="117">
        <v>35977</v>
      </c>
    </row>
    <row r="2109" spans="19:20">
      <c r="S2109" s="117">
        <v>36008</v>
      </c>
      <c r="T2109" s="117">
        <v>36008</v>
      </c>
    </row>
    <row r="2110" spans="19:20">
      <c r="S2110" s="117">
        <v>36039</v>
      </c>
      <c r="T2110" s="117">
        <v>36039</v>
      </c>
    </row>
    <row r="2111" spans="19:20">
      <c r="S2111" s="117">
        <v>36069</v>
      </c>
      <c r="T2111" s="117">
        <v>36069</v>
      </c>
    </row>
    <row r="2112" spans="19:20">
      <c r="S2112" s="117">
        <v>36100</v>
      </c>
      <c r="T2112" s="117">
        <v>36100</v>
      </c>
    </row>
    <row r="2113" spans="19:20">
      <c r="S2113" s="117">
        <v>36130</v>
      </c>
      <c r="T2113" s="117">
        <v>36130</v>
      </c>
    </row>
    <row r="2114" spans="19:20">
      <c r="S2114" s="117">
        <v>36161</v>
      </c>
      <c r="T2114" s="48">
        <f>1+T2102</f>
        <v>1999</v>
      </c>
    </row>
    <row r="2115" spans="19:20">
      <c r="S2115" s="117">
        <v>36192</v>
      </c>
      <c r="T2115" s="117">
        <v>36192</v>
      </c>
    </row>
    <row r="2116" spans="19:20">
      <c r="S2116" s="117">
        <v>36220</v>
      </c>
      <c r="T2116" s="117">
        <v>36220</v>
      </c>
    </row>
    <row r="2117" spans="19:20">
      <c r="S2117" s="117">
        <v>36251</v>
      </c>
      <c r="T2117" s="117">
        <v>36251</v>
      </c>
    </row>
    <row r="2118" spans="19:20">
      <c r="S2118" s="117">
        <v>36281</v>
      </c>
      <c r="T2118" s="117">
        <v>36281</v>
      </c>
    </row>
    <row r="2119" spans="19:20">
      <c r="S2119" s="117">
        <v>36312</v>
      </c>
      <c r="T2119" s="117">
        <v>36312</v>
      </c>
    </row>
    <row r="2120" spans="19:20">
      <c r="S2120" s="117">
        <v>36342</v>
      </c>
      <c r="T2120" s="117">
        <v>36342</v>
      </c>
    </row>
    <row r="2121" spans="19:20">
      <c r="S2121" s="117">
        <v>36373</v>
      </c>
      <c r="T2121" s="117">
        <v>36373</v>
      </c>
    </row>
    <row r="2122" spans="19:20">
      <c r="S2122" s="117">
        <v>36404</v>
      </c>
      <c r="T2122" s="117">
        <v>36404</v>
      </c>
    </row>
    <row r="2123" spans="19:20">
      <c r="S2123" s="117">
        <v>36434</v>
      </c>
      <c r="T2123" s="117">
        <v>36434</v>
      </c>
    </row>
    <row r="2124" spans="19:20">
      <c r="S2124" s="117">
        <v>36465</v>
      </c>
      <c r="T2124" s="117">
        <v>36465</v>
      </c>
    </row>
    <row r="2125" spans="19:20">
      <c r="S2125" s="117">
        <v>36495</v>
      </c>
      <c r="T2125" s="117">
        <v>36495</v>
      </c>
    </row>
    <row r="2126" spans="19:20">
      <c r="S2126" s="117">
        <v>36526</v>
      </c>
      <c r="T2126" s="48">
        <f>1+T2114</f>
        <v>2000</v>
      </c>
    </row>
    <row r="2127" spans="19:20">
      <c r="S2127" s="117">
        <v>36557</v>
      </c>
      <c r="T2127" s="117">
        <v>36557</v>
      </c>
    </row>
    <row r="2128" spans="19:20">
      <c r="S2128" s="117">
        <v>36586</v>
      </c>
      <c r="T2128" s="117">
        <v>36586</v>
      </c>
    </row>
    <row r="2129" spans="19:20">
      <c r="S2129" s="117">
        <v>36617</v>
      </c>
      <c r="T2129" s="117">
        <v>36617</v>
      </c>
    </row>
    <row r="2130" spans="19:20">
      <c r="S2130" s="117">
        <v>36647</v>
      </c>
      <c r="T2130" s="117">
        <v>36647</v>
      </c>
    </row>
    <row r="2131" spans="19:20">
      <c r="S2131" s="117">
        <v>36678</v>
      </c>
      <c r="T2131" s="117">
        <v>36678</v>
      </c>
    </row>
    <row r="2132" spans="19:20">
      <c r="S2132" s="117">
        <v>36708</v>
      </c>
      <c r="T2132" s="117">
        <v>36708</v>
      </c>
    </row>
    <row r="2133" spans="19:20">
      <c r="S2133" s="117">
        <v>36739</v>
      </c>
      <c r="T2133" s="117">
        <v>36739</v>
      </c>
    </row>
    <row r="2134" spans="19:20">
      <c r="S2134" s="117">
        <v>36770</v>
      </c>
      <c r="T2134" s="117">
        <v>36770</v>
      </c>
    </row>
    <row r="2135" spans="19:20">
      <c r="S2135" s="117">
        <v>36800</v>
      </c>
      <c r="T2135" s="117">
        <v>36800</v>
      </c>
    </row>
    <row r="2136" spans="19:20">
      <c r="S2136" s="117">
        <v>36831</v>
      </c>
      <c r="T2136" s="117">
        <v>36831</v>
      </c>
    </row>
    <row r="2137" spans="19:20">
      <c r="S2137" s="117">
        <v>36861</v>
      </c>
      <c r="T2137" s="117">
        <v>36861</v>
      </c>
    </row>
    <row r="2138" spans="19:20">
      <c r="S2138" s="118">
        <v>36892</v>
      </c>
      <c r="T2138" s="48">
        <f>1+T2126</f>
        <v>2001</v>
      </c>
    </row>
    <row r="2139" spans="19:20">
      <c r="S2139" s="118">
        <v>36923</v>
      </c>
      <c r="T2139" s="118">
        <v>36923</v>
      </c>
    </row>
    <row r="2140" spans="19:20">
      <c r="S2140" s="118">
        <v>36951</v>
      </c>
      <c r="T2140" s="118">
        <v>36951</v>
      </c>
    </row>
    <row r="2141" spans="19:20">
      <c r="S2141" s="118">
        <v>36982</v>
      </c>
      <c r="T2141" s="118">
        <v>36982</v>
      </c>
    </row>
    <row r="2142" spans="19:20">
      <c r="S2142" s="118">
        <v>37012</v>
      </c>
      <c r="T2142" s="118">
        <v>37012</v>
      </c>
    </row>
    <row r="2143" spans="19:20">
      <c r="S2143" s="118">
        <v>37043</v>
      </c>
      <c r="T2143" s="118">
        <v>37043</v>
      </c>
    </row>
    <row r="2144" spans="19:20">
      <c r="S2144" s="118">
        <v>37073</v>
      </c>
      <c r="T2144" s="118">
        <v>37073</v>
      </c>
    </row>
    <row r="2145" spans="19:20">
      <c r="S2145" s="118">
        <v>37104</v>
      </c>
      <c r="T2145" s="118">
        <v>37104</v>
      </c>
    </row>
    <row r="2146" spans="19:20">
      <c r="S2146" s="118">
        <v>37135</v>
      </c>
      <c r="T2146" s="118">
        <v>37135</v>
      </c>
    </row>
    <row r="2147" spans="19:20">
      <c r="S2147" s="118">
        <v>37165</v>
      </c>
      <c r="T2147" s="118">
        <v>37165</v>
      </c>
    </row>
    <row r="2148" spans="19:20">
      <c r="S2148" s="118">
        <v>37196</v>
      </c>
      <c r="T2148" s="118">
        <v>37196</v>
      </c>
    </row>
    <row r="2149" spans="19:20">
      <c r="S2149" s="118">
        <v>37226</v>
      </c>
      <c r="T2149" s="118">
        <v>37226</v>
      </c>
    </row>
    <row r="2150" spans="19:20">
      <c r="S2150" s="118">
        <v>37257</v>
      </c>
      <c r="T2150" s="48">
        <f>1+T2138</f>
        <v>2002</v>
      </c>
    </row>
    <row r="2151" spans="19:20">
      <c r="S2151" s="118">
        <v>37288</v>
      </c>
      <c r="T2151" s="118">
        <v>37288</v>
      </c>
    </row>
    <row r="2152" spans="19:20">
      <c r="S2152" s="118">
        <v>37316</v>
      </c>
      <c r="T2152" s="118">
        <v>37316</v>
      </c>
    </row>
    <row r="2153" spans="19:20">
      <c r="S2153" s="118">
        <v>37347</v>
      </c>
      <c r="T2153" s="118">
        <v>37347</v>
      </c>
    </row>
    <row r="2154" spans="19:20">
      <c r="S2154" s="118">
        <v>37377</v>
      </c>
      <c r="T2154" s="118">
        <v>37377</v>
      </c>
    </row>
  </sheetData>
  <hyperlinks>
    <hyperlink ref="X12" r:id="rId1" location="productivity"/>
  </hyperlinks>
  <pageMargins left="0.75" right="0.75" top="1" bottom="1" header="0.5" footer="0.5"/>
  <pageSetup orientation="portrait" horizontalDpi="360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W290"/>
  <sheetViews>
    <sheetView zoomScale="75" workbookViewId="0">
      <pane xSplit="1" ySplit="3" topLeftCell="AB4" activePane="bottomRight" state="frozen"/>
      <selection pane="topRight" activeCell="B1" sqref="B1"/>
      <selection pane="bottomLeft" activeCell="A4" sqref="A4"/>
      <selection pane="bottomRight" activeCell="A28" sqref="A28"/>
    </sheetView>
  </sheetViews>
  <sheetFormatPr defaultColWidth="11.453125" defaultRowHeight="12.5"/>
  <cols>
    <col min="1" max="1" width="91.54296875" style="212" bestFit="1" customWidth="1"/>
    <col min="2" max="2" width="10.54296875" style="211" customWidth="1"/>
    <col min="3" max="9" width="8.54296875" style="211" bestFit="1" customWidth="1"/>
    <col min="10" max="10" width="8.90625" style="211" bestFit="1" customWidth="1"/>
    <col min="11" max="11" width="9.36328125" style="211" bestFit="1" customWidth="1"/>
    <col min="12" max="12" width="9.36328125" style="211" customWidth="1"/>
    <col min="13" max="17" width="9.36328125" style="211" bestFit="1" customWidth="1"/>
    <col min="18" max="20" width="8.90625" style="211" bestFit="1" customWidth="1"/>
    <col min="21" max="23" width="9.36328125" style="211" bestFit="1" customWidth="1"/>
    <col min="24" max="24" width="8.6328125" style="211" customWidth="1"/>
    <col min="25" max="26" width="8.90625" style="211" bestFit="1" customWidth="1"/>
    <col min="27" max="28" width="8.54296875" style="211" bestFit="1" customWidth="1"/>
    <col min="29" max="29" width="6.90625" style="211" bestFit="1" customWidth="1"/>
    <col min="30" max="31" width="10.453125" style="211" bestFit="1" customWidth="1"/>
    <col min="32" max="32" width="8.08984375" style="211" customWidth="1"/>
    <col min="33" max="36" width="10.453125" style="211" bestFit="1" customWidth="1"/>
    <col min="37" max="38" width="7.08984375" style="211" bestFit="1" customWidth="1"/>
    <col min="39" max="40" width="7.54296875" style="211" bestFit="1" customWidth="1"/>
    <col min="41" max="42" width="8" style="211" bestFit="1" customWidth="1"/>
    <col min="43" max="256" width="11.453125" style="211"/>
    <col min="257" max="257" width="91.54296875" style="211" bestFit="1" customWidth="1"/>
    <col min="258" max="258" width="10.54296875" style="211" customWidth="1"/>
    <col min="259" max="265" width="8.54296875" style="211" bestFit="1" customWidth="1"/>
    <col min="266" max="266" width="8.90625" style="211" bestFit="1" customWidth="1"/>
    <col min="267" max="267" width="9.36328125" style="211" bestFit="1" customWidth="1"/>
    <col min="268" max="268" width="9.36328125" style="211" customWidth="1"/>
    <col min="269" max="273" width="9.36328125" style="211" bestFit="1" customWidth="1"/>
    <col min="274" max="276" width="8.90625" style="211" bestFit="1" customWidth="1"/>
    <col min="277" max="279" width="9.36328125" style="211" bestFit="1" customWidth="1"/>
    <col min="280" max="280" width="8.6328125" style="211" customWidth="1"/>
    <col min="281" max="282" width="8.90625" style="211" bestFit="1" customWidth="1"/>
    <col min="283" max="284" width="8.54296875" style="211" bestFit="1" customWidth="1"/>
    <col min="285" max="285" width="6.90625" style="211" bestFit="1" customWidth="1"/>
    <col min="286" max="287" width="10.453125" style="211" bestFit="1" customWidth="1"/>
    <col min="288" max="288" width="8.08984375" style="211" customWidth="1"/>
    <col min="289" max="292" width="10.453125" style="211" bestFit="1" customWidth="1"/>
    <col min="293" max="294" width="7.08984375" style="211" bestFit="1" customWidth="1"/>
    <col min="295" max="296" width="7.54296875" style="211" bestFit="1" customWidth="1"/>
    <col min="297" max="298" width="8" style="211" bestFit="1" customWidth="1"/>
    <col min="299" max="512" width="11.453125" style="211"/>
    <col min="513" max="513" width="91.54296875" style="211" bestFit="1" customWidth="1"/>
    <col min="514" max="514" width="10.54296875" style="211" customWidth="1"/>
    <col min="515" max="521" width="8.54296875" style="211" bestFit="1" customWidth="1"/>
    <col min="522" max="522" width="8.90625" style="211" bestFit="1" customWidth="1"/>
    <col min="523" max="523" width="9.36328125" style="211" bestFit="1" customWidth="1"/>
    <col min="524" max="524" width="9.36328125" style="211" customWidth="1"/>
    <col min="525" max="529" width="9.36328125" style="211" bestFit="1" customWidth="1"/>
    <col min="530" max="532" width="8.90625" style="211" bestFit="1" customWidth="1"/>
    <col min="533" max="535" width="9.36328125" style="211" bestFit="1" customWidth="1"/>
    <col min="536" max="536" width="8.6328125" style="211" customWidth="1"/>
    <col min="537" max="538" width="8.90625" style="211" bestFit="1" customWidth="1"/>
    <col min="539" max="540" width="8.54296875" style="211" bestFit="1" customWidth="1"/>
    <col min="541" max="541" width="6.90625" style="211" bestFit="1" customWidth="1"/>
    <col min="542" max="543" width="10.453125" style="211" bestFit="1" customWidth="1"/>
    <col min="544" max="544" width="8.08984375" style="211" customWidth="1"/>
    <col min="545" max="548" width="10.453125" style="211" bestFit="1" customWidth="1"/>
    <col min="549" max="550" width="7.08984375" style="211" bestFit="1" customWidth="1"/>
    <col min="551" max="552" width="7.54296875" style="211" bestFit="1" customWidth="1"/>
    <col min="553" max="554" width="8" style="211" bestFit="1" customWidth="1"/>
    <col min="555" max="768" width="11.453125" style="211"/>
    <col min="769" max="769" width="91.54296875" style="211" bestFit="1" customWidth="1"/>
    <col min="770" max="770" width="10.54296875" style="211" customWidth="1"/>
    <col min="771" max="777" width="8.54296875" style="211" bestFit="1" customWidth="1"/>
    <col min="778" max="778" width="8.90625" style="211" bestFit="1" customWidth="1"/>
    <col min="779" max="779" width="9.36328125" style="211" bestFit="1" customWidth="1"/>
    <col min="780" max="780" width="9.36328125" style="211" customWidth="1"/>
    <col min="781" max="785" width="9.36328125" style="211" bestFit="1" customWidth="1"/>
    <col min="786" max="788" width="8.90625" style="211" bestFit="1" customWidth="1"/>
    <col min="789" max="791" width="9.36328125" style="211" bestFit="1" customWidth="1"/>
    <col min="792" max="792" width="8.6328125" style="211" customWidth="1"/>
    <col min="793" max="794" width="8.90625" style="211" bestFit="1" customWidth="1"/>
    <col min="795" max="796" width="8.54296875" style="211" bestFit="1" customWidth="1"/>
    <col min="797" max="797" width="6.90625" style="211" bestFit="1" customWidth="1"/>
    <col min="798" max="799" width="10.453125" style="211" bestFit="1" customWidth="1"/>
    <col min="800" max="800" width="8.08984375" style="211" customWidth="1"/>
    <col min="801" max="804" width="10.453125" style="211" bestFit="1" customWidth="1"/>
    <col min="805" max="806" width="7.08984375" style="211" bestFit="1" customWidth="1"/>
    <col min="807" max="808" width="7.54296875" style="211" bestFit="1" customWidth="1"/>
    <col min="809" max="810" width="8" style="211" bestFit="1" customWidth="1"/>
    <col min="811" max="1024" width="11.453125" style="211"/>
    <col min="1025" max="1025" width="91.54296875" style="211" bestFit="1" customWidth="1"/>
    <col min="1026" max="1026" width="10.54296875" style="211" customWidth="1"/>
    <col min="1027" max="1033" width="8.54296875" style="211" bestFit="1" customWidth="1"/>
    <col min="1034" max="1034" width="8.90625" style="211" bestFit="1" customWidth="1"/>
    <col min="1035" max="1035" width="9.36328125" style="211" bestFit="1" customWidth="1"/>
    <col min="1036" max="1036" width="9.36328125" style="211" customWidth="1"/>
    <col min="1037" max="1041" width="9.36328125" style="211" bestFit="1" customWidth="1"/>
    <col min="1042" max="1044" width="8.90625" style="211" bestFit="1" customWidth="1"/>
    <col min="1045" max="1047" width="9.36328125" style="211" bestFit="1" customWidth="1"/>
    <col min="1048" max="1048" width="8.6328125" style="211" customWidth="1"/>
    <col min="1049" max="1050" width="8.90625" style="211" bestFit="1" customWidth="1"/>
    <col min="1051" max="1052" width="8.54296875" style="211" bestFit="1" customWidth="1"/>
    <col min="1053" max="1053" width="6.90625" style="211" bestFit="1" customWidth="1"/>
    <col min="1054" max="1055" width="10.453125" style="211" bestFit="1" customWidth="1"/>
    <col min="1056" max="1056" width="8.08984375" style="211" customWidth="1"/>
    <col min="1057" max="1060" width="10.453125" style="211" bestFit="1" customWidth="1"/>
    <col min="1061" max="1062" width="7.08984375" style="211" bestFit="1" customWidth="1"/>
    <col min="1063" max="1064" width="7.54296875" style="211" bestFit="1" customWidth="1"/>
    <col min="1065" max="1066" width="8" style="211" bestFit="1" customWidth="1"/>
    <col min="1067" max="1280" width="11.453125" style="211"/>
    <col min="1281" max="1281" width="91.54296875" style="211" bestFit="1" customWidth="1"/>
    <col min="1282" max="1282" width="10.54296875" style="211" customWidth="1"/>
    <col min="1283" max="1289" width="8.54296875" style="211" bestFit="1" customWidth="1"/>
    <col min="1290" max="1290" width="8.90625" style="211" bestFit="1" customWidth="1"/>
    <col min="1291" max="1291" width="9.36328125" style="211" bestFit="1" customWidth="1"/>
    <col min="1292" max="1292" width="9.36328125" style="211" customWidth="1"/>
    <col min="1293" max="1297" width="9.36328125" style="211" bestFit="1" customWidth="1"/>
    <col min="1298" max="1300" width="8.90625" style="211" bestFit="1" customWidth="1"/>
    <col min="1301" max="1303" width="9.36328125" style="211" bestFit="1" customWidth="1"/>
    <col min="1304" max="1304" width="8.6328125" style="211" customWidth="1"/>
    <col min="1305" max="1306" width="8.90625" style="211" bestFit="1" customWidth="1"/>
    <col min="1307" max="1308" width="8.54296875" style="211" bestFit="1" customWidth="1"/>
    <col min="1309" max="1309" width="6.90625" style="211" bestFit="1" customWidth="1"/>
    <col min="1310" max="1311" width="10.453125" style="211" bestFit="1" customWidth="1"/>
    <col min="1312" max="1312" width="8.08984375" style="211" customWidth="1"/>
    <col min="1313" max="1316" width="10.453125" style="211" bestFit="1" customWidth="1"/>
    <col min="1317" max="1318" width="7.08984375" style="211" bestFit="1" customWidth="1"/>
    <col min="1319" max="1320" width="7.54296875" style="211" bestFit="1" customWidth="1"/>
    <col min="1321" max="1322" width="8" style="211" bestFit="1" customWidth="1"/>
    <col min="1323" max="1536" width="11.453125" style="211"/>
    <col min="1537" max="1537" width="91.54296875" style="211" bestFit="1" customWidth="1"/>
    <col min="1538" max="1538" width="10.54296875" style="211" customWidth="1"/>
    <col min="1539" max="1545" width="8.54296875" style="211" bestFit="1" customWidth="1"/>
    <col min="1546" max="1546" width="8.90625" style="211" bestFit="1" customWidth="1"/>
    <col min="1547" max="1547" width="9.36328125" style="211" bestFit="1" customWidth="1"/>
    <col min="1548" max="1548" width="9.36328125" style="211" customWidth="1"/>
    <col min="1549" max="1553" width="9.36328125" style="211" bestFit="1" customWidth="1"/>
    <col min="1554" max="1556" width="8.90625" style="211" bestFit="1" customWidth="1"/>
    <col min="1557" max="1559" width="9.36328125" style="211" bestFit="1" customWidth="1"/>
    <col min="1560" max="1560" width="8.6328125" style="211" customWidth="1"/>
    <col min="1561" max="1562" width="8.90625" style="211" bestFit="1" customWidth="1"/>
    <col min="1563" max="1564" width="8.54296875" style="211" bestFit="1" customWidth="1"/>
    <col min="1565" max="1565" width="6.90625" style="211" bestFit="1" customWidth="1"/>
    <col min="1566" max="1567" width="10.453125" style="211" bestFit="1" customWidth="1"/>
    <col min="1568" max="1568" width="8.08984375" style="211" customWidth="1"/>
    <col min="1569" max="1572" width="10.453125" style="211" bestFit="1" customWidth="1"/>
    <col min="1573" max="1574" width="7.08984375" style="211" bestFit="1" customWidth="1"/>
    <col min="1575" max="1576" width="7.54296875" style="211" bestFit="1" customWidth="1"/>
    <col min="1577" max="1578" width="8" style="211" bestFit="1" customWidth="1"/>
    <col min="1579" max="1792" width="11.453125" style="211"/>
    <col min="1793" max="1793" width="91.54296875" style="211" bestFit="1" customWidth="1"/>
    <col min="1794" max="1794" width="10.54296875" style="211" customWidth="1"/>
    <col min="1795" max="1801" width="8.54296875" style="211" bestFit="1" customWidth="1"/>
    <col min="1802" max="1802" width="8.90625" style="211" bestFit="1" customWidth="1"/>
    <col min="1803" max="1803" width="9.36328125" style="211" bestFit="1" customWidth="1"/>
    <col min="1804" max="1804" width="9.36328125" style="211" customWidth="1"/>
    <col min="1805" max="1809" width="9.36328125" style="211" bestFit="1" customWidth="1"/>
    <col min="1810" max="1812" width="8.90625" style="211" bestFit="1" customWidth="1"/>
    <col min="1813" max="1815" width="9.36328125" style="211" bestFit="1" customWidth="1"/>
    <col min="1816" max="1816" width="8.6328125" style="211" customWidth="1"/>
    <col min="1817" max="1818" width="8.90625" style="211" bestFit="1" customWidth="1"/>
    <col min="1819" max="1820" width="8.54296875" style="211" bestFit="1" customWidth="1"/>
    <col min="1821" max="1821" width="6.90625" style="211" bestFit="1" customWidth="1"/>
    <col min="1822" max="1823" width="10.453125" style="211" bestFit="1" customWidth="1"/>
    <col min="1824" max="1824" width="8.08984375" style="211" customWidth="1"/>
    <col min="1825" max="1828" width="10.453125" style="211" bestFit="1" customWidth="1"/>
    <col min="1829" max="1830" width="7.08984375" style="211" bestFit="1" customWidth="1"/>
    <col min="1831" max="1832" width="7.54296875" style="211" bestFit="1" customWidth="1"/>
    <col min="1833" max="1834" width="8" style="211" bestFit="1" customWidth="1"/>
    <col min="1835" max="2048" width="11.453125" style="211"/>
    <col min="2049" max="2049" width="91.54296875" style="211" bestFit="1" customWidth="1"/>
    <col min="2050" max="2050" width="10.54296875" style="211" customWidth="1"/>
    <col min="2051" max="2057" width="8.54296875" style="211" bestFit="1" customWidth="1"/>
    <col min="2058" max="2058" width="8.90625" style="211" bestFit="1" customWidth="1"/>
    <col min="2059" max="2059" width="9.36328125" style="211" bestFit="1" customWidth="1"/>
    <col min="2060" max="2060" width="9.36328125" style="211" customWidth="1"/>
    <col min="2061" max="2065" width="9.36328125" style="211" bestFit="1" customWidth="1"/>
    <col min="2066" max="2068" width="8.90625" style="211" bestFit="1" customWidth="1"/>
    <col min="2069" max="2071" width="9.36328125" style="211" bestFit="1" customWidth="1"/>
    <col min="2072" max="2072" width="8.6328125" style="211" customWidth="1"/>
    <col min="2073" max="2074" width="8.90625" style="211" bestFit="1" customWidth="1"/>
    <col min="2075" max="2076" width="8.54296875" style="211" bestFit="1" customWidth="1"/>
    <col min="2077" max="2077" width="6.90625" style="211" bestFit="1" customWidth="1"/>
    <col min="2078" max="2079" width="10.453125" style="211" bestFit="1" customWidth="1"/>
    <col min="2080" max="2080" width="8.08984375" style="211" customWidth="1"/>
    <col min="2081" max="2084" width="10.453125" style="211" bestFit="1" customWidth="1"/>
    <col min="2085" max="2086" width="7.08984375" style="211" bestFit="1" customWidth="1"/>
    <col min="2087" max="2088" width="7.54296875" style="211" bestFit="1" customWidth="1"/>
    <col min="2089" max="2090" width="8" style="211" bestFit="1" customWidth="1"/>
    <col min="2091" max="2304" width="11.453125" style="211"/>
    <col min="2305" max="2305" width="91.54296875" style="211" bestFit="1" customWidth="1"/>
    <col min="2306" max="2306" width="10.54296875" style="211" customWidth="1"/>
    <col min="2307" max="2313" width="8.54296875" style="211" bestFit="1" customWidth="1"/>
    <col min="2314" max="2314" width="8.90625" style="211" bestFit="1" customWidth="1"/>
    <col min="2315" max="2315" width="9.36328125" style="211" bestFit="1" customWidth="1"/>
    <col min="2316" max="2316" width="9.36328125" style="211" customWidth="1"/>
    <col min="2317" max="2321" width="9.36328125" style="211" bestFit="1" customWidth="1"/>
    <col min="2322" max="2324" width="8.90625" style="211" bestFit="1" customWidth="1"/>
    <col min="2325" max="2327" width="9.36328125" style="211" bestFit="1" customWidth="1"/>
    <col min="2328" max="2328" width="8.6328125" style="211" customWidth="1"/>
    <col min="2329" max="2330" width="8.90625" style="211" bestFit="1" customWidth="1"/>
    <col min="2331" max="2332" width="8.54296875" style="211" bestFit="1" customWidth="1"/>
    <col min="2333" max="2333" width="6.90625" style="211" bestFit="1" customWidth="1"/>
    <col min="2334" max="2335" width="10.453125" style="211" bestFit="1" customWidth="1"/>
    <col min="2336" max="2336" width="8.08984375" style="211" customWidth="1"/>
    <col min="2337" max="2340" width="10.453125" style="211" bestFit="1" customWidth="1"/>
    <col min="2341" max="2342" width="7.08984375" style="211" bestFit="1" customWidth="1"/>
    <col min="2343" max="2344" width="7.54296875" style="211" bestFit="1" customWidth="1"/>
    <col min="2345" max="2346" width="8" style="211" bestFit="1" customWidth="1"/>
    <col min="2347" max="2560" width="11.453125" style="211"/>
    <col min="2561" max="2561" width="91.54296875" style="211" bestFit="1" customWidth="1"/>
    <col min="2562" max="2562" width="10.54296875" style="211" customWidth="1"/>
    <col min="2563" max="2569" width="8.54296875" style="211" bestFit="1" customWidth="1"/>
    <col min="2570" max="2570" width="8.90625" style="211" bestFit="1" customWidth="1"/>
    <col min="2571" max="2571" width="9.36328125" style="211" bestFit="1" customWidth="1"/>
    <col min="2572" max="2572" width="9.36328125" style="211" customWidth="1"/>
    <col min="2573" max="2577" width="9.36328125" style="211" bestFit="1" customWidth="1"/>
    <col min="2578" max="2580" width="8.90625" style="211" bestFit="1" customWidth="1"/>
    <col min="2581" max="2583" width="9.36328125" style="211" bestFit="1" customWidth="1"/>
    <col min="2584" max="2584" width="8.6328125" style="211" customWidth="1"/>
    <col min="2585" max="2586" width="8.90625" style="211" bestFit="1" customWidth="1"/>
    <col min="2587" max="2588" width="8.54296875" style="211" bestFit="1" customWidth="1"/>
    <col min="2589" max="2589" width="6.90625" style="211" bestFit="1" customWidth="1"/>
    <col min="2590" max="2591" width="10.453125" style="211" bestFit="1" customWidth="1"/>
    <col min="2592" max="2592" width="8.08984375" style="211" customWidth="1"/>
    <col min="2593" max="2596" width="10.453125" style="211" bestFit="1" customWidth="1"/>
    <col min="2597" max="2598" width="7.08984375" style="211" bestFit="1" customWidth="1"/>
    <col min="2599" max="2600" width="7.54296875" style="211" bestFit="1" customWidth="1"/>
    <col min="2601" max="2602" width="8" style="211" bestFit="1" customWidth="1"/>
    <col min="2603" max="2816" width="11.453125" style="211"/>
    <col min="2817" max="2817" width="91.54296875" style="211" bestFit="1" customWidth="1"/>
    <col min="2818" max="2818" width="10.54296875" style="211" customWidth="1"/>
    <col min="2819" max="2825" width="8.54296875" style="211" bestFit="1" customWidth="1"/>
    <col min="2826" max="2826" width="8.90625" style="211" bestFit="1" customWidth="1"/>
    <col min="2827" max="2827" width="9.36328125" style="211" bestFit="1" customWidth="1"/>
    <col min="2828" max="2828" width="9.36328125" style="211" customWidth="1"/>
    <col min="2829" max="2833" width="9.36328125" style="211" bestFit="1" customWidth="1"/>
    <col min="2834" max="2836" width="8.90625" style="211" bestFit="1" customWidth="1"/>
    <col min="2837" max="2839" width="9.36328125" style="211" bestFit="1" customWidth="1"/>
    <col min="2840" max="2840" width="8.6328125" style="211" customWidth="1"/>
    <col min="2841" max="2842" width="8.90625" style="211" bestFit="1" customWidth="1"/>
    <col min="2843" max="2844" width="8.54296875" style="211" bestFit="1" customWidth="1"/>
    <col min="2845" max="2845" width="6.90625" style="211" bestFit="1" customWidth="1"/>
    <col min="2846" max="2847" width="10.453125" style="211" bestFit="1" customWidth="1"/>
    <col min="2848" max="2848" width="8.08984375" style="211" customWidth="1"/>
    <col min="2849" max="2852" width="10.453125" style="211" bestFit="1" customWidth="1"/>
    <col min="2853" max="2854" width="7.08984375" style="211" bestFit="1" customWidth="1"/>
    <col min="2855" max="2856" width="7.54296875" style="211" bestFit="1" customWidth="1"/>
    <col min="2857" max="2858" width="8" style="211" bestFit="1" customWidth="1"/>
    <col min="2859" max="3072" width="11.453125" style="211"/>
    <col min="3073" max="3073" width="91.54296875" style="211" bestFit="1" customWidth="1"/>
    <col min="3074" max="3074" width="10.54296875" style="211" customWidth="1"/>
    <col min="3075" max="3081" width="8.54296875" style="211" bestFit="1" customWidth="1"/>
    <col min="3082" max="3082" width="8.90625" style="211" bestFit="1" customWidth="1"/>
    <col min="3083" max="3083" width="9.36328125" style="211" bestFit="1" customWidth="1"/>
    <col min="3084" max="3084" width="9.36328125" style="211" customWidth="1"/>
    <col min="3085" max="3089" width="9.36328125" style="211" bestFit="1" customWidth="1"/>
    <col min="3090" max="3092" width="8.90625" style="211" bestFit="1" customWidth="1"/>
    <col min="3093" max="3095" width="9.36328125" style="211" bestFit="1" customWidth="1"/>
    <col min="3096" max="3096" width="8.6328125" style="211" customWidth="1"/>
    <col min="3097" max="3098" width="8.90625" style="211" bestFit="1" customWidth="1"/>
    <col min="3099" max="3100" width="8.54296875" style="211" bestFit="1" customWidth="1"/>
    <col min="3101" max="3101" width="6.90625" style="211" bestFit="1" customWidth="1"/>
    <col min="3102" max="3103" width="10.453125" style="211" bestFit="1" customWidth="1"/>
    <col min="3104" max="3104" width="8.08984375" style="211" customWidth="1"/>
    <col min="3105" max="3108" width="10.453125" style="211" bestFit="1" customWidth="1"/>
    <col min="3109" max="3110" width="7.08984375" style="211" bestFit="1" customWidth="1"/>
    <col min="3111" max="3112" width="7.54296875" style="211" bestFit="1" customWidth="1"/>
    <col min="3113" max="3114" width="8" style="211" bestFit="1" customWidth="1"/>
    <col min="3115" max="3328" width="11.453125" style="211"/>
    <col min="3329" max="3329" width="91.54296875" style="211" bestFit="1" customWidth="1"/>
    <col min="3330" max="3330" width="10.54296875" style="211" customWidth="1"/>
    <col min="3331" max="3337" width="8.54296875" style="211" bestFit="1" customWidth="1"/>
    <col min="3338" max="3338" width="8.90625" style="211" bestFit="1" customWidth="1"/>
    <col min="3339" max="3339" width="9.36328125" style="211" bestFit="1" customWidth="1"/>
    <col min="3340" max="3340" width="9.36328125" style="211" customWidth="1"/>
    <col min="3341" max="3345" width="9.36328125" style="211" bestFit="1" customWidth="1"/>
    <col min="3346" max="3348" width="8.90625" style="211" bestFit="1" customWidth="1"/>
    <col min="3349" max="3351" width="9.36328125" style="211" bestFit="1" customWidth="1"/>
    <col min="3352" max="3352" width="8.6328125" style="211" customWidth="1"/>
    <col min="3353" max="3354" width="8.90625" style="211" bestFit="1" customWidth="1"/>
    <col min="3355" max="3356" width="8.54296875" style="211" bestFit="1" customWidth="1"/>
    <col min="3357" max="3357" width="6.90625" style="211" bestFit="1" customWidth="1"/>
    <col min="3358" max="3359" width="10.453125" style="211" bestFit="1" customWidth="1"/>
    <col min="3360" max="3360" width="8.08984375" style="211" customWidth="1"/>
    <col min="3361" max="3364" width="10.453125" style="211" bestFit="1" customWidth="1"/>
    <col min="3365" max="3366" width="7.08984375" style="211" bestFit="1" customWidth="1"/>
    <col min="3367" max="3368" width="7.54296875" style="211" bestFit="1" customWidth="1"/>
    <col min="3369" max="3370" width="8" style="211" bestFit="1" customWidth="1"/>
    <col min="3371" max="3584" width="11.453125" style="211"/>
    <col min="3585" max="3585" width="91.54296875" style="211" bestFit="1" customWidth="1"/>
    <col min="3586" max="3586" width="10.54296875" style="211" customWidth="1"/>
    <col min="3587" max="3593" width="8.54296875" style="211" bestFit="1" customWidth="1"/>
    <col min="3594" max="3594" width="8.90625" style="211" bestFit="1" customWidth="1"/>
    <col min="3595" max="3595" width="9.36328125" style="211" bestFit="1" customWidth="1"/>
    <col min="3596" max="3596" width="9.36328125" style="211" customWidth="1"/>
    <col min="3597" max="3601" width="9.36328125" style="211" bestFit="1" customWidth="1"/>
    <col min="3602" max="3604" width="8.90625" style="211" bestFit="1" customWidth="1"/>
    <col min="3605" max="3607" width="9.36328125" style="211" bestFit="1" customWidth="1"/>
    <col min="3608" max="3608" width="8.6328125" style="211" customWidth="1"/>
    <col min="3609" max="3610" width="8.90625" style="211" bestFit="1" customWidth="1"/>
    <col min="3611" max="3612" width="8.54296875" style="211" bestFit="1" customWidth="1"/>
    <col min="3613" max="3613" width="6.90625" style="211" bestFit="1" customWidth="1"/>
    <col min="3614" max="3615" width="10.453125" style="211" bestFit="1" customWidth="1"/>
    <col min="3616" max="3616" width="8.08984375" style="211" customWidth="1"/>
    <col min="3617" max="3620" width="10.453125" style="211" bestFit="1" customWidth="1"/>
    <col min="3621" max="3622" width="7.08984375" style="211" bestFit="1" customWidth="1"/>
    <col min="3623" max="3624" width="7.54296875" style="211" bestFit="1" customWidth="1"/>
    <col min="3625" max="3626" width="8" style="211" bestFit="1" customWidth="1"/>
    <col min="3627" max="3840" width="11.453125" style="211"/>
    <col min="3841" max="3841" width="91.54296875" style="211" bestFit="1" customWidth="1"/>
    <col min="3842" max="3842" width="10.54296875" style="211" customWidth="1"/>
    <col min="3843" max="3849" width="8.54296875" style="211" bestFit="1" customWidth="1"/>
    <col min="3850" max="3850" width="8.90625" style="211" bestFit="1" customWidth="1"/>
    <col min="3851" max="3851" width="9.36328125" style="211" bestFit="1" customWidth="1"/>
    <col min="3852" max="3852" width="9.36328125" style="211" customWidth="1"/>
    <col min="3853" max="3857" width="9.36328125" style="211" bestFit="1" customWidth="1"/>
    <col min="3858" max="3860" width="8.90625" style="211" bestFit="1" customWidth="1"/>
    <col min="3861" max="3863" width="9.36328125" style="211" bestFit="1" customWidth="1"/>
    <col min="3864" max="3864" width="8.6328125" style="211" customWidth="1"/>
    <col min="3865" max="3866" width="8.90625" style="211" bestFit="1" customWidth="1"/>
    <col min="3867" max="3868" width="8.54296875" style="211" bestFit="1" customWidth="1"/>
    <col min="3869" max="3869" width="6.90625" style="211" bestFit="1" customWidth="1"/>
    <col min="3870" max="3871" width="10.453125" style="211" bestFit="1" customWidth="1"/>
    <col min="3872" max="3872" width="8.08984375" style="211" customWidth="1"/>
    <col min="3873" max="3876" width="10.453125" style="211" bestFit="1" customWidth="1"/>
    <col min="3877" max="3878" width="7.08984375" style="211" bestFit="1" customWidth="1"/>
    <col min="3879" max="3880" width="7.54296875" style="211" bestFit="1" customWidth="1"/>
    <col min="3881" max="3882" width="8" style="211" bestFit="1" customWidth="1"/>
    <col min="3883" max="4096" width="11.453125" style="211"/>
    <col min="4097" max="4097" width="91.54296875" style="211" bestFit="1" customWidth="1"/>
    <col min="4098" max="4098" width="10.54296875" style="211" customWidth="1"/>
    <col min="4099" max="4105" width="8.54296875" style="211" bestFit="1" customWidth="1"/>
    <col min="4106" max="4106" width="8.90625" style="211" bestFit="1" customWidth="1"/>
    <col min="4107" max="4107" width="9.36328125" style="211" bestFit="1" customWidth="1"/>
    <col min="4108" max="4108" width="9.36328125" style="211" customWidth="1"/>
    <col min="4109" max="4113" width="9.36328125" style="211" bestFit="1" customWidth="1"/>
    <col min="4114" max="4116" width="8.90625" style="211" bestFit="1" customWidth="1"/>
    <col min="4117" max="4119" width="9.36328125" style="211" bestFit="1" customWidth="1"/>
    <col min="4120" max="4120" width="8.6328125" style="211" customWidth="1"/>
    <col min="4121" max="4122" width="8.90625" style="211" bestFit="1" customWidth="1"/>
    <col min="4123" max="4124" width="8.54296875" style="211" bestFit="1" customWidth="1"/>
    <col min="4125" max="4125" width="6.90625" style="211" bestFit="1" customWidth="1"/>
    <col min="4126" max="4127" width="10.453125" style="211" bestFit="1" customWidth="1"/>
    <col min="4128" max="4128" width="8.08984375" style="211" customWidth="1"/>
    <col min="4129" max="4132" width="10.453125" style="211" bestFit="1" customWidth="1"/>
    <col min="4133" max="4134" width="7.08984375" style="211" bestFit="1" customWidth="1"/>
    <col min="4135" max="4136" width="7.54296875" style="211" bestFit="1" customWidth="1"/>
    <col min="4137" max="4138" width="8" style="211" bestFit="1" customWidth="1"/>
    <col min="4139" max="4352" width="11.453125" style="211"/>
    <col min="4353" max="4353" width="91.54296875" style="211" bestFit="1" customWidth="1"/>
    <col min="4354" max="4354" width="10.54296875" style="211" customWidth="1"/>
    <col min="4355" max="4361" width="8.54296875" style="211" bestFit="1" customWidth="1"/>
    <col min="4362" max="4362" width="8.90625" style="211" bestFit="1" customWidth="1"/>
    <col min="4363" max="4363" width="9.36328125" style="211" bestFit="1" customWidth="1"/>
    <col min="4364" max="4364" width="9.36328125" style="211" customWidth="1"/>
    <col min="4365" max="4369" width="9.36328125" style="211" bestFit="1" customWidth="1"/>
    <col min="4370" max="4372" width="8.90625" style="211" bestFit="1" customWidth="1"/>
    <col min="4373" max="4375" width="9.36328125" style="211" bestFit="1" customWidth="1"/>
    <col min="4376" max="4376" width="8.6328125" style="211" customWidth="1"/>
    <col min="4377" max="4378" width="8.90625" style="211" bestFit="1" customWidth="1"/>
    <col min="4379" max="4380" width="8.54296875" style="211" bestFit="1" customWidth="1"/>
    <col min="4381" max="4381" width="6.90625" style="211" bestFit="1" customWidth="1"/>
    <col min="4382" max="4383" width="10.453125" style="211" bestFit="1" customWidth="1"/>
    <col min="4384" max="4384" width="8.08984375" style="211" customWidth="1"/>
    <col min="4385" max="4388" width="10.453125" style="211" bestFit="1" customWidth="1"/>
    <col min="4389" max="4390" width="7.08984375" style="211" bestFit="1" customWidth="1"/>
    <col min="4391" max="4392" width="7.54296875" style="211" bestFit="1" customWidth="1"/>
    <col min="4393" max="4394" width="8" style="211" bestFit="1" customWidth="1"/>
    <col min="4395" max="4608" width="11.453125" style="211"/>
    <col min="4609" max="4609" width="91.54296875" style="211" bestFit="1" customWidth="1"/>
    <col min="4610" max="4610" width="10.54296875" style="211" customWidth="1"/>
    <col min="4611" max="4617" width="8.54296875" style="211" bestFit="1" customWidth="1"/>
    <col min="4618" max="4618" width="8.90625" style="211" bestFit="1" customWidth="1"/>
    <col min="4619" max="4619" width="9.36328125" style="211" bestFit="1" customWidth="1"/>
    <col min="4620" max="4620" width="9.36328125" style="211" customWidth="1"/>
    <col min="4621" max="4625" width="9.36328125" style="211" bestFit="1" customWidth="1"/>
    <col min="4626" max="4628" width="8.90625" style="211" bestFit="1" customWidth="1"/>
    <col min="4629" max="4631" width="9.36328125" style="211" bestFit="1" customWidth="1"/>
    <col min="4632" max="4632" width="8.6328125" style="211" customWidth="1"/>
    <col min="4633" max="4634" width="8.90625" style="211" bestFit="1" customWidth="1"/>
    <col min="4635" max="4636" width="8.54296875" style="211" bestFit="1" customWidth="1"/>
    <col min="4637" max="4637" width="6.90625" style="211" bestFit="1" customWidth="1"/>
    <col min="4638" max="4639" width="10.453125" style="211" bestFit="1" customWidth="1"/>
    <col min="4640" max="4640" width="8.08984375" style="211" customWidth="1"/>
    <col min="4641" max="4644" width="10.453125" style="211" bestFit="1" customWidth="1"/>
    <col min="4645" max="4646" width="7.08984375" style="211" bestFit="1" customWidth="1"/>
    <col min="4647" max="4648" width="7.54296875" style="211" bestFit="1" customWidth="1"/>
    <col min="4649" max="4650" width="8" style="211" bestFit="1" customWidth="1"/>
    <col min="4651" max="4864" width="11.453125" style="211"/>
    <col min="4865" max="4865" width="91.54296875" style="211" bestFit="1" customWidth="1"/>
    <col min="4866" max="4866" width="10.54296875" style="211" customWidth="1"/>
    <col min="4867" max="4873" width="8.54296875" style="211" bestFit="1" customWidth="1"/>
    <col min="4874" max="4874" width="8.90625" style="211" bestFit="1" customWidth="1"/>
    <col min="4875" max="4875" width="9.36328125" style="211" bestFit="1" customWidth="1"/>
    <col min="4876" max="4876" width="9.36328125" style="211" customWidth="1"/>
    <col min="4877" max="4881" width="9.36328125" style="211" bestFit="1" customWidth="1"/>
    <col min="4882" max="4884" width="8.90625" style="211" bestFit="1" customWidth="1"/>
    <col min="4885" max="4887" width="9.36328125" style="211" bestFit="1" customWidth="1"/>
    <col min="4888" max="4888" width="8.6328125" style="211" customWidth="1"/>
    <col min="4889" max="4890" width="8.90625" style="211" bestFit="1" customWidth="1"/>
    <col min="4891" max="4892" width="8.54296875" style="211" bestFit="1" customWidth="1"/>
    <col min="4893" max="4893" width="6.90625" style="211" bestFit="1" customWidth="1"/>
    <col min="4894" max="4895" width="10.453125" style="211" bestFit="1" customWidth="1"/>
    <col min="4896" max="4896" width="8.08984375" style="211" customWidth="1"/>
    <col min="4897" max="4900" width="10.453125" style="211" bestFit="1" customWidth="1"/>
    <col min="4901" max="4902" width="7.08984375" style="211" bestFit="1" customWidth="1"/>
    <col min="4903" max="4904" width="7.54296875" style="211" bestFit="1" customWidth="1"/>
    <col min="4905" max="4906" width="8" style="211" bestFit="1" customWidth="1"/>
    <col min="4907" max="5120" width="11.453125" style="211"/>
    <col min="5121" max="5121" width="91.54296875" style="211" bestFit="1" customWidth="1"/>
    <col min="5122" max="5122" width="10.54296875" style="211" customWidth="1"/>
    <col min="5123" max="5129" width="8.54296875" style="211" bestFit="1" customWidth="1"/>
    <col min="5130" max="5130" width="8.90625" style="211" bestFit="1" customWidth="1"/>
    <col min="5131" max="5131" width="9.36328125" style="211" bestFit="1" customWidth="1"/>
    <col min="5132" max="5132" width="9.36328125" style="211" customWidth="1"/>
    <col min="5133" max="5137" width="9.36328125" style="211" bestFit="1" customWidth="1"/>
    <col min="5138" max="5140" width="8.90625" style="211" bestFit="1" customWidth="1"/>
    <col min="5141" max="5143" width="9.36328125" style="211" bestFit="1" customWidth="1"/>
    <col min="5144" max="5144" width="8.6328125" style="211" customWidth="1"/>
    <col min="5145" max="5146" width="8.90625" style="211" bestFit="1" customWidth="1"/>
    <col min="5147" max="5148" width="8.54296875" style="211" bestFit="1" customWidth="1"/>
    <col min="5149" max="5149" width="6.90625" style="211" bestFit="1" customWidth="1"/>
    <col min="5150" max="5151" width="10.453125" style="211" bestFit="1" customWidth="1"/>
    <col min="5152" max="5152" width="8.08984375" style="211" customWidth="1"/>
    <col min="5153" max="5156" width="10.453125" style="211" bestFit="1" customWidth="1"/>
    <col min="5157" max="5158" width="7.08984375" style="211" bestFit="1" customWidth="1"/>
    <col min="5159" max="5160" width="7.54296875" style="211" bestFit="1" customWidth="1"/>
    <col min="5161" max="5162" width="8" style="211" bestFit="1" customWidth="1"/>
    <col min="5163" max="5376" width="11.453125" style="211"/>
    <col min="5377" max="5377" width="91.54296875" style="211" bestFit="1" customWidth="1"/>
    <col min="5378" max="5378" width="10.54296875" style="211" customWidth="1"/>
    <col min="5379" max="5385" width="8.54296875" style="211" bestFit="1" customWidth="1"/>
    <col min="5386" max="5386" width="8.90625" style="211" bestFit="1" customWidth="1"/>
    <col min="5387" max="5387" width="9.36328125" style="211" bestFit="1" customWidth="1"/>
    <col min="5388" max="5388" width="9.36328125" style="211" customWidth="1"/>
    <col min="5389" max="5393" width="9.36328125" style="211" bestFit="1" customWidth="1"/>
    <col min="5394" max="5396" width="8.90625" style="211" bestFit="1" customWidth="1"/>
    <col min="5397" max="5399" width="9.36328125" style="211" bestFit="1" customWidth="1"/>
    <col min="5400" max="5400" width="8.6328125" style="211" customWidth="1"/>
    <col min="5401" max="5402" width="8.90625" style="211" bestFit="1" customWidth="1"/>
    <col min="5403" max="5404" width="8.54296875" style="211" bestFit="1" customWidth="1"/>
    <col min="5405" max="5405" width="6.90625" style="211" bestFit="1" customWidth="1"/>
    <col min="5406" max="5407" width="10.453125" style="211" bestFit="1" customWidth="1"/>
    <col min="5408" max="5408" width="8.08984375" style="211" customWidth="1"/>
    <col min="5409" max="5412" width="10.453125" style="211" bestFit="1" customWidth="1"/>
    <col min="5413" max="5414" width="7.08984375" style="211" bestFit="1" customWidth="1"/>
    <col min="5415" max="5416" width="7.54296875" style="211" bestFit="1" customWidth="1"/>
    <col min="5417" max="5418" width="8" style="211" bestFit="1" customWidth="1"/>
    <col min="5419" max="5632" width="11.453125" style="211"/>
    <col min="5633" max="5633" width="91.54296875" style="211" bestFit="1" customWidth="1"/>
    <col min="5634" max="5634" width="10.54296875" style="211" customWidth="1"/>
    <col min="5635" max="5641" width="8.54296875" style="211" bestFit="1" customWidth="1"/>
    <col min="5642" max="5642" width="8.90625" style="211" bestFit="1" customWidth="1"/>
    <col min="5643" max="5643" width="9.36328125" style="211" bestFit="1" customWidth="1"/>
    <col min="5644" max="5644" width="9.36328125" style="211" customWidth="1"/>
    <col min="5645" max="5649" width="9.36328125" style="211" bestFit="1" customWidth="1"/>
    <col min="5650" max="5652" width="8.90625" style="211" bestFit="1" customWidth="1"/>
    <col min="5653" max="5655" width="9.36328125" style="211" bestFit="1" customWidth="1"/>
    <col min="5656" max="5656" width="8.6328125" style="211" customWidth="1"/>
    <col min="5657" max="5658" width="8.90625" style="211" bestFit="1" customWidth="1"/>
    <col min="5659" max="5660" width="8.54296875" style="211" bestFit="1" customWidth="1"/>
    <col min="5661" max="5661" width="6.90625" style="211" bestFit="1" customWidth="1"/>
    <col min="5662" max="5663" width="10.453125" style="211" bestFit="1" customWidth="1"/>
    <col min="5664" max="5664" width="8.08984375" style="211" customWidth="1"/>
    <col min="5665" max="5668" width="10.453125" style="211" bestFit="1" customWidth="1"/>
    <col min="5669" max="5670" width="7.08984375" style="211" bestFit="1" customWidth="1"/>
    <col min="5671" max="5672" width="7.54296875" style="211" bestFit="1" customWidth="1"/>
    <col min="5673" max="5674" width="8" style="211" bestFit="1" customWidth="1"/>
    <col min="5675" max="5888" width="11.453125" style="211"/>
    <col min="5889" max="5889" width="91.54296875" style="211" bestFit="1" customWidth="1"/>
    <col min="5890" max="5890" width="10.54296875" style="211" customWidth="1"/>
    <col min="5891" max="5897" width="8.54296875" style="211" bestFit="1" customWidth="1"/>
    <col min="5898" max="5898" width="8.90625" style="211" bestFit="1" customWidth="1"/>
    <col min="5899" max="5899" width="9.36328125" style="211" bestFit="1" customWidth="1"/>
    <col min="5900" max="5900" width="9.36328125" style="211" customWidth="1"/>
    <col min="5901" max="5905" width="9.36328125" style="211" bestFit="1" customWidth="1"/>
    <col min="5906" max="5908" width="8.90625" style="211" bestFit="1" customWidth="1"/>
    <col min="5909" max="5911" width="9.36328125" style="211" bestFit="1" customWidth="1"/>
    <col min="5912" max="5912" width="8.6328125" style="211" customWidth="1"/>
    <col min="5913" max="5914" width="8.90625" style="211" bestFit="1" customWidth="1"/>
    <col min="5915" max="5916" width="8.54296875" style="211" bestFit="1" customWidth="1"/>
    <col min="5917" max="5917" width="6.90625" style="211" bestFit="1" customWidth="1"/>
    <col min="5918" max="5919" width="10.453125" style="211" bestFit="1" customWidth="1"/>
    <col min="5920" max="5920" width="8.08984375" style="211" customWidth="1"/>
    <col min="5921" max="5924" width="10.453125" style="211" bestFit="1" customWidth="1"/>
    <col min="5925" max="5926" width="7.08984375" style="211" bestFit="1" customWidth="1"/>
    <col min="5927" max="5928" width="7.54296875" style="211" bestFit="1" customWidth="1"/>
    <col min="5929" max="5930" width="8" style="211" bestFit="1" customWidth="1"/>
    <col min="5931" max="6144" width="11.453125" style="211"/>
    <col min="6145" max="6145" width="91.54296875" style="211" bestFit="1" customWidth="1"/>
    <col min="6146" max="6146" width="10.54296875" style="211" customWidth="1"/>
    <col min="6147" max="6153" width="8.54296875" style="211" bestFit="1" customWidth="1"/>
    <col min="6154" max="6154" width="8.90625" style="211" bestFit="1" customWidth="1"/>
    <col min="6155" max="6155" width="9.36328125" style="211" bestFit="1" customWidth="1"/>
    <col min="6156" max="6156" width="9.36328125" style="211" customWidth="1"/>
    <col min="6157" max="6161" width="9.36328125" style="211" bestFit="1" customWidth="1"/>
    <col min="6162" max="6164" width="8.90625" style="211" bestFit="1" customWidth="1"/>
    <col min="6165" max="6167" width="9.36328125" style="211" bestFit="1" customWidth="1"/>
    <col min="6168" max="6168" width="8.6328125" style="211" customWidth="1"/>
    <col min="6169" max="6170" width="8.90625" style="211" bestFit="1" customWidth="1"/>
    <col min="6171" max="6172" width="8.54296875" style="211" bestFit="1" customWidth="1"/>
    <col min="6173" max="6173" width="6.90625" style="211" bestFit="1" customWidth="1"/>
    <col min="6174" max="6175" width="10.453125" style="211" bestFit="1" customWidth="1"/>
    <col min="6176" max="6176" width="8.08984375" style="211" customWidth="1"/>
    <col min="6177" max="6180" width="10.453125" style="211" bestFit="1" customWidth="1"/>
    <col min="6181" max="6182" width="7.08984375" style="211" bestFit="1" customWidth="1"/>
    <col min="6183" max="6184" width="7.54296875" style="211" bestFit="1" customWidth="1"/>
    <col min="6185" max="6186" width="8" style="211" bestFit="1" customWidth="1"/>
    <col min="6187" max="6400" width="11.453125" style="211"/>
    <col min="6401" max="6401" width="91.54296875" style="211" bestFit="1" customWidth="1"/>
    <col min="6402" max="6402" width="10.54296875" style="211" customWidth="1"/>
    <col min="6403" max="6409" width="8.54296875" style="211" bestFit="1" customWidth="1"/>
    <col min="6410" max="6410" width="8.90625" style="211" bestFit="1" customWidth="1"/>
    <col min="6411" max="6411" width="9.36328125" style="211" bestFit="1" customWidth="1"/>
    <col min="6412" max="6412" width="9.36328125" style="211" customWidth="1"/>
    <col min="6413" max="6417" width="9.36328125" style="211" bestFit="1" customWidth="1"/>
    <col min="6418" max="6420" width="8.90625" style="211" bestFit="1" customWidth="1"/>
    <col min="6421" max="6423" width="9.36328125" style="211" bestFit="1" customWidth="1"/>
    <col min="6424" max="6424" width="8.6328125" style="211" customWidth="1"/>
    <col min="6425" max="6426" width="8.90625" style="211" bestFit="1" customWidth="1"/>
    <col min="6427" max="6428" width="8.54296875" style="211" bestFit="1" customWidth="1"/>
    <col min="6429" max="6429" width="6.90625" style="211" bestFit="1" customWidth="1"/>
    <col min="6430" max="6431" width="10.453125" style="211" bestFit="1" customWidth="1"/>
    <col min="6432" max="6432" width="8.08984375" style="211" customWidth="1"/>
    <col min="6433" max="6436" width="10.453125" style="211" bestFit="1" customWidth="1"/>
    <col min="6437" max="6438" width="7.08984375" style="211" bestFit="1" customWidth="1"/>
    <col min="6439" max="6440" width="7.54296875" style="211" bestFit="1" customWidth="1"/>
    <col min="6441" max="6442" width="8" style="211" bestFit="1" customWidth="1"/>
    <col min="6443" max="6656" width="11.453125" style="211"/>
    <col min="6657" max="6657" width="91.54296875" style="211" bestFit="1" customWidth="1"/>
    <col min="6658" max="6658" width="10.54296875" style="211" customWidth="1"/>
    <col min="6659" max="6665" width="8.54296875" style="211" bestFit="1" customWidth="1"/>
    <col min="6666" max="6666" width="8.90625" style="211" bestFit="1" customWidth="1"/>
    <col min="6667" max="6667" width="9.36328125" style="211" bestFit="1" customWidth="1"/>
    <col min="6668" max="6668" width="9.36328125" style="211" customWidth="1"/>
    <col min="6669" max="6673" width="9.36328125" style="211" bestFit="1" customWidth="1"/>
    <col min="6674" max="6676" width="8.90625" style="211" bestFit="1" customWidth="1"/>
    <col min="6677" max="6679" width="9.36328125" style="211" bestFit="1" customWidth="1"/>
    <col min="6680" max="6680" width="8.6328125" style="211" customWidth="1"/>
    <col min="6681" max="6682" width="8.90625" style="211" bestFit="1" customWidth="1"/>
    <col min="6683" max="6684" width="8.54296875" style="211" bestFit="1" customWidth="1"/>
    <col min="6685" max="6685" width="6.90625" style="211" bestFit="1" customWidth="1"/>
    <col min="6686" max="6687" width="10.453125" style="211" bestFit="1" customWidth="1"/>
    <col min="6688" max="6688" width="8.08984375" style="211" customWidth="1"/>
    <col min="6689" max="6692" width="10.453125" style="211" bestFit="1" customWidth="1"/>
    <col min="6693" max="6694" width="7.08984375" style="211" bestFit="1" customWidth="1"/>
    <col min="6695" max="6696" width="7.54296875" style="211" bestFit="1" customWidth="1"/>
    <col min="6697" max="6698" width="8" style="211" bestFit="1" customWidth="1"/>
    <col min="6699" max="6912" width="11.453125" style="211"/>
    <col min="6913" max="6913" width="91.54296875" style="211" bestFit="1" customWidth="1"/>
    <col min="6914" max="6914" width="10.54296875" style="211" customWidth="1"/>
    <col min="6915" max="6921" width="8.54296875" style="211" bestFit="1" customWidth="1"/>
    <col min="6922" max="6922" width="8.90625" style="211" bestFit="1" customWidth="1"/>
    <col min="6923" max="6923" width="9.36328125" style="211" bestFit="1" customWidth="1"/>
    <col min="6924" max="6924" width="9.36328125" style="211" customWidth="1"/>
    <col min="6925" max="6929" width="9.36328125" style="211" bestFit="1" customWidth="1"/>
    <col min="6930" max="6932" width="8.90625" style="211" bestFit="1" customWidth="1"/>
    <col min="6933" max="6935" width="9.36328125" style="211" bestFit="1" customWidth="1"/>
    <col min="6936" max="6936" width="8.6328125" style="211" customWidth="1"/>
    <col min="6937" max="6938" width="8.90625" style="211" bestFit="1" customWidth="1"/>
    <col min="6939" max="6940" width="8.54296875" style="211" bestFit="1" customWidth="1"/>
    <col min="6941" max="6941" width="6.90625" style="211" bestFit="1" customWidth="1"/>
    <col min="6942" max="6943" width="10.453125" style="211" bestFit="1" customWidth="1"/>
    <col min="6944" max="6944" width="8.08984375" style="211" customWidth="1"/>
    <col min="6945" max="6948" width="10.453125" style="211" bestFit="1" customWidth="1"/>
    <col min="6949" max="6950" width="7.08984375" style="211" bestFit="1" customWidth="1"/>
    <col min="6951" max="6952" width="7.54296875" style="211" bestFit="1" customWidth="1"/>
    <col min="6953" max="6954" width="8" style="211" bestFit="1" customWidth="1"/>
    <col min="6955" max="7168" width="11.453125" style="211"/>
    <col min="7169" max="7169" width="91.54296875" style="211" bestFit="1" customWidth="1"/>
    <col min="7170" max="7170" width="10.54296875" style="211" customWidth="1"/>
    <col min="7171" max="7177" width="8.54296875" style="211" bestFit="1" customWidth="1"/>
    <col min="7178" max="7178" width="8.90625" style="211" bestFit="1" customWidth="1"/>
    <col min="7179" max="7179" width="9.36328125" style="211" bestFit="1" customWidth="1"/>
    <col min="7180" max="7180" width="9.36328125" style="211" customWidth="1"/>
    <col min="7181" max="7185" width="9.36328125" style="211" bestFit="1" customWidth="1"/>
    <col min="7186" max="7188" width="8.90625" style="211" bestFit="1" customWidth="1"/>
    <col min="7189" max="7191" width="9.36328125" style="211" bestFit="1" customWidth="1"/>
    <col min="7192" max="7192" width="8.6328125" style="211" customWidth="1"/>
    <col min="7193" max="7194" width="8.90625" style="211" bestFit="1" customWidth="1"/>
    <col min="7195" max="7196" width="8.54296875" style="211" bestFit="1" customWidth="1"/>
    <col min="7197" max="7197" width="6.90625" style="211" bestFit="1" customWidth="1"/>
    <col min="7198" max="7199" width="10.453125" style="211" bestFit="1" customWidth="1"/>
    <col min="7200" max="7200" width="8.08984375" style="211" customWidth="1"/>
    <col min="7201" max="7204" width="10.453125" style="211" bestFit="1" customWidth="1"/>
    <col min="7205" max="7206" width="7.08984375" style="211" bestFit="1" customWidth="1"/>
    <col min="7207" max="7208" width="7.54296875" style="211" bestFit="1" customWidth="1"/>
    <col min="7209" max="7210" width="8" style="211" bestFit="1" customWidth="1"/>
    <col min="7211" max="7424" width="11.453125" style="211"/>
    <col min="7425" max="7425" width="91.54296875" style="211" bestFit="1" customWidth="1"/>
    <col min="7426" max="7426" width="10.54296875" style="211" customWidth="1"/>
    <col min="7427" max="7433" width="8.54296875" style="211" bestFit="1" customWidth="1"/>
    <col min="7434" max="7434" width="8.90625" style="211" bestFit="1" customWidth="1"/>
    <col min="7435" max="7435" width="9.36328125" style="211" bestFit="1" customWidth="1"/>
    <col min="7436" max="7436" width="9.36328125" style="211" customWidth="1"/>
    <col min="7437" max="7441" width="9.36328125" style="211" bestFit="1" customWidth="1"/>
    <col min="7442" max="7444" width="8.90625" style="211" bestFit="1" customWidth="1"/>
    <col min="7445" max="7447" width="9.36328125" style="211" bestFit="1" customWidth="1"/>
    <col min="7448" max="7448" width="8.6328125" style="211" customWidth="1"/>
    <col min="7449" max="7450" width="8.90625" style="211" bestFit="1" customWidth="1"/>
    <col min="7451" max="7452" width="8.54296875" style="211" bestFit="1" customWidth="1"/>
    <col min="7453" max="7453" width="6.90625" style="211" bestFit="1" customWidth="1"/>
    <col min="7454" max="7455" width="10.453125" style="211" bestFit="1" customWidth="1"/>
    <col min="7456" max="7456" width="8.08984375" style="211" customWidth="1"/>
    <col min="7457" max="7460" width="10.453125" style="211" bestFit="1" customWidth="1"/>
    <col min="7461" max="7462" width="7.08984375" style="211" bestFit="1" customWidth="1"/>
    <col min="7463" max="7464" width="7.54296875" style="211" bestFit="1" customWidth="1"/>
    <col min="7465" max="7466" width="8" style="211" bestFit="1" customWidth="1"/>
    <col min="7467" max="7680" width="11.453125" style="211"/>
    <col min="7681" max="7681" width="91.54296875" style="211" bestFit="1" customWidth="1"/>
    <col min="7682" max="7682" width="10.54296875" style="211" customWidth="1"/>
    <col min="7683" max="7689" width="8.54296875" style="211" bestFit="1" customWidth="1"/>
    <col min="7690" max="7690" width="8.90625" style="211" bestFit="1" customWidth="1"/>
    <col min="7691" max="7691" width="9.36328125" style="211" bestFit="1" customWidth="1"/>
    <col min="7692" max="7692" width="9.36328125" style="211" customWidth="1"/>
    <col min="7693" max="7697" width="9.36328125" style="211" bestFit="1" customWidth="1"/>
    <col min="7698" max="7700" width="8.90625" style="211" bestFit="1" customWidth="1"/>
    <col min="7701" max="7703" width="9.36328125" style="211" bestFit="1" customWidth="1"/>
    <col min="7704" max="7704" width="8.6328125" style="211" customWidth="1"/>
    <col min="7705" max="7706" width="8.90625" style="211" bestFit="1" customWidth="1"/>
    <col min="7707" max="7708" width="8.54296875" style="211" bestFit="1" customWidth="1"/>
    <col min="7709" max="7709" width="6.90625" style="211" bestFit="1" customWidth="1"/>
    <col min="7710" max="7711" width="10.453125" style="211" bestFit="1" customWidth="1"/>
    <col min="7712" max="7712" width="8.08984375" style="211" customWidth="1"/>
    <col min="7713" max="7716" width="10.453125" style="211" bestFit="1" customWidth="1"/>
    <col min="7717" max="7718" width="7.08984375" style="211" bestFit="1" customWidth="1"/>
    <col min="7719" max="7720" width="7.54296875" style="211" bestFit="1" customWidth="1"/>
    <col min="7721" max="7722" width="8" style="211" bestFit="1" customWidth="1"/>
    <col min="7723" max="7936" width="11.453125" style="211"/>
    <col min="7937" max="7937" width="91.54296875" style="211" bestFit="1" customWidth="1"/>
    <col min="7938" max="7938" width="10.54296875" style="211" customWidth="1"/>
    <col min="7939" max="7945" width="8.54296875" style="211" bestFit="1" customWidth="1"/>
    <col min="7946" max="7946" width="8.90625" style="211" bestFit="1" customWidth="1"/>
    <col min="7947" max="7947" width="9.36328125" style="211" bestFit="1" customWidth="1"/>
    <col min="7948" max="7948" width="9.36328125" style="211" customWidth="1"/>
    <col min="7949" max="7953" width="9.36328125" style="211" bestFit="1" customWidth="1"/>
    <col min="7954" max="7956" width="8.90625" style="211" bestFit="1" customWidth="1"/>
    <col min="7957" max="7959" width="9.36328125" style="211" bestFit="1" customWidth="1"/>
    <col min="7960" max="7960" width="8.6328125" style="211" customWidth="1"/>
    <col min="7961" max="7962" width="8.90625" style="211" bestFit="1" customWidth="1"/>
    <col min="7963" max="7964" width="8.54296875" style="211" bestFit="1" customWidth="1"/>
    <col min="7965" max="7965" width="6.90625" style="211" bestFit="1" customWidth="1"/>
    <col min="7966" max="7967" width="10.453125" style="211" bestFit="1" customWidth="1"/>
    <col min="7968" max="7968" width="8.08984375" style="211" customWidth="1"/>
    <col min="7969" max="7972" width="10.453125" style="211" bestFit="1" customWidth="1"/>
    <col min="7973" max="7974" width="7.08984375" style="211" bestFit="1" customWidth="1"/>
    <col min="7975" max="7976" width="7.54296875" style="211" bestFit="1" customWidth="1"/>
    <col min="7977" max="7978" width="8" style="211" bestFit="1" customWidth="1"/>
    <col min="7979" max="8192" width="11.453125" style="211"/>
    <col min="8193" max="8193" width="91.54296875" style="211" bestFit="1" customWidth="1"/>
    <col min="8194" max="8194" width="10.54296875" style="211" customWidth="1"/>
    <col min="8195" max="8201" width="8.54296875" style="211" bestFit="1" customWidth="1"/>
    <col min="8202" max="8202" width="8.90625" style="211" bestFit="1" customWidth="1"/>
    <col min="8203" max="8203" width="9.36328125" style="211" bestFit="1" customWidth="1"/>
    <col min="8204" max="8204" width="9.36328125" style="211" customWidth="1"/>
    <col min="8205" max="8209" width="9.36328125" style="211" bestFit="1" customWidth="1"/>
    <col min="8210" max="8212" width="8.90625" style="211" bestFit="1" customWidth="1"/>
    <col min="8213" max="8215" width="9.36328125" style="211" bestFit="1" customWidth="1"/>
    <col min="8216" max="8216" width="8.6328125" style="211" customWidth="1"/>
    <col min="8217" max="8218" width="8.90625" style="211" bestFit="1" customWidth="1"/>
    <col min="8219" max="8220" width="8.54296875" style="211" bestFit="1" customWidth="1"/>
    <col min="8221" max="8221" width="6.90625" style="211" bestFit="1" customWidth="1"/>
    <col min="8222" max="8223" width="10.453125" style="211" bestFit="1" customWidth="1"/>
    <col min="8224" max="8224" width="8.08984375" style="211" customWidth="1"/>
    <col min="8225" max="8228" width="10.453125" style="211" bestFit="1" customWidth="1"/>
    <col min="8229" max="8230" width="7.08984375" style="211" bestFit="1" customWidth="1"/>
    <col min="8231" max="8232" width="7.54296875" style="211" bestFit="1" customWidth="1"/>
    <col min="8233" max="8234" width="8" style="211" bestFit="1" customWidth="1"/>
    <col min="8235" max="8448" width="11.453125" style="211"/>
    <col min="8449" max="8449" width="91.54296875" style="211" bestFit="1" customWidth="1"/>
    <col min="8450" max="8450" width="10.54296875" style="211" customWidth="1"/>
    <col min="8451" max="8457" width="8.54296875" style="211" bestFit="1" customWidth="1"/>
    <col min="8458" max="8458" width="8.90625" style="211" bestFit="1" customWidth="1"/>
    <col min="8459" max="8459" width="9.36328125" style="211" bestFit="1" customWidth="1"/>
    <col min="8460" max="8460" width="9.36328125" style="211" customWidth="1"/>
    <col min="8461" max="8465" width="9.36328125" style="211" bestFit="1" customWidth="1"/>
    <col min="8466" max="8468" width="8.90625" style="211" bestFit="1" customWidth="1"/>
    <col min="8469" max="8471" width="9.36328125" style="211" bestFit="1" customWidth="1"/>
    <col min="8472" max="8472" width="8.6328125" style="211" customWidth="1"/>
    <col min="8473" max="8474" width="8.90625" style="211" bestFit="1" customWidth="1"/>
    <col min="8475" max="8476" width="8.54296875" style="211" bestFit="1" customWidth="1"/>
    <col min="8477" max="8477" width="6.90625" style="211" bestFit="1" customWidth="1"/>
    <col min="8478" max="8479" width="10.453125" style="211" bestFit="1" customWidth="1"/>
    <col min="8480" max="8480" width="8.08984375" style="211" customWidth="1"/>
    <col min="8481" max="8484" width="10.453125" style="211" bestFit="1" customWidth="1"/>
    <col min="8485" max="8486" width="7.08984375" style="211" bestFit="1" customWidth="1"/>
    <col min="8487" max="8488" width="7.54296875" style="211" bestFit="1" customWidth="1"/>
    <col min="8489" max="8490" width="8" style="211" bestFit="1" customWidth="1"/>
    <col min="8491" max="8704" width="11.453125" style="211"/>
    <col min="8705" max="8705" width="91.54296875" style="211" bestFit="1" customWidth="1"/>
    <col min="8706" max="8706" width="10.54296875" style="211" customWidth="1"/>
    <col min="8707" max="8713" width="8.54296875" style="211" bestFit="1" customWidth="1"/>
    <col min="8714" max="8714" width="8.90625" style="211" bestFit="1" customWidth="1"/>
    <col min="8715" max="8715" width="9.36328125" style="211" bestFit="1" customWidth="1"/>
    <col min="8716" max="8716" width="9.36328125" style="211" customWidth="1"/>
    <col min="8717" max="8721" width="9.36328125" style="211" bestFit="1" customWidth="1"/>
    <col min="8722" max="8724" width="8.90625" style="211" bestFit="1" customWidth="1"/>
    <col min="8725" max="8727" width="9.36328125" style="211" bestFit="1" customWidth="1"/>
    <col min="8728" max="8728" width="8.6328125" style="211" customWidth="1"/>
    <col min="8729" max="8730" width="8.90625" style="211" bestFit="1" customWidth="1"/>
    <col min="8731" max="8732" width="8.54296875" style="211" bestFit="1" customWidth="1"/>
    <col min="8733" max="8733" width="6.90625" style="211" bestFit="1" customWidth="1"/>
    <col min="8734" max="8735" width="10.453125" style="211" bestFit="1" customWidth="1"/>
    <col min="8736" max="8736" width="8.08984375" style="211" customWidth="1"/>
    <col min="8737" max="8740" width="10.453125" style="211" bestFit="1" customWidth="1"/>
    <col min="8741" max="8742" width="7.08984375" style="211" bestFit="1" customWidth="1"/>
    <col min="8743" max="8744" width="7.54296875" style="211" bestFit="1" customWidth="1"/>
    <col min="8745" max="8746" width="8" style="211" bestFit="1" customWidth="1"/>
    <col min="8747" max="8960" width="11.453125" style="211"/>
    <col min="8961" max="8961" width="91.54296875" style="211" bestFit="1" customWidth="1"/>
    <col min="8962" max="8962" width="10.54296875" style="211" customWidth="1"/>
    <col min="8963" max="8969" width="8.54296875" style="211" bestFit="1" customWidth="1"/>
    <col min="8970" max="8970" width="8.90625" style="211" bestFit="1" customWidth="1"/>
    <col min="8971" max="8971" width="9.36328125" style="211" bestFit="1" customWidth="1"/>
    <col min="8972" max="8972" width="9.36328125" style="211" customWidth="1"/>
    <col min="8973" max="8977" width="9.36328125" style="211" bestFit="1" customWidth="1"/>
    <col min="8978" max="8980" width="8.90625" style="211" bestFit="1" customWidth="1"/>
    <col min="8981" max="8983" width="9.36328125" style="211" bestFit="1" customWidth="1"/>
    <col min="8984" max="8984" width="8.6328125" style="211" customWidth="1"/>
    <col min="8985" max="8986" width="8.90625" style="211" bestFit="1" customWidth="1"/>
    <col min="8987" max="8988" width="8.54296875" style="211" bestFit="1" customWidth="1"/>
    <col min="8989" max="8989" width="6.90625" style="211" bestFit="1" customWidth="1"/>
    <col min="8990" max="8991" width="10.453125" style="211" bestFit="1" customWidth="1"/>
    <col min="8992" max="8992" width="8.08984375" style="211" customWidth="1"/>
    <col min="8993" max="8996" width="10.453125" style="211" bestFit="1" customWidth="1"/>
    <col min="8997" max="8998" width="7.08984375" style="211" bestFit="1" customWidth="1"/>
    <col min="8999" max="9000" width="7.54296875" style="211" bestFit="1" customWidth="1"/>
    <col min="9001" max="9002" width="8" style="211" bestFit="1" customWidth="1"/>
    <col min="9003" max="9216" width="11.453125" style="211"/>
    <col min="9217" max="9217" width="91.54296875" style="211" bestFit="1" customWidth="1"/>
    <col min="9218" max="9218" width="10.54296875" style="211" customWidth="1"/>
    <col min="9219" max="9225" width="8.54296875" style="211" bestFit="1" customWidth="1"/>
    <col min="9226" max="9226" width="8.90625" style="211" bestFit="1" customWidth="1"/>
    <col min="9227" max="9227" width="9.36328125" style="211" bestFit="1" customWidth="1"/>
    <col min="9228" max="9228" width="9.36328125" style="211" customWidth="1"/>
    <col min="9229" max="9233" width="9.36328125" style="211" bestFit="1" customWidth="1"/>
    <col min="9234" max="9236" width="8.90625" style="211" bestFit="1" customWidth="1"/>
    <col min="9237" max="9239" width="9.36328125" style="211" bestFit="1" customWidth="1"/>
    <col min="9240" max="9240" width="8.6328125" style="211" customWidth="1"/>
    <col min="9241" max="9242" width="8.90625" style="211" bestFit="1" customWidth="1"/>
    <col min="9243" max="9244" width="8.54296875" style="211" bestFit="1" customWidth="1"/>
    <col min="9245" max="9245" width="6.90625" style="211" bestFit="1" customWidth="1"/>
    <col min="9246" max="9247" width="10.453125" style="211" bestFit="1" customWidth="1"/>
    <col min="9248" max="9248" width="8.08984375" style="211" customWidth="1"/>
    <col min="9249" max="9252" width="10.453125" style="211" bestFit="1" customWidth="1"/>
    <col min="9253" max="9254" width="7.08984375" style="211" bestFit="1" customWidth="1"/>
    <col min="9255" max="9256" width="7.54296875" style="211" bestFit="1" customWidth="1"/>
    <col min="9257" max="9258" width="8" style="211" bestFit="1" customWidth="1"/>
    <col min="9259" max="9472" width="11.453125" style="211"/>
    <col min="9473" max="9473" width="91.54296875" style="211" bestFit="1" customWidth="1"/>
    <col min="9474" max="9474" width="10.54296875" style="211" customWidth="1"/>
    <col min="9475" max="9481" width="8.54296875" style="211" bestFit="1" customWidth="1"/>
    <col min="9482" max="9482" width="8.90625" style="211" bestFit="1" customWidth="1"/>
    <col min="9483" max="9483" width="9.36328125" style="211" bestFit="1" customWidth="1"/>
    <col min="9484" max="9484" width="9.36328125" style="211" customWidth="1"/>
    <col min="9485" max="9489" width="9.36328125" style="211" bestFit="1" customWidth="1"/>
    <col min="9490" max="9492" width="8.90625" style="211" bestFit="1" customWidth="1"/>
    <col min="9493" max="9495" width="9.36328125" style="211" bestFit="1" customWidth="1"/>
    <col min="9496" max="9496" width="8.6328125" style="211" customWidth="1"/>
    <col min="9497" max="9498" width="8.90625" style="211" bestFit="1" customWidth="1"/>
    <col min="9499" max="9500" width="8.54296875" style="211" bestFit="1" customWidth="1"/>
    <col min="9501" max="9501" width="6.90625" style="211" bestFit="1" customWidth="1"/>
    <col min="9502" max="9503" width="10.453125" style="211" bestFit="1" customWidth="1"/>
    <col min="9504" max="9504" width="8.08984375" style="211" customWidth="1"/>
    <col min="9505" max="9508" width="10.453125" style="211" bestFit="1" customWidth="1"/>
    <col min="9509" max="9510" width="7.08984375" style="211" bestFit="1" customWidth="1"/>
    <col min="9511" max="9512" width="7.54296875" style="211" bestFit="1" customWidth="1"/>
    <col min="9513" max="9514" width="8" style="211" bestFit="1" customWidth="1"/>
    <col min="9515" max="9728" width="11.453125" style="211"/>
    <col min="9729" max="9729" width="91.54296875" style="211" bestFit="1" customWidth="1"/>
    <col min="9730" max="9730" width="10.54296875" style="211" customWidth="1"/>
    <col min="9731" max="9737" width="8.54296875" style="211" bestFit="1" customWidth="1"/>
    <col min="9738" max="9738" width="8.90625" style="211" bestFit="1" customWidth="1"/>
    <col min="9739" max="9739" width="9.36328125" style="211" bestFit="1" customWidth="1"/>
    <col min="9740" max="9740" width="9.36328125" style="211" customWidth="1"/>
    <col min="9741" max="9745" width="9.36328125" style="211" bestFit="1" customWidth="1"/>
    <col min="9746" max="9748" width="8.90625" style="211" bestFit="1" customWidth="1"/>
    <col min="9749" max="9751" width="9.36328125" style="211" bestFit="1" customWidth="1"/>
    <col min="9752" max="9752" width="8.6328125" style="211" customWidth="1"/>
    <col min="9753" max="9754" width="8.90625" style="211" bestFit="1" customWidth="1"/>
    <col min="9755" max="9756" width="8.54296875" style="211" bestFit="1" customWidth="1"/>
    <col min="9757" max="9757" width="6.90625" style="211" bestFit="1" customWidth="1"/>
    <col min="9758" max="9759" width="10.453125" style="211" bestFit="1" customWidth="1"/>
    <col min="9760" max="9760" width="8.08984375" style="211" customWidth="1"/>
    <col min="9761" max="9764" width="10.453125" style="211" bestFit="1" customWidth="1"/>
    <col min="9765" max="9766" width="7.08984375" style="211" bestFit="1" customWidth="1"/>
    <col min="9767" max="9768" width="7.54296875" style="211" bestFit="1" customWidth="1"/>
    <col min="9769" max="9770" width="8" style="211" bestFit="1" customWidth="1"/>
    <col min="9771" max="9984" width="11.453125" style="211"/>
    <col min="9985" max="9985" width="91.54296875" style="211" bestFit="1" customWidth="1"/>
    <col min="9986" max="9986" width="10.54296875" style="211" customWidth="1"/>
    <col min="9987" max="9993" width="8.54296875" style="211" bestFit="1" customWidth="1"/>
    <col min="9994" max="9994" width="8.90625" style="211" bestFit="1" customWidth="1"/>
    <col min="9995" max="9995" width="9.36328125" style="211" bestFit="1" customWidth="1"/>
    <col min="9996" max="9996" width="9.36328125" style="211" customWidth="1"/>
    <col min="9997" max="10001" width="9.36328125" style="211" bestFit="1" customWidth="1"/>
    <col min="10002" max="10004" width="8.90625" style="211" bestFit="1" customWidth="1"/>
    <col min="10005" max="10007" width="9.36328125" style="211" bestFit="1" customWidth="1"/>
    <col min="10008" max="10008" width="8.6328125" style="211" customWidth="1"/>
    <col min="10009" max="10010" width="8.90625" style="211" bestFit="1" customWidth="1"/>
    <col min="10011" max="10012" width="8.54296875" style="211" bestFit="1" customWidth="1"/>
    <col min="10013" max="10013" width="6.90625" style="211" bestFit="1" customWidth="1"/>
    <col min="10014" max="10015" width="10.453125" style="211" bestFit="1" customWidth="1"/>
    <col min="10016" max="10016" width="8.08984375" style="211" customWidth="1"/>
    <col min="10017" max="10020" width="10.453125" style="211" bestFit="1" customWidth="1"/>
    <col min="10021" max="10022" width="7.08984375" style="211" bestFit="1" customWidth="1"/>
    <col min="10023" max="10024" width="7.54296875" style="211" bestFit="1" customWidth="1"/>
    <col min="10025" max="10026" width="8" style="211" bestFit="1" customWidth="1"/>
    <col min="10027" max="10240" width="11.453125" style="211"/>
    <col min="10241" max="10241" width="91.54296875" style="211" bestFit="1" customWidth="1"/>
    <col min="10242" max="10242" width="10.54296875" style="211" customWidth="1"/>
    <col min="10243" max="10249" width="8.54296875" style="211" bestFit="1" customWidth="1"/>
    <col min="10250" max="10250" width="8.90625" style="211" bestFit="1" customWidth="1"/>
    <col min="10251" max="10251" width="9.36328125" style="211" bestFit="1" customWidth="1"/>
    <col min="10252" max="10252" width="9.36328125" style="211" customWidth="1"/>
    <col min="10253" max="10257" width="9.36328125" style="211" bestFit="1" customWidth="1"/>
    <col min="10258" max="10260" width="8.90625" style="211" bestFit="1" customWidth="1"/>
    <col min="10261" max="10263" width="9.36328125" style="211" bestFit="1" customWidth="1"/>
    <col min="10264" max="10264" width="8.6328125" style="211" customWidth="1"/>
    <col min="10265" max="10266" width="8.90625" style="211" bestFit="1" customWidth="1"/>
    <col min="10267" max="10268" width="8.54296875" style="211" bestFit="1" customWidth="1"/>
    <col min="10269" max="10269" width="6.90625" style="211" bestFit="1" customWidth="1"/>
    <col min="10270" max="10271" width="10.453125" style="211" bestFit="1" customWidth="1"/>
    <col min="10272" max="10272" width="8.08984375" style="211" customWidth="1"/>
    <col min="10273" max="10276" width="10.453125" style="211" bestFit="1" customWidth="1"/>
    <col min="10277" max="10278" width="7.08984375" style="211" bestFit="1" customWidth="1"/>
    <col min="10279" max="10280" width="7.54296875" style="211" bestFit="1" customWidth="1"/>
    <col min="10281" max="10282" width="8" style="211" bestFit="1" customWidth="1"/>
    <col min="10283" max="10496" width="11.453125" style="211"/>
    <col min="10497" max="10497" width="91.54296875" style="211" bestFit="1" customWidth="1"/>
    <col min="10498" max="10498" width="10.54296875" style="211" customWidth="1"/>
    <col min="10499" max="10505" width="8.54296875" style="211" bestFit="1" customWidth="1"/>
    <col min="10506" max="10506" width="8.90625" style="211" bestFit="1" customWidth="1"/>
    <col min="10507" max="10507" width="9.36328125" style="211" bestFit="1" customWidth="1"/>
    <col min="10508" max="10508" width="9.36328125" style="211" customWidth="1"/>
    <col min="10509" max="10513" width="9.36328125" style="211" bestFit="1" customWidth="1"/>
    <col min="10514" max="10516" width="8.90625" style="211" bestFit="1" customWidth="1"/>
    <col min="10517" max="10519" width="9.36328125" style="211" bestFit="1" customWidth="1"/>
    <col min="10520" max="10520" width="8.6328125" style="211" customWidth="1"/>
    <col min="10521" max="10522" width="8.90625" style="211" bestFit="1" customWidth="1"/>
    <col min="10523" max="10524" width="8.54296875" style="211" bestFit="1" customWidth="1"/>
    <col min="10525" max="10525" width="6.90625" style="211" bestFit="1" customWidth="1"/>
    <col min="10526" max="10527" width="10.453125" style="211" bestFit="1" customWidth="1"/>
    <col min="10528" max="10528" width="8.08984375" style="211" customWidth="1"/>
    <col min="10529" max="10532" width="10.453125" style="211" bestFit="1" customWidth="1"/>
    <col min="10533" max="10534" width="7.08984375" style="211" bestFit="1" customWidth="1"/>
    <col min="10535" max="10536" width="7.54296875" style="211" bestFit="1" customWidth="1"/>
    <col min="10537" max="10538" width="8" style="211" bestFit="1" customWidth="1"/>
    <col min="10539" max="10752" width="11.453125" style="211"/>
    <col min="10753" max="10753" width="91.54296875" style="211" bestFit="1" customWidth="1"/>
    <col min="10754" max="10754" width="10.54296875" style="211" customWidth="1"/>
    <col min="10755" max="10761" width="8.54296875" style="211" bestFit="1" customWidth="1"/>
    <col min="10762" max="10762" width="8.90625" style="211" bestFit="1" customWidth="1"/>
    <col min="10763" max="10763" width="9.36328125" style="211" bestFit="1" customWidth="1"/>
    <col min="10764" max="10764" width="9.36328125" style="211" customWidth="1"/>
    <col min="10765" max="10769" width="9.36328125" style="211" bestFit="1" customWidth="1"/>
    <col min="10770" max="10772" width="8.90625" style="211" bestFit="1" customWidth="1"/>
    <col min="10773" max="10775" width="9.36328125" style="211" bestFit="1" customWidth="1"/>
    <col min="10776" max="10776" width="8.6328125" style="211" customWidth="1"/>
    <col min="10777" max="10778" width="8.90625" style="211" bestFit="1" customWidth="1"/>
    <col min="10779" max="10780" width="8.54296875" style="211" bestFit="1" customWidth="1"/>
    <col min="10781" max="10781" width="6.90625" style="211" bestFit="1" customWidth="1"/>
    <col min="10782" max="10783" width="10.453125" style="211" bestFit="1" customWidth="1"/>
    <col min="10784" max="10784" width="8.08984375" style="211" customWidth="1"/>
    <col min="10785" max="10788" width="10.453125" style="211" bestFit="1" customWidth="1"/>
    <col min="10789" max="10790" width="7.08984375" style="211" bestFit="1" customWidth="1"/>
    <col min="10791" max="10792" width="7.54296875" style="211" bestFit="1" customWidth="1"/>
    <col min="10793" max="10794" width="8" style="211" bestFit="1" customWidth="1"/>
    <col min="10795" max="11008" width="11.453125" style="211"/>
    <col min="11009" max="11009" width="91.54296875" style="211" bestFit="1" customWidth="1"/>
    <col min="11010" max="11010" width="10.54296875" style="211" customWidth="1"/>
    <col min="11011" max="11017" width="8.54296875" style="211" bestFit="1" customWidth="1"/>
    <col min="11018" max="11018" width="8.90625" style="211" bestFit="1" customWidth="1"/>
    <col min="11019" max="11019" width="9.36328125" style="211" bestFit="1" customWidth="1"/>
    <col min="11020" max="11020" width="9.36328125" style="211" customWidth="1"/>
    <col min="11021" max="11025" width="9.36328125" style="211" bestFit="1" customWidth="1"/>
    <col min="11026" max="11028" width="8.90625" style="211" bestFit="1" customWidth="1"/>
    <col min="11029" max="11031" width="9.36328125" style="211" bestFit="1" customWidth="1"/>
    <col min="11032" max="11032" width="8.6328125" style="211" customWidth="1"/>
    <col min="11033" max="11034" width="8.90625" style="211" bestFit="1" customWidth="1"/>
    <col min="11035" max="11036" width="8.54296875" style="211" bestFit="1" customWidth="1"/>
    <col min="11037" max="11037" width="6.90625" style="211" bestFit="1" customWidth="1"/>
    <col min="11038" max="11039" width="10.453125" style="211" bestFit="1" customWidth="1"/>
    <col min="11040" max="11040" width="8.08984375" style="211" customWidth="1"/>
    <col min="11041" max="11044" width="10.453125" style="211" bestFit="1" customWidth="1"/>
    <col min="11045" max="11046" width="7.08984375" style="211" bestFit="1" customWidth="1"/>
    <col min="11047" max="11048" width="7.54296875" style="211" bestFit="1" customWidth="1"/>
    <col min="11049" max="11050" width="8" style="211" bestFit="1" customWidth="1"/>
    <col min="11051" max="11264" width="11.453125" style="211"/>
    <col min="11265" max="11265" width="91.54296875" style="211" bestFit="1" customWidth="1"/>
    <col min="11266" max="11266" width="10.54296875" style="211" customWidth="1"/>
    <col min="11267" max="11273" width="8.54296875" style="211" bestFit="1" customWidth="1"/>
    <col min="11274" max="11274" width="8.90625" style="211" bestFit="1" customWidth="1"/>
    <col min="11275" max="11275" width="9.36328125" style="211" bestFit="1" customWidth="1"/>
    <col min="11276" max="11276" width="9.36328125" style="211" customWidth="1"/>
    <col min="11277" max="11281" width="9.36328125" style="211" bestFit="1" customWidth="1"/>
    <col min="11282" max="11284" width="8.90625" style="211" bestFit="1" customWidth="1"/>
    <col min="11285" max="11287" width="9.36328125" style="211" bestFit="1" customWidth="1"/>
    <col min="11288" max="11288" width="8.6328125" style="211" customWidth="1"/>
    <col min="11289" max="11290" width="8.90625" style="211" bestFit="1" customWidth="1"/>
    <col min="11291" max="11292" width="8.54296875" style="211" bestFit="1" customWidth="1"/>
    <col min="11293" max="11293" width="6.90625" style="211" bestFit="1" customWidth="1"/>
    <col min="11294" max="11295" width="10.453125" style="211" bestFit="1" customWidth="1"/>
    <col min="11296" max="11296" width="8.08984375" style="211" customWidth="1"/>
    <col min="11297" max="11300" width="10.453125" style="211" bestFit="1" customWidth="1"/>
    <col min="11301" max="11302" width="7.08984375" style="211" bestFit="1" customWidth="1"/>
    <col min="11303" max="11304" width="7.54296875" style="211" bestFit="1" customWidth="1"/>
    <col min="11305" max="11306" width="8" style="211" bestFit="1" customWidth="1"/>
    <col min="11307" max="11520" width="11.453125" style="211"/>
    <col min="11521" max="11521" width="91.54296875" style="211" bestFit="1" customWidth="1"/>
    <col min="11522" max="11522" width="10.54296875" style="211" customWidth="1"/>
    <col min="11523" max="11529" width="8.54296875" style="211" bestFit="1" customWidth="1"/>
    <col min="11530" max="11530" width="8.90625" style="211" bestFit="1" customWidth="1"/>
    <col min="11531" max="11531" width="9.36328125" style="211" bestFit="1" customWidth="1"/>
    <col min="11532" max="11532" width="9.36328125" style="211" customWidth="1"/>
    <col min="11533" max="11537" width="9.36328125" style="211" bestFit="1" customWidth="1"/>
    <col min="11538" max="11540" width="8.90625" style="211" bestFit="1" customWidth="1"/>
    <col min="11541" max="11543" width="9.36328125" style="211" bestFit="1" customWidth="1"/>
    <col min="11544" max="11544" width="8.6328125" style="211" customWidth="1"/>
    <col min="11545" max="11546" width="8.90625" style="211" bestFit="1" customWidth="1"/>
    <col min="11547" max="11548" width="8.54296875" style="211" bestFit="1" customWidth="1"/>
    <col min="11549" max="11549" width="6.90625" style="211" bestFit="1" customWidth="1"/>
    <col min="11550" max="11551" width="10.453125" style="211" bestFit="1" customWidth="1"/>
    <col min="11552" max="11552" width="8.08984375" style="211" customWidth="1"/>
    <col min="11553" max="11556" width="10.453125" style="211" bestFit="1" customWidth="1"/>
    <col min="11557" max="11558" width="7.08984375" style="211" bestFit="1" customWidth="1"/>
    <col min="11559" max="11560" width="7.54296875" style="211" bestFit="1" customWidth="1"/>
    <col min="11561" max="11562" width="8" style="211" bestFit="1" customWidth="1"/>
    <col min="11563" max="11776" width="11.453125" style="211"/>
    <col min="11777" max="11777" width="91.54296875" style="211" bestFit="1" customWidth="1"/>
    <col min="11778" max="11778" width="10.54296875" style="211" customWidth="1"/>
    <col min="11779" max="11785" width="8.54296875" style="211" bestFit="1" customWidth="1"/>
    <col min="11786" max="11786" width="8.90625" style="211" bestFit="1" customWidth="1"/>
    <col min="11787" max="11787" width="9.36328125" style="211" bestFit="1" customWidth="1"/>
    <col min="11788" max="11788" width="9.36328125" style="211" customWidth="1"/>
    <col min="11789" max="11793" width="9.36328125" style="211" bestFit="1" customWidth="1"/>
    <col min="11794" max="11796" width="8.90625" style="211" bestFit="1" customWidth="1"/>
    <col min="11797" max="11799" width="9.36328125" style="211" bestFit="1" customWidth="1"/>
    <col min="11800" max="11800" width="8.6328125" style="211" customWidth="1"/>
    <col min="11801" max="11802" width="8.90625" style="211" bestFit="1" customWidth="1"/>
    <col min="11803" max="11804" width="8.54296875" style="211" bestFit="1" customWidth="1"/>
    <col min="11805" max="11805" width="6.90625" style="211" bestFit="1" customWidth="1"/>
    <col min="11806" max="11807" width="10.453125" style="211" bestFit="1" customWidth="1"/>
    <col min="11808" max="11808" width="8.08984375" style="211" customWidth="1"/>
    <col min="11809" max="11812" width="10.453125" style="211" bestFit="1" customWidth="1"/>
    <col min="11813" max="11814" width="7.08984375" style="211" bestFit="1" customWidth="1"/>
    <col min="11815" max="11816" width="7.54296875" style="211" bestFit="1" customWidth="1"/>
    <col min="11817" max="11818" width="8" style="211" bestFit="1" customWidth="1"/>
    <col min="11819" max="12032" width="11.453125" style="211"/>
    <col min="12033" max="12033" width="91.54296875" style="211" bestFit="1" customWidth="1"/>
    <col min="12034" max="12034" width="10.54296875" style="211" customWidth="1"/>
    <col min="12035" max="12041" width="8.54296875" style="211" bestFit="1" customWidth="1"/>
    <col min="12042" max="12042" width="8.90625" style="211" bestFit="1" customWidth="1"/>
    <col min="12043" max="12043" width="9.36328125" style="211" bestFit="1" customWidth="1"/>
    <col min="12044" max="12044" width="9.36328125" style="211" customWidth="1"/>
    <col min="12045" max="12049" width="9.36328125" style="211" bestFit="1" customWidth="1"/>
    <col min="12050" max="12052" width="8.90625" style="211" bestFit="1" customWidth="1"/>
    <col min="12053" max="12055" width="9.36328125" style="211" bestFit="1" customWidth="1"/>
    <col min="12056" max="12056" width="8.6328125" style="211" customWidth="1"/>
    <col min="12057" max="12058" width="8.90625" style="211" bestFit="1" customWidth="1"/>
    <col min="12059" max="12060" width="8.54296875" style="211" bestFit="1" customWidth="1"/>
    <col min="12061" max="12061" width="6.90625" style="211" bestFit="1" customWidth="1"/>
    <col min="12062" max="12063" width="10.453125" style="211" bestFit="1" customWidth="1"/>
    <col min="12064" max="12064" width="8.08984375" style="211" customWidth="1"/>
    <col min="12065" max="12068" width="10.453125" style="211" bestFit="1" customWidth="1"/>
    <col min="12069" max="12070" width="7.08984375" style="211" bestFit="1" customWidth="1"/>
    <col min="12071" max="12072" width="7.54296875" style="211" bestFit="1" customWidth="1"/>
    <col min="12073" max="12074" width="8" style="211" bestFit="1" customWidth="1"/>
    <col min="12075" max="12288" width="11.453125" style="211"/>
    <col min="12289" max="12289" width="91.54296875" style="211" bestFit="1" customWidth="1"/>
    <col min="12290" max="12290" width="10.54296875" style="211" customWidth="1"/>
    <col min="12291" max="12297" width="8.54296875" style="211" bestFit="1" customWidth="1"/>
    <col min="12298" max="12298" width="8.90625" style="211" bestFit="1" customWidth="1"/>
    <col min="12299" max="12299" width="9.36328125" style="211" bestFit="1" customWidth="1"/>
    <col min="12300" max="12300" width="9.36328125" style="211" customWidth="1"/>
    <col min="12301" max="12305" width="9.36328125" style="211" bestFit="1" customWidth="1"/>
    <col min="12306" max="12308" width="8.90625" style="211" bestFit="1" customWidth="1"/>
    <col min="12309" max="12311" width="9.36328125" style="211" bestFit="1" customWidth="1"/>
    <col min="12312" max="12312" width="8.6328125" style="211" customWidth="1"/>
    <col min="12313" max="12314" width="8.90625" style="211" bestFit="1" customWidth="1"/>
    <col min="12315" max="12316" width="8.54296875" style="211" bestFit="1" customWidth="1"/>
    <col min="12317" max="12317" width="6.90625" style="211" bestFit="1" customWidth="1"/>
    <col min="12318" max="12319" width="10.453125" style="211" bestFit="1" customWidth="1"/>
    <col min="12320" max="12320" width="8.08984375" style="211" customWidth="1"/>
    <col min="12321" max="12324" width="10.453125" style="211" bestFit="1" customWidth="1"/>
    <col min="12325" max="12326" width="7.08984375" style="211" bestFit="1" customWidth="1"/>
    <col min="12327" max="12328" width="7.54296875" style="211" bestFit="1" customWidth="1"/>
    <col min="12329" max="12330" width="8" style="211" bestFit="1" customWidth="1"/>
    <col min="12331" max="12544" width="11.453125" style="211"/>
    <col min="12545" max="12545" width="91.54296875" style="211" bestFit="1" customWidth="1"/>
    <col min="12546" max="12546" width="10.54296875" style="211" customWidth="1"/>
    <col min="12547" max="12553" width="8.54296875" style="211" bestFit="1" customWidth="1"/>
    <col min="12554" max="12554" width="8.90625" style="211" bestFit="1" customWidth="1"/>
    <col min="12555" max="12555" width="9.36328125" style="211" bestFit="1" customWidth="1"/>
    <col min="12556" max="12556" width="9.36328125" style="211" customWidth="1"/>
    <col min="12557" max="12561" width="9.36328125" style="211" bestFit="1" customWidth="1"/>
    <col min="12562" max="12564" width="8.90625" style="211" bestFit="1" customWidth="1"/>
    <col min="12565" max="12567" width="9.36328125" style="211" bestFit="1" customWidth="1"/>
    <col min="12568" max="12568" width="8.6328125" style="211" customWidth="1"/>
    <col min="12569" max="12570" width="8.90625" style="211" bestFit="1" customWidth="1"/>
    <col min="12571" max="12572" width="8.54296875" style="211" bestFit="1" customWidth="1"/>
    <col min="12573" max="12573" width="6.90625" style="211" bestFit="1" customWidth="1"/>
    <col min="12574" max="12575" width="10.453125" style="211" bestFit="1" customWidth="1"/>
    <col min="12576" max="12576" width="8.08984375" style="211" customWidth="1"/>
    <col min="12577" max="12580" width="10.453125" style="211" bestFit="1" customWidth="1"/>
    <col min="12581" max="12582" width="7.08984375" style="211" bestFit="1" customWidth="1"/>
    <col min="12583" max="12584" width="7.54296875" style="211" bestFit="1" customWidth="1"/>
    <col min="12585" max="12586" width="8" style="211" bestFit="1" customWidth="1"/>
    <col min="12587" max="12800" width="11.453125" style="211"/>
    <col min="12801" max="12801" width="91.54296875" style="211" bestFit="1" customWidth="1"/>
    <col min="12802" max="12802" width="10.54296875" style="211" customWidth="1"/>
    <col min="12803" max="12809" width="8.54296875" style="211" bestFit="1" customWidth="1"/>
    <col min="12810" max="12810" width="8.90625" style="211" bestFit="1" customWidth="1"/>
    <col min="12811" max="12811" width="9.36328125" style="211" bestFit="1" customWidth="1"/>
    <col min="12812" max="12812" width="9.36328125" style="211" customWidth="1"/>
    <col min="12813" max="12817" width="9.36328125" style="211" bestFit="1" customWidth="1"/>
    <col min="12818" max="12820" width="8.90625" style="211" bestFit="1" customWidth="1"/>
    <col min="12821" max="12823" width="9.36328125" style="211" bestFit="1" customWidth="1"/>
    <col min="12824" max="12824" width="8.6328125" style="211" customWidth="1"/>
    <col min="12825" max="12826" width="8.90625" style="211" bestFit="1" customWidth="1"/>
    <col min="12827" max="12828" width="8.54296875" style="211" bestFit="1" customWidth="1"/>
    <col min="12829" max="12829" width="6.90625" style="211" bestFit="1" customWidth="1"/>
    <col min="12830" max="12831" width="10.453125" style="211" bestFit="1" customWidth="1"/>
    <col min="12832" max="12832" width="8.08984375" style="211" customWidth="1"/>
    <col min="12833" max="12836" width="10.453125" style="211" bestFit="1" customWidth="1"/>
    <col min="12837" max="12838" width="7.08984375" style="211" bestFit="1" customWidth="1"/>
    <col min="12839" max="12840" width="7.54296875" style="211" bestFit="1" customWidth="1"/>
    <col min="12841" max="12842" width="8" style="211" bestFit="1" customWidth="1"/>
    <col min="12843" max="13056" width="11.453125" style="211"/>
    <col min="13057" max="13057" width="91.54296875" style="211" bestFit="1" customWidth="1"/>
    <col min="13058" max="13058" width="10.54296875" style="211" customWidth="1"/>
    <col min="13059" max="13065" width="8.54296875" style="211" bestFit="1" customWidth="1"/>
    <col min="13066" max="13066" width="8.90625" style="211" bestFit="1" customWidth="1"/>
    <col min="13067" max="13067" width="9.36328125" style="211" bestFit="1" customWidth="1"/>
    <col min="13068" max="13068" width="9.36328125" style="211" customWidth="1"/>
    <col min="13069" max="13073" width="9.36328125" style="211" bestFit="1" customWidth="1"/>
    <col min="13074" max="13076" width="8.90625" style="211" bestFit="1" customWidth="1"/>
    <col min="13077" max="13079" width="9.36328125" style="211" bestFit="1" customWidth="1"/>
    <col min="13080" max="13080" width="8.6328125" style="211" customWidth="1"/>
    <col min="13081" max="13082" width="8.90625" style="211" bestFit="1" customWidth="1"/>
    <col min="13083" max="13084" width="8.54296875" style="211" bestFit="1" customWidth="1"/>
    <col min="13085" max="13085" width="6.90625" style="211" bestFit="1" customWidth="1"/>
    <col min="13086" max="13087" width="10.453125" style="211" bestFit="1" customWidth="1"/>
    <col min="13088" max="13088" width="8.08984375" style="211" customWidth="1"/>
    <col min="13089" max="13092" width="10.453125" style="211" bestFit="1" customWidth="1"/>
    <col min="13093" max="13094" width="7.08984375" style="211" bestFit="1" customWidth="1"/>
    <col min="13095" max="13096" width="7.54296875" style="211" bestFit="1" customWidth="1"/>
    <col min="13097" max="13098" width="8" style="211" bestFit="1" customWidth="1"/>
    <col min="13099" max="13312" width="11.453125" style="211"/>
    <col min="13313" max="13313" width="91.54296875" style="211" bestFit="1" customWidth="1"/>
    <col min="13314" max="13314" width="10.54296875" style="211" customWidth="1"/>
    <col min="13315" max="13321" width="8.54296875" style="211" bestFit="1" customWidth="1"/>
    <col min="13322" max="13322" width="8.90625" style="211" bestFit="1" customWidth="1"/>
    <col min="13323" max="13323" width="9.36328125" style="211" bestFit="1" customWidth="1"/>
    <col min="13324" max="13324" width="9.36328125" style="211" customWidth="1"/>
    <col min="13325" max="13329" width="9.36328125" style="211" bestFit="1" customWidth="1"/>
    <col min="13330" max="13332" width="8.90625" style="211" bestFit="1" customWidth="1"/>
    <col min="13333" max="13335" width="9.36328125" style="211" bestFit="1" customWidth="1"/>
    <col min="13336" max="13336" width="8.6328125" style="211" customWidth="1"/>
    <col min="13337" max="13338" width="8.90625" style="211" bestFit="1" customWidth="1"/>
    <col min="13339" max="13340" width="8.54296875" style="211" bestFit="1" customWidth="1"/>
    <col min="13341" max="13341" width="6.90625" style="211" bestFit="1" customWidth="1"/>
    <col min="13342" max="13343" width="10.453125" style="211" bestFit="1" customWidth="1"/>
    <col min="13344" max="13344" width="8.08984375" style="211" customWidth="1"/>
    <col min="13345" max="13348" width="10.453125" style="211" bestFit="1" customWidth="1"/>
    <col min="13349" max="13350" width="7.08984375" style="211" bestFit="1" customWidth="1"/>
    <col min="13351" max="13352" width="7.54296875" style="211" bestFit="1" customWidth="1"/>
    <col min="13353" max="13354" width="8" style="211" bestFit="1" customWidth="1"/>
    <col min="13355" max="13568" width="11.453125" style="211"/>
    <col min="13569" max="13569" width="91.54296875" style="211" bestFit="1" customWidth="1"/>
    <col min="13570" max="13570" width="10.54296875" style="211" customWidth="1"/>
    <col min="13571" max="13577" width="8.54296875" style="211" bestFit="1" customWidth="1"/>
    <col min="13578" max="13578" width="8.90625" style="211" bestFit="1" customWidth="1"/>
    <col min="13579" max="13579" width="9.36328125" style="211" bestFit="1" customWidth="1"/>
    <col min="13580" max="13580" width="9.36328125" style="211" customWidth="1"/>
    <col min="13581" max="13585" width="9.36328125" style="211" bestFit="1" customWidth="1"/>
    <col min="13586" max="13588" width="8.90625" style="211" bestFit="1" customWidth="1"/>
    <col min="13589" max="13591" width="9.36328125" style="211" bestFit="1" customWidth="1"/>
    <col min="13592" max="13592" width="8.6328125" style="211" customWidth="1"/>
    <col min="13593" max="13594" width="8.90625" style="211" bestFit="1" customWidth="1"/>
    <col min="13595" max="13596" width="8.54296875" style="211" bestFit="1" customWidth="1"/>
    <col min="13597" max="13597" width="6.90625" style="211" bestFit="1" customWidth="1"/>
    <col min="13598" max="13599" width="10.453125" style="211" bestFit="1" customWidth="1"/>
    <col min="13600" max="13600" width="8.08984375" style="211" customWidth="1"/>
    <col min="13601" max="13604" width="10.453125" style="211" bestFit="1" customWidth="1"/>
    <col min="13605" max="13606" width="7.08984375" style="211" bestFit="1" customWidth="1"/>
    <col min="13607" max="13608" width="7.54296875" style="211" bestFit="1" customWidth="1"/>
    <col min="13609" max="13610" width="8" style="211" bestFit="1" customWidth="1"/>
    <col min="13611" max="13824" width="11.453125" style="211"/>
    <col min="13825" max="13825" width="91.54296875" style="211" bestFit="1" customWidth="1"/>
    <col min="13826" max="13826" width="10.54296875" style="211" customWidth="1"/>
    <col min="13827" max="13833" width="8.54296875" style="211" bestFit="1" customWidth="1"/>
    <col min="13834" max="13834" width="8.90625" style="211" bestFit="1" customWidth="1"/>
    <col min="13835" max="13835" width="9.36328125" style="211" bestFit="1" customWidth="1"/>
    <col min="13836" max="13836" width="9.36328125" style="211" customWidth="1"/>
    <col min="13837" max="13841" width="9.36328125" style="211" bestFit="1" customWidth="1"/>
    <col min="13842" max="13844" width="8.90625" style="211" bestFit="1" customWidth="1"/>
    <col min="13845" max="13847" width="9.36328125" style="211" bestFit="1" customWidth="1"/>
    <col min="13848" max="13848" width="8.6328125" style="211" customWidth="1"/>
    <col min="13849" max="13850" width="8.90625" style="211" bestFit="1" customWidth="1"/>
    <col min="13851" max="13852" width="8.54296875" style="211" bestFit="1" customWidth="1"/>
    <col min="13853" max="13853" width="6.90625" style="211" bestFit="1" customWidth="1"/>
    <col min="13854" max="13855" width="10.453125" style="211" bestFit="1" customWidth="1"/>
    <col min="13856" max="13856" width="8.08984375" style="211" customWidth="1"/>
    <col min="13857" max="13860" width="10.453125" style="211" bestFit="1" customWidth="1"/>
    <col min="13861" max="13862" width="7.08984375" style="211" bestFit="1" customWidth="1"/>
    <col min="13863" max="13864" width="7.54296875" style="211" bestFit="1" customWidth="1"/>
    <col min="13865" max="13866" width="8" style="211" bestFit="1" customWidth="1"/>
    <col min="13867" max="14080" width="11.453125" style="211"/>
    <col min="14081" max="14081" width="91.54296875" style="211" bestFit="1" customWidth="1"/>
    <col min="14082" max="14082" width="10.54296875" style="211" customWidth="1"/>
    <col min="14083" max="14089" width="8.54296875" style="211" bestFit="1" customWidth="1"/>
    <col min="14090" max="14090" width="8.90625" style="211" bestFit="1" customWidth="1"/>
    <col min="14091" max="14091" width="9.36328125" style="211" bestFit="1" customWidth="1"/>
    <col min="14092" max="14092" width="9.36328125" style="211" customWidth="1"/>
    <col min="14093" max="14097" width="9.36328125" style="211" bestFit="1" customWidth="1"/>
    <col min="14098" max="14100" width="8.90625" style="211" bestFit="1" customWidth="1"/>
    <col min="14101" max="14103" width="9.36328125" style="211" bestFit="1" customWidth="1"/>
    <col min="14104" max="14104" width="8.6328125" style="211" customWidth="1"/>
    <col min="14105" max="14106" width="8.90625" style="211" bestFit="1" customWidth="1"/>
    <col min="14107" max="14108" width="8.54296875" style="211" bestFit="1" customWidth="1"/>
    <col min="14109" max="14109" width="6.90625" style="211" bestFit="1" customWidth="1"/>
    <col min="14110" max="14111" width="10.453125" style="211" bestFit="1" customWidth="1"/>
    <col min="14112" max="14112" width="8.08984375" style="211" customWidth="1"/>
    <col min="14113" max="14116" width="10.453125" style="211" bestFit="1" customWidth="1"/>
    <col min="14117" max="14118" width="7.08984375" style="211" bestFit="1" customWidth="1"/>
    <col min="14119" max="14120" width="7.54296875" style="211" bestFit="1" customWidth="1"/>
    <col min="14121" max="14122" width="8" style="211" bestFit="1" customWidth="1"/>
    <col min="14123" max="14336" width="11.453125" style="211"/>
    <col min="14337" max="14337" width="91.54296875" style="211" bestFit="1" customWidth="1"/>
    <col min="14338" max="14338" width="10.54296875" style="211" customWidth="1"/>
    <col min="14339" max="14345" width="8.54296875" style="211" bestFit="1" customWidth="1"/>
    <col min="14346" max="14346" width="8.90625" style="211" bestFit="1" customWidth="1"/>
    <col min="14347" max="14347" width="9.36328125" style="211" bestFit="1" customWidth="1"/>
    <col min="14348" max="14348" width="9.36328125" style="211" customWidth="1"/>
    <col min="14349" max="14353" width="9.36328125" style="211" bestFit="1" customWidth="1"/>
    <col min="14354" max="14356" width="8.90625" style="211" bestFit="1" customWidth="1"/>
    <col min="14357" max="14359" width="9.36328125" style="211" bestFit="1" customWidth="1"/>
    <col min="14360" max="14360" width="8.6328125" style="211" customWidth="1"/>
    <col min="14361" max="14362" width="8.90625" style="211" bestFit="1" customWidth="1"/>
    <col min="14363" max="14364" width="8.54296875" style="211" bestFit="1" customWidth="1"/>
    <col min="14365" max="14365" width="6.90625" style="211" bestFit="1" customWidth="1"/>
    <col min="14366" max="14367" width="10.453125" style="211" bestFit="1" customWidth="1"/>
    <col min="14368" max="14368" width="8.08984375" style="211" customWidth="1"/>
    <col min="14369" max="14372" width="10.453125" style="211" bestFit="1" customWidth="1"/>
    <col min="14373" max="14374" width="7.08984375" style="211" bestFit="1" customWidth="1"/>
    <col min="14375" max="14376" width="7.54296875" style="211" bestFit="1" customWidth="1"/>
    <col min="14377" max="14378" width="8" style="211" bestFit="1" customWidth="1"/>
    <col min="14379" max="14592" width="11.453125" style="211"/>
    <col min="14593" max="14593" width="91.54296875" style="211" bestFit="1" customWidth="1"/>
    <col min="14594" max="14594" width="10.54296875" style="211" customWidth="1"/>
    <col min="14595" max="14601" width="8.54296875" style="211" bestFit="1" customWidth="1"/>
    <col min="14602" max="14602" width="8.90625" style="211" bestFit="1" customWidth="1"/>
    <col min="14603" max="14603" width="9.36328125" style="211" bestFit="1" customWidth="1"/>
    <col min="14604" max="14604" width="9.36328125" style="211" customWidth="1"/>
    <col min="14605" max="14609" width="9.36328125" style="211" bestFit="1" customWidth="1"/>
    <col min="14610" max="14612" width="8.90625" style="211" bestFit="1" customWidth="1"/>
    <col min="14613" max="14615" width="9.36328125" style="211" bestFit="1" customWidth="1"/>
    <col min="14616" max="14616" width="8.6328125" style="211" customWidth="1"/>
    <col min="14617" max="14618" width="8.90625" style="211" bestFit="1" customWidth="1"/>
    <col min="14619" max="14620" width="8.54296875" style="211" bestFit="1" customWidth="1"/>
    <col min="14621" max="14621" width="6.90625" style="211" bestFit="1" customWidth="1"/>
    <col min="14622" max="14623" width="10.453125" style="211" bestFit="1" customWidth="1"/>
    <col min="14624" max="14624" width="8.08984375" style="211" customWidth="1"/>
    <col min="14625" max="14628" width="10.453125" style="211" bestFit="1" customWidth="1"/>
    <col min="14629" max="14630" width="7.08984375" style="211" bestFit="1" customWidth="1"/>
    <col min="14631" max="14632" width="7.54296875" style="211" bestFit="1" customWidth="1"/>
    <col min="14633" max="14634" width="8" style="211" bestFit="1" customWidth="1"/>
    <col min="14635" max="14848" width="11.453125" style="211"/>
    <col min="14849" max="14849" width="91.54296875" style="211" bestFit="1" customWidth="1"/>
    <col min="14850" max="14850" width="10.54296875" style="211" customWidth="1"/>
    <col min="14851" max="14857" width="8.54296875" style="211" bestFit="1" customWidth="1"/>
    <col min="14858" max="14858" width="8.90625" style="211" bestFit="1" customWidth="1"/>
    <col min="14859" max="14859" width="9.36328125" style="211" bestFit="1" customWidth="1"/>
    <col min="14860" max="14860" width="9.36328125" style="211" customWidth="1"/>
    <col min="14861" max="14865" width="9.36328125" style="211" bestFit="1" customWidth="1"/>
    <col min="14866" max="14868" width="8.90625" style="211" bestFit="1" customWidth="1"/>
    <col min="14869" max="14871" width="9.36328125" style="211" bestFit="1" customWidth="1"/>
    <col min="14872" max="14872" width="8.6328125" style="211" customWidth="1"/>
    <col min="14873" max="14874" width="8.90625" style="211" bestFit="1" customWidth="1"/>
    <col min="14875" max="14876" width="8.54296875" style="211" bestFit="1" customWidth="1"/>
    <col min="14877" max="14877" width="6.90625" style="211" bestFit="1" customWidth="1"/>
    <col min="14878" max="14879" width="10.453125" style="211" bestFit="1" customWidth="1"/>
    <col min="14880" max="14880" width="8.08984375" style="211" customWidth="1"/>
    <col min="14881" max="14884" width="10.453125" style="211" bestFit="1" customWidth="1"/>
    <col min="14885" max="14886" width="7.08984375" style="211" bestFit="1" customWidth="1"/>
    <col min="14887" max="14888" width="7.54296875" style="211" bestFit="1" customWidth="1"/>
    <col min="14889" max="14890" width="8" style="211" bestFit="1" customWidth="1"/>
    <col min="14891" max="15104" width="11.453125" style="211"/>
    <col min="15105" max="15105" width="91.54296875" style="211" bestFit="1" customWidth="1"/>
    <col min="15106" max="15106" width="10.54296875" style="211" customWidth="1"/>
    <col min="15107" max="15113" width="8.54296875" style="211" bestFit="1" customWidth="1"/>
    <col min="15114" max="15114" width="8.90625" style="211" bestFit="1" customWidth="1"/>
    <col min="15115" max="15115" width="9.36328125" style="211" bestFit="1" customWidth="1"/>
    <col min="15116" max="15116" width="9.36328125" style="211" customWidth="1"/>
    <col min="15117" max="15121" width="9.36328125" style="211" bestFit="1" customWidth="1"/>
    <col min="15122" max="15124" width="8.90625" style="211" bestFit="1" customWidth="1"/>
    <col min="15125" max="15127" width="9.36328125" style="211" bestFit="1" customWidth="1"/>
    <col min="15128" max="15128" width="8.6328125" style="211" customWidth="1"/>
    <col min="15129" max="15130" width="8.90625" style="211" bestFit="1" customWidth="1"/>
    <col min="15131" max="15132" width="8.54296875" style="211" bestFit="1" customWidth="1"/>
    <col min="15133" max="15133" width="6.90625" style="211" bestFit="1" customWidth="1"/>
    <col min="15134" max="15135" width="10.453125" style="211" bestFit="1" customWidth="1"/>
    <col min="15136" max="15136" width="8.08984375" style="211" customWidth="1"/>
    <col min="15137" max="15140" width="10.453125" style="211" bestFit="1" customWidth="1"/>
    <col min="15141" max="15142" width="7.08984375" style="211" bestFit="1" customWidth="1"/>
    <col min="15143" max="15144" width="7.54296875" style="211" bestFit="1" customWidth="1"/>
    <col min="15145" max="15146" width="8" style="211" bestFit="1" customWidth="1"/>
    <col min="15147" max="15360" width="11.453125" style="211"/>
    <col min="15361" max="15361" width="91.54296875" style="211" bestFit="1" customWidth="1"/>
    <col min="15362" max="15362" width="10.54296875" style="211" customWidth="1"/>
    <col min="15363" max="15369" width="8.54296875" style="211" bestFit="1" customWidth="1"/>
    <col min="15370" max="15370" width="8.90625" style="211" bestFit="1" customWidth="1"/>
    <col min="15371" max="15371" width="9.36328125" style="211" bestFit="1" customWidth="1"/>
    <col min="15372" max="15372" width="9.36328125" style="211" customWidth="1"/>
    <col min="15373" max="15377" width="9.36328125" style="211" bestFit="1" customWidth="1"/>
    <col min="15378" max="15380" width="8.90625" style="211" bestFit="1" customWidth="1"/>
    <col min="15381" max="15383" width="9.36328125" style="211" bestFit="1" customWidth="1"/>
    <col min="15384" max="15384" width="8.6328125" style="211" customWidth="1"/>
    <col min="15385" max="15386" width="8.90625" style="211" bestFit="1" customWidth="1"/>
    <col min="15387" max="15388" width="8.54296875" style="211" bestFit="1" customWidth="1"/>
    <col min="15389" max="15389" width="6.90625" style="211" bestFit="1" customWidth="1"/>
    <col min="15390" max="15391" width="10.453125" style="211" bestFit="1" customWidth="1"/>
    <col min="15392" max="15392" width="8.08984375" style="211" customWidth="1"/>
    <col min="15393" max="15396" width="10.453125" style="211" bestFit="1" customWidth="1"/>
    <col min="15397" max="15398" width="7.08984375" style="211" bestFit="1" customWidth="1"/>
    <col min="15399" max="15400" width="7.54296875" style="211" bestFit="1" customWidth="1"/>
    <col min="15401" max="15402" width="8" style="211" bestFit="1" customWidth="1"/>
    <col min="15403" max="15616" width="11.453125" style="211"/>
    <col min="15617" max="15617" width="91.54296875" style="211" bestFit="1" customWidth="1"/>
    <col min="15618" max="15618" width="10.54296875" style="211" customWidth="1"/>
    <col min="15619" max="15625" width="8.54296875" style="211" bestFit="1" customWidth="1"/>
    <col min="15626" max="15626" width="8.90625" style="211" bestFit="1" customWidth="1"/>
    <col min="15627" max="15627" width="9.36328125" style="211" bestFit="1" customWidth="1"/>
    <col min="15628" max="15628" width="9.36328125" style="211" customWidth="1"/>
    <col min="15629" max="15633" width="9.36328125" style="211" bestFit="1" customWidth="1"/>
    <col min="15634" max="15636" width="8.90625" style="211" bestFit="1" customWidth="1"/>
    <col min="15637" max="15639" width="9.36328125" style="211" bestFit="1" customWidth="1"/>
    <col min="15640" max="15640" width="8.6328125" style="211" customWidth="1"/>
    <col min="15641" max="15642" width="8.90625" style="211" bestFit="1" customWidth="1"/>
    <col min="15643" max="15644" width="8.54296875" style="211" bestFit="1" customWidth="1"/>
    <col min="15645" max="15645" width="6.90625" style="211" bestFit="1" customWidth="1"/>
    <col min="15646" max="15647" width="10.453125" style="211" bestFit="1" customWidth="1"/>
    <col min="15648" max="15648" width="8.08984375" style="211" customWidth="1"/>
    <col min="15649" max="15652" width="10.453125" style="211" bestFit="1" customWidth="1"/>
    <col min="15653" max="15654" width="7.08984375" style="211" bestFit="1" customWidth="1"/>
    <col min="15655" max="15656" width="7.54296875" style="211" bestFit="1" customWidth="1"/>
    <col min="15657" max="15658" width="8" style="211" bestFit="1" customWidth="1"/>
    <col min="15659" max="15872" width="11.453125" style="211"/>
    <col min="15873" max="15873" width="91.54296875" style="211" bestFit="1" customWidth="1"/>
    <col min="15874" max="15874" width="10.54296875" style="211" customWidth="1"/>
    <col min="15875" max="15881" width="8.54296875" style="211" bestFit="1" customWidth="1"/>
    <col min="15882" max="15882" width="8.90625" style="211" bestFit="1" customWidth="1"/>
    <col min="15883" max="15883" width="9.36328125" style="211" bestFit="1" customWidth="1"/>
    <col min="15884" max="15884" width="9.36328125" style="211" customWidth="1"/>
    <col min="15885" max="15889" width="9.36328125" style="211" bestFit="1" customWidth="1"/>
    <col min="15890" max="15892" width="8.90625" style="211" bestFit="1" customWidth="1"/>
    <col min="15893" max="15895" width="9.36328125" style="211" bestFit="1" customWidth="1"/>
    <col min="15896" max="15896" width="8.6328125" style="211" customWidth="1"/>
    <col min="15897" max="15898" width="8.90625" style="211" bestFit="1" customWidth="1"/>
    <col min="15899" max="15900" width="8.54296875" style="211" bestFit="1" customWidth="1"/>
    <col min="15901" max="15901" width="6.90625" style="211" bestFit="1" customWidth="1"/>
    <col min="15902" max="15903" width="10.453125" style="211" bestFit="1" customWidth="1"/>
    <col min="15904" max="15904" width="8.08984375" style="211" customWidth="1"/>
    <col min="15905" max="15908" width="10.453125" style="211" bestFit="1" customWidth="1"/>
    <col min="15909" max="15910" width="7.08984375" style="211" bestFit="1" customWidth="1"/>
    <col min="15911" max="15912" width="7.54296875" style="211" bestFit="1" customWidth="1"/>
    <col min="15913" max="15914" width="8" style="211" bestFit="1" customWidth="1"/>
    <col min="15915" max="16128" width="11.453125" style="211"/>
    <col min="16129" max="16129" width="91.54296875" style="211" bestFit="1" customWidth="1"/>
    <col min="16130" max="16130" width="10.54296875" style="211" customWidth="1"/>
    <col min="16131" max="16137" width="8.54296875" style="211" bestFit="1" customWidth="1"/>
    <col min="16138" max="16138" width="8.90625" style="211" bestFit="1" customWidth="1"/>
    <col min="16139" max="16139" width="9.36328125" style="211" bestFit="1" customWidth="1"/>
    <col min="16140" max="16140" width="9.36328125" style="211" customWidth="1"/>
    <col min="16141" max="16145" width="9.36328125" style="211" bestFit="1" customWidth="1"/>
    <col min="16146" max="16148" width="8.90625" style="211" bestFit="1" customWidth="1"/>
    <col min="16149" max="16151" width="9.36328125" style="211" bestFit="1" customWidth="1"/>
    <col min="16152" max="16152" width="8.6328125" style="211" customWidth="1"/>
    <col min="16153" max="16154" width="8.90625" style="211" bestFit="1" customWidth="1"/>
    <col min="16155" max="16156" width="8.54296875" style="211" bestFit="1" customWidth="1"/>
    <col min="16157" max="16157" width="6.90625" style="211" bestFit="1" customWidth="1"/>
    <col min="16158" max="16159" width="10.453125" style="211" bestFit="1" customWidth="1"/>
    <col min="16160" max="16160" width="8.08984375" style="211" customWidth="1"/>
    <col min="16161" max="16164" width="10.453125" style="211" bestFit="1" customWidth="1"/>
    <col min="16165" max="16166" width="7.08984375" style="211" bestFit="1" customWidth="1"/>
    <col min="16167" max="16168" width="7.54296875" style="211" bestFit="1" customWidth="1"/>
    <col min="16169" max="16170" width="8" style="211" bestFit="1" customWidth="1"/>
    <col min="16171" max="16384" width="11.453125" style="211"/>
  </cols>
  <sheetData>
    <row r="1" spans="1:49" s="124" customFormat="1" ht="25.5" customHeight="1">
      <c r="A1" s="123" t="s">
        <v>221</v>
      </c>
    </row>
    <row r="2" spans="1:49" s="126" customFormat="1" ht="30.75" customHeight="1">
      <c r="A2" s="125" t="s">
        <v>222</v>
      </c>
      <c r="B2" s="126">
        <v>1</v>
      </c>
      <c r="C2" s="126">
        <v>2</v>
      </c>
      <c r="D2" s="126">
        <v>3</v>
      </c>
      <c r="E2" s="126">
        <v>4</v>
      </c>
      <c r="F2" s="126">
        <v>5</v>
      </c>
      <c r="G2" s="126">
        <v>6</v>
      </c>
      <c r="H2" s="126">
        <v>7</v>
      </c>
      <c r="I2" s="126">
        <v>8</v>
      </c>
      <c r="J2" s="126">
        <v>9</v>
      </c>
      <c r="K2" s="126">
        <v>10</v>
      </c>
      <c r="L2" s="126">
        <v>11</v>
      </c>
      <c r="M2" s="126">
        <v>12</v>
      </c>
      <c r="N2" s="126">
        <v>13</v>
      </c>
      <c r="O2" s="126">
        <v>14</v>
      </c>
      <c r="P2" s="126">
        <v>15</v>
      </c>
      <c r="Q2" s="126">
        <v>16</v>
      </c>
      <c r="R2" s="126">
        <v>17</v>
      </c>
      <c r="S2" s="126">
        <v>18</v>
      </c>
      <c r="T2" s="126">
        <v>19</v>
      </c>
      <c r="U2" s="126">
        <v>20</v>
      </c>
      <c r="V2" s="126">
        <v>21</v>
      </c>
      <c r="W2" s="126">
        <v>22</v>
      </c>
      <c r="X2" s="126">
        <v>23</v>
      </c>
      <c r="Y2" s="126">
        <v>24</v>
      </c>
      <c r="Z2" s="126">
        <v>25</v>
      </c>
      <c r="AA2" s="126">
        <v>26</v>
      </c>
      <c r="AB2" s="126">
        <v>27</v>
      </c>
      <c r="AC2" s="126">
        <v>28</v>
      </c>
      <c r="AD2" s="126">
        <v>29</v>
      </c>
      <c r="AE2" s="126">
        <v>30</v>
      </c>
      <c r="AF2" s="126">
        <v>31</v>
      </c>
      <c r="AG2" s="126">
        <v>32</v>
      </c>
      <c r="AH2" s="126">
        <v>33</v>
      </c>
      <c r="AI2" s="126">
        <v>34</v>
      </c>
      <c r="AJ2" s="126">
        <v>35</v>
      </c>
      <c r="AK2" s="126">
        <v>36</v>
      </c>
      <c r="AL2" s="126">
        <v>37</v>
      </c>
      <c r="AM2" s="126">
        <v>38</v>
      </c>
      <c r="AN2" s="126">
        <v>39</v>
      </c>
      <c r="AO2" s="126">
        <v>40</v>
      </c>
      <c r="AP2" s="126">
        <v>41</v>
      </c>
    </row>
    <row r="3" spans="1:49" s="128" customFormat="1" ht="13">
      <c r="A3" s="127" t="s">
        <v>223</v>
      </c>
      <c r="B3" s="128">
        <v>1600</v>
      </c>
      <c r="C3" s="128">
        <f>B3+10</f>
        <v>1610</v>
      </c>
      <c r="D3" s="128">
        <f t="shared" ref="D3:K3" si="0">C3+10</f>
        <v>1620</v>
      </c>
      <c r="E3" s="128">
        <f t="shared" si="0"/>
        <v>1630</v>
      </c>
      <c r="F3" s="128">
        <f t="shared" si="0"/>
        <v>1640</v>
      </c>
      <c r="G3" s="128">
        <f t="shared" si="0"/>
        <v>1650</v>
      </c>
      <c r="H3" s="128">
        <f t="shared" si="0"/>
        <v>1660</v>
      </c>
      <c r="I3" s="128">
        <f t="shared" si="0"/>
        <v>1670</v>
      </c>
      <c r="J3" s="128">
        <f t="shared" si="0"/>
        <v>1680</v>
      </c>
      <c r="K3" s="128">
        <f t="shared" si="0"/>
        <v>1690</v>
      </c>
      <c r="L3" s="128">
        <v>1700</v>
      </c>
      <c r="M3" s="128">
        <f>L3+10</f>
        <v>1710</v>
      </c>
      <c r="N3" s="128">
        <f t="shared" ref="N3:W3" si="1">M3+10</f>
        <v>1720</v>
      </c>
      <c r="O3" s="128">
        <f t="shared" si="1"/>
        <v>1730</v>
      </c>
      <c r="P3" s="128">
        <f t="shared" si="1"/>
        <v>1740</v>
      </c>
      <c r="Q3" s="128">
        <f t="shared" si="1"/>
        <v>1750</v>
      </c>
      <c r="R3" s="128">
        <f t="shared" si="1"/>
        <v>1760</v>
      </c>
      <c r="S3" s="128">
        <f t="shared" si="1"/>
        <v>1770</v>
      </c>
      <c r="T3" s="128">
        <f t="shared" si="1"/>
        <v>1780</v>
      </c>
      <c r="U3" s="128">
        <f t="shared" si="1"/>
        <v>1790</v>
      </c>
      <c r="V3" s="128">
        <f t="shared" si="1"/>
        <v>1800</v>
      </c>
      <c r="W3" s="128">
        <f t="shared" si="1"/>
        <v>1810</v>
      </c>
      <c r="X3" s="128">
        <v>1820</v>
      </c>
      <c r="Y3" s="128">
        <v>1830</v>
      </c>
      <c r="Z3" s="128">
        <v>1840</v>
      </c>
      <c r="AA3" s="128">
        <v>1850</v>
      </c>
      <c r="AB3" s="128">
        <v>1860</v>
      </c>
      <c r="AC3" s="128">
        <v>1870</v>
      </c>
      <c r="AD3" s="128">
        <v>1880</v>
      </c>
      <c r="AE3" s="128">
        <v>1890</v>
      </c>
      <c r="AF3" s="128">
        <v>1900</v>
      </c>
      <c r="AG3" s="128">
        <v>1910</v>
      </c>
      <c r="AH3" s="128">
        <v>1920</v>
      </c>
      <c r="AI3" s="128">
        <v>1930</v>
      </c>
      <c r="AJ3" s="128">
        <v>1940</v>
      </c>
      <c r="AK3" s="128">
        <v>1950</v>
      </c>
      <c r="AL3" s="128">
        <v>1960</v>
      </c>
      <c r="AM3" s="128">
        <v>1970</v>
      </c>
      <c r="AN3" s="128">
        <v>1980</v>
      </c>
      <c r="AO3" s="128">
        <v>1990</v>
      </c>
      <c r="AP3" s="128">
        <v>2000</v>
      </c>
    </row>
    <row r="4" spans="1:49" s="133" customFormat="1" ht="15.5">
      <c r="A4" s="129" t="s">
        <v>224</v>
      </c>
      <c r="B4" s="130">
        <v>595.13295022188345</v>
      </c>
      <c r="C4" s="131">
        <f>B4+(($L4-$B4)/($L$2-$B$2))</f>
        <v>597.13997865161639</v>
      </c>
      <c r="D4" s="131">
        <f t="shared" ref="D4:K4" si="2">C4+(($L4-$B4)/($L$2-$B$2))</f>
        <v>599.14700708134933</v>
      </c>
      <c r="E4" s="131">
        <f t="shared" si="2"/>
        <v>601.15403551108227</v>
      </c>
      <c r="F4" s="131">
        <f t="shared" si="2"/>
        <v>603.16106394081521</v>
      </c>
      <c r="G4" s="131">
        <f t="shared" si="2"/>
        <v>605.16809237054815</v>
      </c>
      <c r="H4" s="131">
        <f t="shared" si="2"/>
        <v>607.17512080028109</v>
      </c>
      <c r="I4" s="131">
        <f t="shared" si="2"/>
        <v>609.18214923001403</v>
      </c>
      <c r="J4" s="131">
        <f t="shared" si="2"/>
        <v>611.18917765974697</v>
      </c>
      <c r="K4" s="131">
        <f t="shared" si="2"/>
        <v>613.19620608947992</v>
      </c>
      <c r="L4" s="130">
        <v>615.2032345192132</v>
      </c>
      <c r="M4" s="131">
        <f t="shared" ref="M4:W7" si="3">L4+(($X4-$L4)/($X$2-$L$2))</f>
        <v>619.51963164261213</v>
      </c>
      <c r="N4" s="131">
        <f t="shared" si="3"/>
        <v>623.83602876601105</v>
      </c>
      <c r="O4" s="131">
        <f t="shared" si="3"/>
        <v>628.15242588940998</v>
      </c>
      <c r="P4" s="131">
        <f t="shared" si="3"/>
        <v>632.46882301280891</v>
      </c>
      <c r="Q4" s="131">
        <f t="shared" si="3"/>
        <v>636.78522013620784</v>
      </c>
      <c r="R4" s="131">
        <f t="shared" si="3"/>
        <v>641.10161725960677</v>
      </c>
      <c r="S4" s="131">
        <f t="shared" si="3"/>
        <v>645.4180143830057</v>
      </c>
      <c r="T4" s="131">
        <f t="shared" si="3"/>
        <v>649.73441150640463</v>
      </c>
      <c r="U4" s="131">
        <f t="shared" si="3"/>
        <v>654.05080862980356</v>
      </c>
      <c r="V4" s="131">
        <f t="shared" si="3"/>
        <v>658.36720575320248</v>
      </c>
      <c r="W4" s="131">
        <f t="shared" si="3"/>
        <v>662.68360287660141</v>
      </c>
      <c r="X4" s="130">
        <v>667</v>
      </c>
      <c r="Y4" s="131">
        <f>X4+ (($AC4-$X4)/($AC$2-$X$2))</f>
        <v>708.6</v>
      </c>
      <c r="Z4" s="131">
        <f>Y4+ (($AC4-$X4)/($AC$2-$X$2))</f>
        <v>750.2</v>
      </c>
      <c r="AA4" s="131">
        <f>Z4+ (($AC4-$X4)/($AC$2-$X$2))</f>
        <v>791.80000000000007</v>
      </c>
      <c r="AB4" s="131">
        <f>AA4+ (($AC4-$X4)/($AC$2-$X$2))</f>
        <v>833.40000000000009</v>
      </c>
      <c r="AC4" s="130">
        <v>875</v>
      </c>
      <c r="AD4" s="131">
        <f>AC4+(($AF4-$AC4)/($AF$2-$AC$2))</f>
        <v>1004.0906092819534</v>
      </c>
      <c r="AE4" s="131">
        <f>AD4+(($AF4-$AC4)/($AF$2-$AC$2))</f>
        <v>1133.1812185639069</v>
      </c>
      <c r="AF4" s="130">
        <v>1262.2718278458603</v>
      </c>
      <c r="AG4" s="131">
        <f>AF4+(($AK4-$AF4)/($AK$2-$AF$2))</f>
        <v>1432.0865033551431</v>
      </c>
      <c r="AH4" s="131">
        <f>AG4+(($AK4-$AF4)/($AK$2-$AF$2))</f>
        <v>1601.9011788644259</v>
      </c>
      <c r="AI4" s="131">
        <f>AH4+(($AK4-$AF4)/($AK$2-$AF$2))</f>
        <v>1771.7158543737087</v>
      </c>
      <c r="AJ4" s="131">
        <f>AI4+(($AK4-$AF4)/($AK$2-$AF$2))</f>
        <v>1941.5305298829915</v>
      </c>
      <c r="AK4" s="130">
        <v>2111.3452053922747</v>
      </c>
      <c r="AL4" s="130">
        <v>2777.3342563359629</v>
      </c>
      <c r="AM4" s="130">
        <v>3736.3842384528762</v>
      </c>
      <c r="AN4" s="130">
        <v>4519.7544082053555</v>
      </c>
      <c r="AO4" s="130">
        <v>5156.6677295068703</v>
      </c>
      <c r="AP4" s="130">
        <v>6012.3547717936763</v>
      </c>
      <c r="AQ4" s="132"/>
      <c r="AR4" s="132"/>
      <c r="AS4" s="132"/>
      <c r="AT4" s="132"/>
      <c r="AU4" s="132"/>
      <c r="AV4" s="132"/>
      <c r="AW4" s="132"/>
    </row>
    <row r="5" spans="1:49" s="139" customFormat="1" ht="13">
      <c r="A5" s="134" t="s">
        <v>225</v>
      </c>
      <c r="B5" s="135">
        <v>907.98977309044426</v>
      </c>
      <c r="C5" s="136">
        <f t="shared" ref="C5:K7" si="4">B5+(($L5-$B5)/($L$2-$B$2))</f>
        <v>920.50639552557095</v>
      </c>
      <c r="D5" s="136">
        <f t="shared" si="4"/>
        <v>933.02301796069764</v>
      </c>
      <c r="E5" s="136">
        <f t="shared" si="4"/>
        <v>945.53964039582434</v>
      </c>
      <c r="F5" s="136">
        <f t="shared" si="4"/>
        <v>958.05626283095103</v>
      </c>
      <c r="G5" s="136">
        <f t="shared" si="4"/>
        <v>970.57288526607772</v>
      </c>
      <c r="H5" s="136">
        <f t="shared" si="4"/>
        <v>983.08950770120441</v>
      </c>
      <c r="I5" s="136">
        <f t="shared" si="4"/>
        <v>995.6061301363311</v>
      </c>
      <c r="J5" s="136">
        <f t="shared" si="4"/>
        <v>1008.1227525714578</v>
      </c>
      <c r="K5" s="136">
        <f t="shared" si="4"/>
        <v>1020.6393750065845</v>
      </c>
      <c r="L5" s="135">
        <v>1033.1559974417116</v>
      </c>
      <c r="M5" s="136">
        <f t="shared" si="3"/>
        <v>1050.8475629462937</v>
      </c>
      <c r="N5" s="136">
        <f t="shared" si="3"/>
        <v>1068.5391284508758</v>
      </c>
      <c r="O5" s="136">
        <f t="shared" si="3"/>
        <v>1086.2306939554578</v>
      </c>
      <c r="P5" s="136">
        <f t="shared" si="3"/>
        <v>1103.9222594600399</v>
      </c>
      <c r="Q5" s="136">
        <f t="shared" si="3"/>
        <v>1121.6138249646219</v>
      </c>
      <c r="R5" s="136">
        <f t="shared" si="3"/>
        <v>1139.305390469204</v>
      </c>
      <c r="S5" s="136">
        <f t="shared" si="3"/>
        <v>1156.996955973786</v>
      </c>
      <c r="T5" s="136">
        <f t="shared" si="3"/>
        <v>1174.6885214783681</v>
      </c>
      <c r="U5" s="136">
        <f t="shared" si="3"/>
        <v>1192.3800869829502</v>
      </c>
      <c r="V5" s="136">
        <f t="shared" si="3"/>
        <v>1210.0716524875322</v>
      </c>
      <c r="W5" s="136">
        <f t="shared" si="3"/>
        <v>1227.7632179921143</v>
      </c>
      <c r="X5" s="135">
        <v>1245.4547834966966</v>
      </c>
      <c r="Y5" s="136">
        <f>X5+(($AA5-$X5)/($AA$2-$X$2))</f>
        <v>1383.806188916562</v>
      </c>
      <c r="Z5" s="136">
        <f>Y5+(($AA5-$X5)/($AA$2-$X$2))</f>
        <v>1522.1575943364273</v>
      </c>
      <c r="AA5" s="135">
        <v>1660.508999756293</v>
      </c>
      <c r="AB5" s="137">
        <f>(AC5+AA5)/2</f>
        <v>1874.382306462458</v>
      </c>
      <c r="AC5" s="135">
        <v>2088.2556131686233</v>
      </c>
      <c r="AD5" s="135">
        <v>2297.9436280834975</v>
      </c>
      <c r="AE5" s="135">
        <v>2643.4030480510587</v>
      </c>
      <c r="AF5" s="135">
        <v>3076.9195278746479</v>
      </c>
      <c r="AG5" s="135">
        <v>3380.4018374932125</v>
      </c>
      <c r="AH5" s="135">
        <v>3304.8971439089614</v>
      </c>
      <c r="AI5" s="135">
        <v>4288.7600878258554</v>
      </c>
      <c r="AJ5" s="135">
        <v>4984.2116859521157</v>
      </c>
      <c r="AK5" s="135">
        <v>5018.1867064515236</v>
      </c>
      <c r="AL5" s="135">
        <v>7607.224129243813</v>
      </c>
      <c r="AM5" s="135">
        <v>10958.808990873065</v>
      </c>
      <c r="AN5" s="135">
        <v>14056.52577844935</v>
      </c>
      <c r="AO5" s="135">
        <v>16872.04493495942</v>
      </c>
      <c r="AP5" s="135">
        <v>19805.870178885431</v>
      </c>
      <c r="AQ5" s="138"/>
      <c r="AR5" s="138"/>
      <c r="AS5" s="138"/>
      <c r="AT5" s="138"/>
      <c r="AU5" s="138"/>
      <c r="AV5" s="138"/>
      <c r="AW5" s="138"/>
    </row>
    <row r="6" spans="1:49" s="143" customFormat="1" ht="13">
      <c r="A6" s="140" t="s">
        <v>226</v>
      </c>
      <c r="B6" s="141">
        <v>889.69611537314643</v>
      </c>
      <c r="C6" s="142">
        <f t="shared" si="4"/>
        <v>900.53254360995402</v>
      </c>
      <c r="D6" s="142">
        <f t="shared" si="4"/>
        <v>911.36897184676161</v>
      </c>
      <c r="E6" s="142">
        <f t="shared" si="4"/>
        <v>922.2054000835692</v>
      </c>
      <c r="F6" s="142">
        <f t="shared" si="4"/>
        <v>933.04182832037679</v>
      </c>
      <c r="G6" s="142">
        <f t="shared" si="4"/>
        <v>943.87825655718439</v>
      </c>
      <c r="H6" s="142">
        <f t="shared" si="4"/>
        <v>954.71468479399198</v>
      </c>
      <c r="I6" s="142">
        <f t="shared" si="4"/>
        <v>965.55111303079957</v>
      </c>
      <c r="J6" s="142">
        <f t="shared" si="4"/>
        <v>976.38754126760716</v>
      </c>
      <c r="K6" s="142">
        <f t="shared" si="4"/>
        <v>987.22396950441475</v>
      </c>
      <c r="L6" s="141">
        <v>998.06039774122269</v>
      </c>
      <c r="M6" s="142">
        <f t="shared" si="3"/>
        <v>1015.2000078111939</v>
      </c>
      <c r="N6" s="142">
        <f t="shared" si="3"/>
        <v>1032.3396178811652</v>
      </c>
      <c r="O6" s="142">
        <f t="shared" si="3"/>
        <v>1049.4792279511364</v>
      </c>
      <c r="P6" s="142">
        <f t="shared" si="3"/>
        <v>1066.6188380211076</v>
      </c>
      <c r="Q6" s="142">
        <f t="shared" si="3"/>
        <v>1083.7584480910789</v>
      </c>
      <c r="R6" s="142">
        <f t="shared" si="3"/>
        <v>1100.8980581610501</v>
      </c>
      <c r="S6" s="142">
        <f t="shared" si="3"/>
        <v>1118.0376682310214</v>
      </c>
      <c r="T6" s="142">
        <f t="shared" si="3"/>
        <v>1135.1772783009926</v>
      </c>
      <c r="U6" s="142">
        <f t="shared" si="3"/>
        <v>1152.3168883709639</v>
      </c>
      <c r="V6" s="142">
        <f t="shared" si="3"/>
        <v>1169.4564984409351</v>
      </c>
      <c r="W6" s="142">
        <f t="shared" si="3"/>
        <v>1186.5961085109063</v>
      </c>
      <c r="X6" s="141">
        <v>1203.7357185808778</v>
      </c>
      <c r="Y6" s="136">
        <f>X6+(($AA6-$X6)/($AA$2-$X$2))</f>
        <v>1327.1744828887943</v>
      </c>
      <c r="Z6" s="136">
        <f>Y6+(($AA6-$X6)/($AA$2-$X$2))</f>
        <v>1450.6132471967107</v>
      </c>
      <c r="AA6" s="135">
        <v>1574.052011504627</v>
      </c>
      <c r="AB6" s="135">
        <v>1574.052011504627</v>
      </c>
      <c r="AC6" s="135">
        <v>1960.4460491509517</v>
      </c>
      <c r="AD6" s="135">
        <v>1960.4460491509517</v>
      </c>
      <c r="AE6" s="135">
        <v>2490.4719233248661</v>
      </c>
      <c r="AF6" s="135">
        <v>2892.9495638341018</v>
      </c>
      <c r="AG6" s="135">
        <v>2892.9495638341018</v>
      </c>
      <c r="AH6" s="135">
        <v>2892.9495638341018</v>
      </c>
      <c r="AI6" s="135">
        <v>4014.4742872376692</v>
      </c>
      <c r="AJ6" s="135">
        <v>4547.5593879072885</v>
      </c>
      <c r="AK6" s="135">
        <v>4578.5690680587868</v>
      </c>
      <c r="AL6" s="135">
        <v>6896.2141509507019</v>
      </c>
      <c r="AM6" s="135">
        <v>10194.61385171923</v>
      </c>
      <c r="AN6" s="135">
        <v>13197.226018097401</v>
      </c>
      <c r="AO6" s="135">
        <v>15965.772068289378</v>
      </c>
      <c r="AP6" s="135">
        <v>19001.518052685897</v>
      </c>
      <c r="AQ6" s="135"/>
      <c r="AR6" s="135"/>
      <c r="AS6" s="135"/>
      <c r="AT6" s="135"/>
      <c r="AU6" s="135"/>
      <c r="AV6" s="135"/>
      <c r="AW6" s="135"/>
    </row>
    <row r="7" spans="1:49" s="143" customFormat="1" ht="13">
      <c r="A7" s="144" t="s">
        <v>227</v>
      </c>
      <c r="B7" s="145">
        <v>400</v>
      </c>
      <c r="C7" s="146">
        <f t="shared" si="4"/>
        <v>407.6</v>
      </c>
      <c r="D7" s="146">
        <f t="shared" si="4"/>
        <v>415.20000000000005</v>
      </c>
      <c r="E7" s="136">
        <f t="shared" si="4"/>
        <v>422.80000000000007</v>
      </c>
      <c r="F7" s="136">
        <f t="shared" si="4"/>
        <v>430.40000000000009</v>
      </c>
      <c r="G7" s="136">
        <f t="shared" si="4"/>
        <v>438.00000000000011</v>
      </c>
      <c r="H7" s="136">
        <f t="shared" si="4"/>
        <v>445.60000000000014</v>
      </c>
      <c r="I7" s="136">
        <f t="shared" si="4"/>
        <v>453.20000000000016</v>
      </c>
      <c r="J7" s="136">
        <f t="shared" si="4"/>
        <v>460.80000000000018</v>
      </c>
      <c r="K7" s="136">
        <f t="shared" si="4"/>
        <v>468.4000000000002</v>
      </c>
      <c r="L7" s="135">
        <v>476</v>
      </c>
      <c r="M7" s="136">
        <f t="shared" si="3"/>
        <v>536.49508800047488</v>
      </c>
      <c r="N7" s="136">
        <f t="shared" si="3"/>
        <v>596.99017600094976</v>
      </c>
      <c r="O7" s="136">
        <f t="shared" si="3"/>
        <v>657.48526400142464</v>
      </c>
      <c r="P7" s="136">
        <f t="shared" si="3"/>
        <v>717.98035200189952</v>
      </c>
      <c r="Q7" s="136">
        <f t="shared" si="3"/>
        <v>778.4754400023744</v>
      </c>
      <c r="R7" s="136">
        <f t="shared" si="3"/>
        <v>838.97052800284928</v>
      </c>
      <c r="S7" s="136">
        <f t="shared" si="3"/>
        <v>899.46561600332416</v>
      </c>
      <c r="T7" s="136">
        <f t="shared" si="3"/>
        <v>959.96070400379904</v>
      </c>
      <c r="U7" s="136">
        <f t="shared" si="3"/>
        <v>1020.4557920042739</v>
      </c>
      <c r="V7" s="136">
        <f t="shared" si="3"/>
        <v>1080.9508800047488</v>
      </c>
      <c r="W7" s="136">
        <f t="shared" si="3"/>
        <v>1141.4459680052237</v>
      </c>
      <c r="X7" s="135">
        <v>1201.9410560056986</v>
      </c>
      <c r="Y7" s="141">
        <v>1328.1218410944134</v>
      </c>
      <c r="Z7" s="141">
        <v>1541.99989812032</v>
      </c>
      <c r="AA7" s="141">
        <v>1763.2660687593423</v>
      </c>
      <c r="AB7" s="141">
        <v>2137.211585665194</v>
      </c>
      <c r="AC7" s="141">
        <v>2419.1329630272521</v>
      </c>
      <c r="AD7" s="141">
        <v>2860.7002380166441</v>
      </c>
      <c r="AE7" s="141">
        <v>3372.0162934770533</v>
      </c>
      <c r="AF7" s="141">
        <v>4014.870040279643</v>
      </c>
      <c r="AG7" s="141">
        <v>4916.1955207591936</v>
      </c>
      <c r="AH7" s="141">
        <v>5397.0980879634935</v>
      </c>
      <c r="AI7" s="141">
        <v>6027.6026682052943</v>
      </c>
      <c r="AJ7" s="141">
        <v>6837.8448657869449</v>
      </c>
      <c r="AK7" s="141">
        <v>9268.4341910145249</v>
      </c>
      <c r="AL7" s="141">
        <v>10961.082848353792</v>
      </c>
      <c r="AM7" s="141">
        <v>14560.481844671916</v>
      </c>
      <c r="AN7" s="141">
        <v>18060.162962875591</v>
      </c>
      <c r="AO7" s="141">
        <v>22344.91940545087</v>
      </c>
      <c r="AP7" s="141">
        <v>27065.406884724773</v>
      </c>
      <c r="AQ7" s="135"/>
      <c r="AR7" s="135"/>
      <c r="AS7" s="135"/>
      <c r="AT7" s="135"/>
      <c r="AU7" s="135"/>
      <c r="AV7" s="135"/>
      <c r="AW7" s="135"/>
    </row>
    <row r="8" spans="1:49" s="143" customFormat="1" ht="13">
      <c r="A8" s="144" t="s">
        <v>228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>
        <v>692.19073946095364</v>
      </c>
      <c r="Y8" s="147">
        <f t="shared" ref="Y8:AB10" si="5">X8+ (($AC8-$X8)/($AC$2-$X$2))</f>
        <v>689.98863701543235</v>
      </c>
      <c r="Z8" s="147">
        <f t="shared" si="5"/>
        <v>687.78653456991105</v>
      </c>
      <c r="AA8" s="147">
        <f t="shared" si="5"/>
        <v>685.58443212438976</v>
      </c>
      <c r="AB8" s="147">
        <f t="shared" si="5"/>
        <v>683.38232967886847</v>
      </c>
      <c r="AC8" s="135">
        <v>681.18022723334741</v>
      </c>
      <c r="AD8" s="147">
        <f t="shared" ref="AD8:AE10" si="6">AC8+(($AF8-$AC8)/($AF$2-$AC$2))</f>
        <v>823.7201572690152</v>
      </c>
      <c r="AE8" s="147">
        <f t="shared" si="6"/>
        <v>966.260087304683</v>
      </c>
      <c r="AF8" s="135">
        <v>1108.8000173403507</v>
      </c>
      <c r="AG8" s="147">
        <f t="shared" ref="AG8:AJ10" si="7">AF8+(($AK8-$AF8)/($AK$2-$AF$2))</f>
        <v>1388.3209978475109</v>
      </c>
      <c r="AH8" s="147">
        <f t="shared" si="7"/>
        <v>1667.841978354671</v>
      </c>
      <c r="AI8" s="147">
        <f t="shared" si="7"/>
        <v>1947.3629588618312</v>
      </c>
      <c r="AJ8" s="147">
        <f t="shared" si="7"/>
        <v>2226.8839393689914</v>
      </c>
      <c r="AK8" s="135">
        <v>2506.4049198761513</v>
      </c>
      <c r="AL8" s="135">
        <v>3132.692581420823</v>
      </c>
      <c r="AM8" s="135">
        <v>3985.7540465139</v>
      </c>
      <c r="AN8" s="135">
        <v>5412.4261280006922</v>
      </c>
      <c r="AO8" s="135">
        <v>5052.8624501931599</v>
      </c>
      <c r="AP8" s="135">
        <v>5838.4648559190264</v>
      </c>
      <c r="AQ8" s="135"/>
      <c r="AR8" s="135"/>
      <c r="AS8" s="135"/>
      <c r="AT8" s="135"/>
      <c r="AU8" s="135"/>
      <c r="AV8" s="135"/>
      <c r="AW8" s="135"/>
    </row>
    <row r="9" spans="1:49" s="150" customFormat="1" ht="13">
      <c r="A9" s="144" t="s">
        <v>229</v>
      </c>
      <c r="B9" s="148">
        <v>572</v>
      </c>
      <c r="C9" s="136">
        <f t="shared" ref="C9:K10" si="8">B9+(($L9-$B9)/($L$2-$B$2))</f>
        <v>575.6</v>
      </c>
      <c r="D9" s="136">
        <f t="shared" si="8"/>
        <v>579.20000000000005</v>
      </c>
      <c r="E9" s="136">
        <f t="shared" si="8"/>
        <v>582.80000000000007</v>
      </c>
      <c r="F9" s="136">
        <f t="shared" si="8"/>
        <v>586.40000000000009</v>
      </c>
      <c r="G9" s="136">
        <f t="shared" si="8"/>
        <v>590.00000000000011</v>
      </c>
      <c r="H9" s="136">
        <f t="shared" si="8"/>
        <v>593.60000000000014</v>
      </c>
      <c r="I9" s="136">
        <f t="shared" si="8"/>
        <v>597.20000000000016</v>
      </c>
      <c r="J9" s="136">
        <f t="shared" si="8"/>
        <v>600.80000000000018</v>
      </c>
      <c r="K9" s="136">
        <f t="shared" si="8"/>
        <v>604.4000000000002</v>
      </c>
      <c r="L9" s="148">
        <v>608</v>
      </c>
      <c r="M9" s="136">
        <f t="shared" ref="M9:W10" si="9">L9+(($X9-$L9)/($X$2-$L$2))</f>
        <v>605.75</v>
      </c>
      <c r="N9" s="136">
        <f t="shared" si="9"/>
        <v>603.5</v>
      </c>
      <c r="O9" s="136">
        <f t="shared" si="9"/>
        <v>601.25</v>
      </c>
      <c r="P9" s="136">
        <f t="shared" si="9"/>
        <v>599</v>
      </c>
      <c r="Q9" s="136">
        <f t="shared" si="9"/>
        <v>596.75</v>
      </c>
      <c r="R9" s="136">
        <f t="shared" si="9"/>
        <v>594.5</v>
      </c>
      <c r="S9" s="136">
        <f t="shared" si="9"/>
        <v>592.25</v>
      </c>
      <c r="T9" s="136">
        <f t="shared" si="9"/>
        <v>590</v>
      </c>
      <c r="U9" s="136">
        <f t="shared" si="9"/>
        <v>587.75</v>
      </c>
      <c r="V9" s="136">
        <f t="shared" si="9"/>
        <v>585.5</v>
      </c>
      <c r="W9" s="136">
        <f t="shared" si="9"/>
        <v>583.25</v>
      </c>
      <c r="X9" s="148">
        <v>581</v>
      </c>
      <c r="Y9" s="136">
        <f t="shared" si="5"/>
        <v>576.4</v>
      </c>
      <c r="Z9" s="136">
        <f t="shared" si="5"/>
        <v>571.79999999999995</v>
      </c>
      <c r="AA9" s="136">
        <f t="shared" si="5"/>
        <v>567.19999999999993</v>
      </c>
      <c r="AB9" s="136">
        <f t="shared" si="5"/>
        <v>562.59999999999991</v>
      </c>
      <c r="AC9" s="148">
        <v>558</v>
      </c>
      <c r="AD9" s="136">
        <f t="shared" si="6"/>
        <v>584.53853094613225</v>
      </c>
      <c r="AE9" s="136">
        <f t="shared" si="6"/>
        <v>611.07706189226451</v>
      </c>
      <c r="AF9" s="148">
        <v>637.61559283839676</v>
      </c>
      <c r="AG9" s="146">
        <f t="shared" si="7"/>
        <v>652.41069695845874</v>
      </c>
      <c r="AH9" s="146">
        <f t="shared" si="7"/>
        <v>667.20580107852072</v>
      </c>
      <c r="AI9" s="146">
        <f t="shared" si="7"/>
        <v>682.0009051985827</v>
      </c>
      <c r="AJ9" s="146">
        <f t="shared" si="7"/>
        <v>696.79600931864468</v>
      </c>
      <c r="AK9" s="149">
        <v>711.59111343870688</v>
      </c>
      <c r="AL9" s="149">
        <v>1029.3734393489196</v>
      </c>
      <c r="AM9" s="148">
        <v>1530.0923957239386</v>
      </c>
      <c r="AN9" s="148">
        <v>2034.3918234986834</v>
      </c>
      <c r="AO9" s="148">
        <v>2780.8097496388555</v>
      </c>
      <c r="AP9" s="148">
        <v>3817.4813045264418</v>
      </c>
      <c r="AQ9" s="148"/>
      <c r="AR9" s="148"/>
      <c r="AS9" s="148"/>
      <c r="AT9" s="148"/>
      <c r="AU9" s="148"/>
      <c r="AV9" s="148"/>
      <c r="AW9" s="148"/>
    </row>
    <row r="10" spans="1:49" s="143" customFormat="1" ht="13">
      <c r="A10" s="144" t="s">
        <v>230</v>
      </c>
      <c r="B10" s="148">
        <v>422</v>
      </c>
      <c r="C10" s="136">
        <f t="shared" si="8"/>
        <v>421.9</v>
      </c>
      <c r="D10" s="136">
        <f t="shared" si="8"/>
        <v>421.79999999999995</v>
      </c>
      <c r="E10" s="146">
        <f t="shared" si="8"/>
        <v>421.69999999999993</v>
      </c>
      <c r="F10" s="146">
        <f t="shared" si="8"/>
        <v>421.59999999999991</v>
      </c>
      <c r="G10" s="146">
        <f t="shared" si="8"/>
        <v>421.49999999999989</v>
      </c>
      <c r="H10" s="146">
        <f t="shared" si="8"/>
        <v>421.39999999999986</v>
      </c>
      <c r="I10" s="146">
        <f t="shared" si="8"/>
        <v>421.29999999999984</v>
      </c>
      <c r="J10" s="146">
        <f t="shared" si="8"/>
        <v>421.19999999999982</v>
      </c>
      <c r="K10" s="146">
        <f t="shared" si="8"/>
        <v>421.0999999999998</v>
      </c>
      <c r="L10" s="149">
        <v>421</v>
      </c>
      <c r="M10" s="146">
        <f t="shared" si="9"/>
        <v>420.89632613107744</v>
      </c>
      <c r="N10" s="146">
        <f t="shared" si="9"/>
        <v>420.79265226215489</v>
      </c>
      <c r="O10" s="146">
        <f t="shared" si="9"/>
        <v>420.68897839323233</v>
      </c>
      <c r="P10" s="146">
        <f t="shared" si="9"/>
        <v>420.58530452430978</v>
      </c>
      <c r="Q10" s="146">
        <f t="shared" si="9"/>
        <v>420.48163065538722</v>
      </c>
      <c r="R10" s="146">
        <f t="shared" si="9"/>
        <v>420.37795678646467</v>
      </c>
      <c r="S10" s="146">
        <f t="shared" si="9"/>
        <v>420.27428291754211</v>
      </c>
      <c r="T10" s="146">
        <f t="shared" si="9"/>
        <v>420.17060904861955</v>
      </c>
      <c r="U10" s="146">
        <f t="shared" si="9"/>
        <v>420.066935179697</v>
      </c>
      <c r="V10" s="146">
        <f t="shared" si="9"/>
        <v>419.96326131077444</v>
      </c>
      <c r="W10" s="146">
        <f t="shared" si="9"/>
        <v>419.85958744185189</v>
      </c>
      <c r="X10" s="149">
        <v>419.75591357292956</v>
      </c>
      <c r="Y10" s="146">
        <f t="shared" si="5"/>
        <v>435.80473085834365</v>
      </c>
      <c r="Z10" s="146">
        <f t="shared" si="5"/>
        <v>451.85354814375773</v>
      </c>
      <c r="AA10" s="146">
        <f t="shared" si="5"/>
        <v>467.90236542917182</v>
      </c>
      <c r="AB10" s="146">
        <f t="shared" si="5"/>
        <v>483.95118271458591</v>
      </c>
      <c r="AC10" s="149">
        <v>500</v>
      </c>
      <c r="AD10" s="146">
        <f t="shared" si="6"/>
        <v>533.66666666666663</v>
      </c>
      <c r="AE10" s="146">
        <f t="shared" si="6"/>
        <v>567.33333333333326</v>
      </c>
      <c r="AF10" s="145">
        <v>601</v>
      </c>
      <c r="AG10" s="136">
        <f t="shared" si="7"/>
        <v>659.50747063606275</v>
      </c>
      <c r="AH10" s="136">
        <f t="shared" si="7"/>
        <v>718.0149412721255</v>
      </c>
      <c r="AI10" s="136">
        <f t="shared" si="7"/>
        <v>776.52241190818825</v>
      </c>
      <c r="AJ10" s="136">
        <f t="shared" si="7"/>
        <v>835.029882544251</v>
      </c>
      <c r="AK10" s="135">
        <v>893.53735318031352</v>
      </c>
      <c r="AL10" s="135">
        <v>1065.949905114185</v>
      </c>
      <c r="AM10" s="145">
        <v>1356.9908360419292</v>
      </c>
      <c r="AN10" s="145">
        <v>1535.5886371738329</v>
      </c>
      <c r="AO10" s="145">
        <v>1443.6473077947514</v>
      </c>
      <c r="AP10" s="145">
        <v>1463.8047832105344</v>
      </c>
      <c r="AQ10" s="135"/>
      <c r="AR10" s="135"/>
      <c r="AS10" s="135"/>
      <c r="AT10" s="135"/>
      <c r="AU10" s="135"/>
      <c r="AV10" s="135"/>
      <c r="AW10" s="135"/>
    </row>
    <row r="11" spans="1:49" s="128" customFormat="1" ht="13">
      <c r="A11" s="127"/>
    </row>
    <row r="12" spans="1:49" s="128" customFormat="1" ht="13">
      <c r="A12" s="151" t="s">
        <v>231</v>
      </c>
      <c r="B12" s="152">
        <f>B6/B7</f>
        <v>2.224240288432866</v>
      </c>
      <c r="C12" s="152">
        <f>C6/C7</f>
        <v>2.2093536398674041</v>
      </c>
      <c r="D12" s="152">
        <f>D6/D7</f>
        <v>2.195011974582759</v>
      </c>
      <c r="E12" s="152">
        <f>E6/E10</f>
        <v>2.1868755041109065</v>
      </c>
      <c r="F12" s="152">
        <f t="shared" ref="F12:X12" si="10">F6/F10</f>
        <v>2.2130973157504199</v>
      </c>
      <c r="G12" s="152">
        <f t="shared" si="10"/>
        <v>2.239331569530687</v>
      </c>
      <c r="H12" s="152">
        <f t="shared" si="10"/>
        <v>2.2655782743094264</v>
      </c>
      <c r="I12" s="152">
        <f t="shared" si="10"/>
        <v>2.2918374389527649</v>
      </c>
      <c r="J12" s="152">
        <f t="shared" si="10"/>
        <v>2.3181090723352509</v>
      </c>
      <c r="K12" s="152">
        <f t="shared" si="10"/>
        <v>2.3443931833398604</v>
      </c>
      <c r="L12" s="152">
        <f t="shared" si="10"/>
        <v>2.3706897808580112</v>
      </c>
      <c r="M12" s="152">
        <f t="shared" si="10"/>
        <v>2.4119954126067515</v>
      </c>
      <c r="N12" s="152">
        <f t="shared" si="10"/>
        <v>2.4533213979174118</v>
      </c>
      <c r="O12" s="152">
        <f t="shared" si="10"/>
        <v>2.494667751837683</v>
      </c>
      <c r="P12" s="152">
        <f t="shared" si="10"/>
        <v>2.5360344894300919</v>
      </c>
      <c r="Q12" s="152">
        <f t="shared" si="10"/>
        <v>2.5774216257720215</v>
      </c>
      <c r="R12" s="152">
        <f t="shared" si="10"/>
        <v>2.6188291759557285</v>
      </c>
      <c r="S12" s="152">
        <f t="shared" si="10"/>
        <v>2.6602571550883605</v>
      </c>
      <c r="T12" s="152">
        <f t="shared" si="10"/>
        <v>2.7017055782919766</v>
      </c>
      <c r="U12" s="152">
        <f t="shared" si="10"/>
        <v>2.7431744607035631</v>
      </c>
      <c r="V12" s="152">
        <f t="shared" si="10"/>
        <v>2.7846638174750549</v>
      </c>
      <c r="W12" s="152">
        <f t="shared" si="10"/>
        <v>2.8261736637733512</v>
      </c>
      <c r="X12" s="152">
        <f t="shared" si="10"/>
        <v>2.8677040147803359</v>
      </c>
      <c r="Y12" s="152">
        <f>Y7/Y10</f>
        <v>3.0475158873989217</v>
      </c>
      <c r="Z12" s="152">
        <f t="shared" ref="Z12:AF12" si="11">Z7/Z10</f>
        <v>3.4126099141081236</v>
      </c>
      <c r="AA12" s="152">
        <f t="shared" si="11"/>
        <v>3.7684487171635266</v>
      </c>
      <c r="AB12" s="152">
        <f t="shared" si="11"/>
        <v>4.4161718412942319</v>
      </c>
      <c r="AC12" s="152">
        <f t="shared" si="11"/>
        <v>4.838265926054504</v>
      </c>
      <c r="AD12" s="152">
        <f t="shared" si="11"/>
        <v>5.3604626571205074</v>
      </c>
      <c r="AE12" s="152">
        <f t="shared" si="11"/>
        <v>5.9436244890899887</v>
      </c>
      <c r="AF12" s="152">
        <f t="shared" si="11"/>
        <v>6.6803162067880919</v>
      </c>
      <c r="AG12" s="152">
        <f t="shared" ref="AG12:AL12" si="12">AG7/AG9</f>
        <v>7.5354305864059503</v>
      </c>
      <c r="AH12" s="152">
        <f t="shared" si="12"/>
        <v>8.0891054592739238</v>
      </c>
      <c r="AI12" s="152">
        <f t="shared" si="12"/>
        <v>8.8381153489088078</v>
      </c>
      <c r="AJ12" s="152">
        <f t="shared" si="12"/>
        <v>9.8132663998366834</v>
      </c>
      <c r="AK12" s="152">
        <f t="shared" si="12"/>
        <v>13.02494370148267</v>
      </c>
      <c r="AL12" s="152">
        <f t="shared" si="12"/>
        <v>10.648305492792483</v>
      </c>
      <c r="AM12" s="152">
        <f>AM7/AM10</f>
        <v>10.729978020442591</v>
      </c>
      <c r="AN12" s="152">
        <f>AN7/AN10</f>
        <v>11.761068378387023</v>
      </c>
      <c r="AO12" s="152">
        <f>AO7/AO10</f>
        <v>15.478101392772956</v>
      </c>
      <c r="AP12" s="152">
        <f>AP7/AP10</f>
        <v>18.48976529873249</v>
      </c>
    </row>
    <row r="13" spans="1:49" s="128" customFormat="1" ht="13">
      <c r="A13" s="153" t="s">
        <v>232</v>
      </c>
      <c r="B13" s="152">
        <f>B5/B7</f>
        <v>2.2699744327261104</v>
      </c>
      <c r="C13" s="152">
        <f>C5/C7</f>
        <v>2.2583572019763762</v>
      </c>
      <c r="D13" s="152">
        <f>D5/D7</f>
        <v>2.2471652648379035</v>
      </c>
      <c r="E13" s="152">
        <f>E5/E10</f>
        <v>2.2422092492194081</v>
      </c>
      <c r="F13" s="152">
        <f t="shared" ref="F13:X13" si="13">F5/F10</f>
        <v>2.2724294659178161</v>
      </c>
      <c r="G13" s="152">
        <f t="shared" si="13"/>
        <v>2.3026640219835777</v>
      </c>
      <c r="H13" s="152">
        <f t="shared" si="13"/>
        <v>2.3329129276250704</v>
      </c>
      <c r="I13" s="152">
        <f t="shared" si="13"/>
        <v>2.3631761930603643</v>
      </c>
      <c r="J13" s="152">
        <f t="shared" si="13"/>
        <v>2.3934538285172322</v>
      </c>
      <c r="K13" s="152">
        <f t="shared" si="13"/>
        <v>2.4237458442331632</v>
      </c>
      <c r="L13" s="152">
        <f t="shared" si="13"/>
        <v>2.4540522504553719</v>
      </c>
      <c r="M13" s="152">
        <f t="shared" si="13"/>
        <v>2.4966897967625261</v>
      </c>
      <c r="N13" s="152">
        <f t="shared" si="13"/>
        <v>2.539348352939331</v>
      </c>
      <c r="O13" s="152">
        <f t="shared" si="13"/>
        <v>2.5820279345186954</v>
      </c>
      <c r="P13" s="152">
        <f t="shared" si="13"/>
        <v>2.6247285570488432</v>
      </c>
      <c r="Q13" s="152">
        <f t="shared" si="13"/>
        <v>2.6674502360933321</v>
      </c>
      <c r="R13" s="152">
        <f t="shared" si="13"/>
        <v>2.7101929872310739</v>
      </c>
      <c r="S13" s="152">
        <f t="shared" si="13"/>
        <v>2.7529568260563519</v>
      </c>
      <c r="T13" s="152">
        <f t="shared" si="13"/>
        <v>2.795741768178841</v>
      </c>
      <c r="U13" s="152">
        <f t="shared" si="13"/>
        <v>2.838547829223625</v>
      </c>
      <c r="V13" s="152">
        <f t="shared" si="13"/>
        <v>2.8813750248312187</v>
      </c>
      <c r="W13" s="152">
        <f t="shared" si="13"/>
        <v>2.9242233706575829</v>
      </c>
      <c r="X13" s="152">
        <f t="shared" si="13"/>
        <v>2.9670928823741463</v>
      </c>
      <c r="Y13" s="152">
        <f>Y5/Y10</f>
        <v>3.1752895068189653</v>
      </c>
      <c r="Z13" s="152">
        <f>Z7/Z10</f>
        <v>3.4126099141081236</v>
      </c>
      <c r="AA13" s="152">
        <f t="shared" ref="AA13:AP13" si="14">AA7/AA10</f>
        <v>3.7684487171635266</v>
      </c>
      <c r="AB13" s="152">
        <f t="shared" si="14"/>
        <v>4.4161718412942319</v>
      </c>
      <c r="AC13" s="152">
        <f t="shared" si="14"/>
        <v>4.838265926054504</v>
      </c>
      <c r="AD13" s="152">
        <f t="shared" si="14"/>
        <v>5.3604626571205074</v>
      </c>
      <c r="AE13" s="152">
        <f t="shared" si="14"/>
        <v>5.9436244890899887</v>
      </c>
      <c r="AF13" s="152">
        <f t="shared" si="14"/>
        <v>6.6803162067880919</v>
      </c>
      <c r="AG13" s="152">
        <f t="shared" ref="AG13:AL13" si="15">AG7/AG9</f>
        <v>7.5354305864059503</v>
      </c>
      <c r="AH13" s="152">
        <f t="shared" si="15"/>
        <v>8.0891054592739238</v>
      </c>
      <c r="AI13" s="152">
        <f t="shared" si="15"/>
        <v>8.8381153489088078</v>
      </c>
      <c r="AJ13" s="152">
        <f t="shared" si="15"/>
        <v>9.8132663998366834</v>
      </c>
      <c r="AK13" s="152">
        <f t="shared" si="15"/>
        <v>13.02494370148267</v>
      </c>
      <c r="AL13" s="152">
        <f t="shared" si="15"/>
        <v>10.648305492792483</v>
      </c>
      <c r="AM13" s="152">
        <f t="shared" si="14"/>
        <v>10.729978020442591</v>
      </c>
      <c r="AN13" s="152">
        <f t="shared" si="14"/>
        <v>11.761068378387023</v>
      </c>
      <c r="AO13" s="152">
        <f t="shared" si="14"/>
        <v>15.478101392772956</v>
      </c>
      <c r="AP13" s="152">
        <f t="shared" si="14"/>
        <v>18.48976529873249</v>
      </c>
      <c r="AQ13" s="152"/>
    </row>
    <row r="14" spans="1:49" s="128" customFormat="1" ht="13">
      <c r="A14" s="127"/>
      <c r="T14" s="128" t="s">
        <v>233</v>
      </c>
      <c r="V14" s="154">
        <f>(AP12-V12)/V12</f>
        <v>5.6398554765213129</v>
      </c>
    </row>
    <row r="15" spans="1:49" s="157" customFormat="1" ht="13">
      <c r="A15" s="155" t="s">
        <v>234</v>
      </c>
      <c r="B15" s="156">
        <f>B16/B17</f>
        <v>2.7690876131145323</v>
      </c>
      <c r="L15" s="156">
        <f>L16/L17</f>
        <v>3.3875621682130928</v>
      </c>
      <c r="X15" s="156">
        <f t="shared" ref="X15:AP15" si="16">X16/X17</f>
        <v>3.7608134062494254</v>
      </c>
      <c r="Y15" s="156">
        <f t="shared" si="16"/>
        <v>3.2392647888138244</v>
      </c>
      <c r="Z15" s="156">
        <f t="shared" si="16"/>
        <v>3.7315798328826273</v>
      </c>
      <c r="AA15" s="156">
        <f t="shared" si="16"/>
        <v>4.0176798511210734</v>
      </c>
      <c r="AB15" s="156">
        <f t="shared" si="16"/>
        <v>4.6283816561216984</v>
      </c>
      <c r="AC15" s="156">
        <f t="shared" si="16"/>
        <v>6.9690967517268891</v>
      </c>
      <c r="AD15" s="156">
        <f t="shared" si="16"/>
        <v>6.166922839391245</v>
      </c>
      <c r="AE15" s="156">
        <f t="shared" si="16"/>
        <v>6.8353300113923057</v>
      </c>
      <c r="AF15" s="156">
        <f t="shared" si="16"/>
        <v>7.1346015658595823</v>
      </c>
      <c r="AG15" s="156">
        <f t="shared" si="16"/>
        <v>7.2376601509899947</v>
      </c>
      <c r="AH15" s="156">
        <f t="shared" si="16"/>
        <v>6.9452341717890222</v>
      </c>
      <c r="AI15" s="156">
        <f t="shared" si="16"/>
        <v>8.5049152524469758</v>
      </c>
      <c r="AJ15" s="156">
        <f t="shared" si="16"/>
        <v>7.9788159773587708</v>
      </c>
      <c r="AK15" s="156">
        <f t="shared" si="16"/>
        <v>27.170906413460479</v>
      </c>
      <c r="AL15" s="156">
        <f t="shared" si="16"/>
        <v>25.836300595960246</v>
      </c>
      <c r="AM15" s="156">
        <f t="shared" si="16"/>
        <v>29.161067780890907</v>
      </c>
      <c r="AN15" s="156">
        <f t="shared" si="16"/>
        <v>34.118596450152054</v>
      </c>
      <c r="AO15" s="156">
        <f t="shared" si="16"/>
        <v>40.77478298689627</v>
      </c>
      <c r="AP15" s="156">
        <f t="shared" si="16"/>
        <v>64.150028246700856</v>
      </c>
    </row>
    <row r="16" spans="1:49" s="160" customFormat="1" ht="13">
      <c r="A16" s="158" t="s">
        <v>235</v>
      </c>
      <c r="B16" s="159">
        <f>AVERAGE(B18:B21)</f>
        <v>1107.635045245813</v>
      </c>
      <c r="L16" s="159">
        <f>AVERAGE(L18:L21)</f>
        <v>1406.0802685347344</v>
      </c>
      <c r="X16" s="159">
        <f t="shared" ref="X16:AP16" si="17">AVERAGE(X18:X21)</f>
        <v>1534.0896018684518</v>
      </c>
      <c r="Y16" s="159">
        <f t="shared" si="17"/>
        <v>1634.217228529217</v>
      </c>
      <c r="Z16" s="159">
        <f t="shared" si="17"/>
        <v>1865.2968044528911</v>
      </c>
      <c r="AA16" s="159">
        <f t="shared" si="17"/>
        <v>2130.7940039505306</v>
      </c>
      <c r="AB16" s="159">
        <f t="shared" si="17"/>
        <v>2598.5776571191177</v>
      </c>
      <c r="AC16" s="159">
        <f t="shared" si="17"/>
        <v>3080.029127586999</v>
      </c>
      <c r="AD16" s="159">
        <f t="shared" si="17"/>
        <v>3643.5157807701084</v>
      </c>
      <c r="AE16" s="159">
        <f t="shared" si="17"/>
        <v>3912.4474098236892</v>
      </c>
      <c r="AF16" s="159">
        <f t="shared" si="17"/>
        <v>4223.5270451275037</v>
      </c>
      <c r="AG16" s="159">
        <f t="shared" si="17"/>
        <v>5025.1628714330081</v>
      </c>
      <c r="AH16" s="159">
        <f t="shared" si="17"/>
        <v>5126.7687410815861</v>
      </c>
      <c r="AI16" s="159">
        <f t="shared" si="17"/>
        <v>5850.4372949306198</v>
      </c>
      <c r="AJ16" s="159">
        <f t="shared" si="17"/>
        <v>6640.6762597697407</v>
      </c>
      <c r="AK16" s="159">
        <f t="shared" si="17"/>
        <v>8593.0438008321671</v>
      </c>
      <c r="AL16" s="159">
        <f t="shared" si="17"/>
        <v>10510.323779447426</v>
      </c>
      <c r="AM16" s="159">
        <f t="shared" si="17"/>
        <v>14333.839351629078</v>
      </c>
      <c r="AN16" s="159">
        <f t="shared" si="17"/>
        <v>17189.88037201159</v>
      </c>
      <c r="AO16" s="159">
        <f t="shared" si="17"/>
        <v>20505.168008366221</v>
      </c>
      <c r="AP16" s="159">
        <f t="shared" si="17"/>
        <v>24425.513015024248</v>
      </c>
    </row>
    <row r="17" spans="1:42" s="160" customFormat="1" ht="13">
      <c r="A17" s="158" t="s">
        <v>236</v>
      </c>
      <c r="B17" s="159">
        <f>AVERAGE(B22:B25)</f>
        <v>400</v>
      </c>
      <c r="L17" s="159">
        <f>AVERAGE(L22:L25)</f>
        <v>415.07142857142856</v>
      </c>
      <c r="X17" s="159">
        <f t="shared" ref="X17:AP17" si="18">AVERAGE(X22:X25)</f>
        <v>407.91430899475677</v>
      </c>
      <c r="Y17" s="159">
        <f t="shared" si="18"/>
        <v>504.50251371010813</v>
      </c>
      <c r="Z17" s="159">
        <f t="shared" si="18"/>
        <v>499.86785436450344</v>
      </c>
      <c r="AA17" s="159">
        <f t="shared" si="18"/>
        <v>530.35435448047565</v>
      </c>
      <c r="AB17" s="159">
        <f t="shared" si="18"/>
        <v>561.44411809301118</v>
      </c>
      <c r="AC17" s="159">
        <f t="shared" si="18"/>
        <v>441.95528306071964</v>
      </c>
      <c r="AD17" s="159">
        <f t="shared" si="18"/>
        <v>590.81585349132899</v>
      </c>
      <c r="AE17" s="159">
        <f t="shared" si="18"/>
        <v>572.3860301262547</v>
      </c>
      <c r="AF17" s="159">
        <f t="shared" si="18"/>
        <v>591.97798309269001</v>
      </c>
      <c r="AG17" s="159">
        <f t="shared" si="18"/>
        <v>694.30765835912416</v>
      </c>
      <c r="AH17" s="159">
        <f t="shared" si="18"/>
        <v>738.17075339318365</v>
      </c>
      <c r="AI17" s="159">
        <f t="shared" si="18"/>
        <v>687.88895847579101</v>
      </c>
      <c r="AJ17" s="159">
        <f t="shared" si="18"/>
        <v>832.28843460154667</v>
      </c>
      <c r="AK17" s="159">
        <f t="shared" si="18"/>
        <v>316.25900402701211</v>
      </c>
      <c r="AL17" s="159">
        <f t="shared" si="18"/>
        <v>406.80451678483786</v>
      </c>
      <c r="AM17" s="159">
        <f t="shared" si="18"/>
        <v>491.5402775827697</v>
      </c>
      <c r="AN17" s="159">
        <f t="shared" si="18"/>
        <v>503.8273012527448</v>
      </c>
      <c r="AO17" s="159">
        <f t="shared" si="18"/>
        <v>502.88846454329223</v>
      </c>
      <c r="AP17" s="159">
        <f t="shared" si="18"/>
        <v>380.75607575871049</v>
      </c>
    </row>
    <row r="18" spans="1:42" s="161" customFormat="1" ht="13">
      <c r="A18" s="161" t="s">
        <v>237</v>
      </c>
      <c r="B18" s="161">
        <f>LARGE(B31:B226,1)</f>
        <v>1381.3333333333333</v>
      </c>
      <c r="L18" s="161">
        <f>LARGE(L31:L226,1)</f>
        <v>2130</v>
      </c>
      <c r="X18" s="161">
        <f t="shared" ref="X18:AJ18" si="19">LARGE(X31:X226,1)</f>
        <v>1837.9768538362623</v>
      </c>
      <c r="Y18" s="161">
        <f t="shared" si="19"/>
        <v>2012.9130269654386</v>
      </c>
      <c r="Z18" s="161">
        <f t="shared" si="19"/>
        <v>2282.7442827442828</v>
      </c>
      <c r="AA18" s="161">
        <f t="shared" si="19"/>
        <v>2370.8844415752101</v>
      </c>
      <c r="AB18" s="161">
        <f t="shared" si="19"/>
        <v>2894.4193061840119</v>
      </c>
      <c r="AC18" s="161">
        <f t="shared" si="19"/>
        <v>3273.2394366197186</v>
      </c>
      <c r="AD18" s="161">
        <f t="shared" si="19"/>
        <v>4285.3891670459725</v>
      </c>
      <c r="AE18" s="161">
        <f t="shared" si="19"/>
        <v>4457.6762149983906</v>
      </c>
      <c r="AF18" s="161">
        <f t="shared" si="19"/>
        <v>4491.8142145547308</v>
      </c>
      <c r="AG18" s="161">
        <f t="shared" si="19"/>
        <v>5316.3071770334927</v>
      </c>
      <c r="AH18" s="161">
        <f t="shared" si="19"/>
        <v>5641.2497985495575</v>
      </c>
      <c r="AI18" s="161">
        <f t="shared" si="19"/>
        <v>6245.7183411503329</v>
      </c>
      <c r="AJ18" s="161">
        <f t="shared" si="19"/>
        <v>7009.637212844078</v>
      </c>
      <c r="AK18" s="162">
        <f t="shared" ref="AK18:AP18" si="20">LARGE(AK31:AK149,1)</f>
        <v>9561.3478600652797</v>
      </c>
      <c r="AL18" s="162">
        <f t="shared" si="20"/>
        <v>12456.732562476687</v>
      </c>
      <c r="AM18" s="162">
        <f t="shared" si="20"/>
        <v>16903.622147758098</v>
      </c>
      <c r="AN18" s="162">
        <f t="shared" si="20"/>
        <v>18779.122878756578</v>
      </c>
      <c r="AO18" s="162">
        <f t="shared" si="20"/>
        <v>23200.559941388365</v>
      </c>
      <c r="AP18" s="162">
        <f t="shared" si="20"/>
        <v>28129.232517246288</v>
      </c>
    </row>
    <row r="19" spans="1:42" s="161" customFormat="1" ht="13">
      <c r="A19" s="163" t="s">
        <v>238</v>
      </c>
      <c r="B19" s="161">
        <f>LARGE(B31:B226,2)</f>
        <v>1100</v>
      </c>
      <c r="L19" s="161">
        <f>LARGE(L31:L226,2)</f>
        <v>1250.3210741389375</v>
      </c>
      <c r="X19" s="161">
        <f t="shared" ref="X19:AJ19" si="21">LARGE(X31:X226,2)</f>
        <v>1705.9183577381232</v>
      </c>
      <c r="Y19" s="161">
        <f t="shared" si="21"/>
        <v>1749.3682422635568</v>
      </c>
      <c r="Z19" s="161">
        <f t="shared" si="21"/>
        <v>1990.4281174051223</v>
      </c>
      <c r="AA19" s="161">
        <f t="shared" si="21"/>
        <v>2330.3778374599906</v>
      </c>
      <c r="AB19" s="161">
        <f t="shared" si="21"/>
        <v>2830.2409304901689</v>
      </c>
      <c r="AC19" s="161">
        <f t="shared" si="21"/>
        <v>3190.4340127388537</v>
      </c>
      <c r="AD19" s="161">
        <f t="shared" si="21"/>
        <v>3746.5326923076927</v>
      </c>
      <c r="AE19" s="161">
        <f t="shared" si="21"/>
        <v>4008.7886354541815</v>
      </c>
      <c r="AF19" s="161">
        <f t="shared" si="21"/>
        <v>4298.1412639405207</v>
      </c>
      <c r="AG19" s="161">
        <f t="shared" si="21"/>
        <v>5209.8285714285712</v>
      </c>
      <c r="AH19" s="161">
        <f t="shared" si="21"/>
        <v>5552.3273640778061</v>
      </c>
      <c r="AI19" s="161">
        <f t="shared" si="21"/>
        <v>6212.7127066015455</v>
      </c>
      <c r="AJ19" s="161">
        <f t="shared" si="21"/>
        <v>6856.0049765686554</v>
      </c>
      <c r="AK19" s="162">
        <f>AK41</f>
        <v>9063.6983383042189</v>
      </c>
      <c r="AL19" s="162">
        <f>LARGE(AL31:AL149,2)</f>
        <v>11328.475516269904</v>
      </c>
      <c r="AM19" s="162">
        <f>LARGE(AM31:AM149,2)</f>
        <v>15029.846087821626</v>
      </c>
      <c r="AN19" s="162">
        <f>LARGE(AN31:AN149,2)</f>
        <v>18577.36665413365</v>
      </c>
      <c r="AO19" s="162">
        <f>AO41</f>
        <v>21481.695957229636</v>
      </c>
      <c r="AP19" s="162">
        <f>AP39</f>
        <v>24364.439402101507</v>
      </c>
    </row>
    <row r="20" spans="1:42" s="161" customFormat="1" ht="13">
      <c r="A20" s="163" t="s">
        <v>239</v>
      </c>
      <c r="B20" s="161">
        <f>LARGE(B31:B226,3)</f>
        <v>975.625</v>
      </c>
      <c r="L20" s="161">
        <f>LARGE(L31:L226,3)</f>
        <v>1144</v>
      </c>
      <c r="X20" s="161">
        <f t="shared" ref="X20:AG20" si="22">LARGE(X31:X226,3)</f>
        <v>1318.8701223063483</v>
      </c>
      <c r="Y20" s="161">
        <f t="shared" si="22"/>
        <v>1398.5302430751838</v>
      </c>
      <c r="Z20" s="161">
        <f t="shared" si="22"/>
        <v>1600.4202292650034</v>
      </c>
      <c r="AA20" s="161">
        <f t="shared" si="22"/>
        <v>1975.206611570248</v>
      </c>
      <c r="AB20" s="161">
        <f t="shared" si="22"/>
        <v>2377.0343580470162</v>
      </c>
      <c r="AC20" s="161">
        <f t="shared" si="22"/>
        <v>3099.6563573883163</v>
      </c>
      <c r="AD20" s="161">
        <f t="shared" si="22"/>
        <v>3477.3199318372181</v>
      </c>
      <c r="AE20" s="161">
        <f t="shared" si="22"/>
        <v>3755.4766917293236</v>
      </c>
      <c r="AF20" s="161">
        <f t="shared" si="22"/>
        <v>4090.7872916966658</v>
      </c>
      <c r="AG20" s="161">
        <f t="shared" si="22"/>
        <v>4963.7357034290217</v>
      </c>
      <c r="AH20" s="161">
        <f>AH51</f>
        <v>4765.5841731989503</v>
      </c>
      <c r="AI20" s="161">
        <f>AI38</f>
        <v>5602.5304414003049</v>
      </c>
      <c r="AJ20" s="161">
        <f>AJ41</f>
        <v>6396.6209181258864</v>
      </c>
      <c r="AK20" s="162">
        <f>AK52</f>
        <v>8455.6492393793451</v>
      </c>
      <c r="AL20" s="162">
        <f>AL52</f>
        <v>9465.1788176305545</v>
      </c>
      <c r="AM20" s="162">
        <f>AM40</f>
        <v>12716.337824014836</v>
      </c>
      <c r="AN20" s="162">
        <f>AN53</f>
        <v>16175.706391578196</v>
      </c>
      <c r="AO20" s="162">
        <f>AO53</f>
        <v>18872.388505465879</v>
      </c>
      <c r="AP20" s="162">
        <f>AP33</f>
        <v>23010.48235943598</v>
      </c>
    </row>
    <row r="21" spans="1:42" s="161" customFormat="1" ht="13">
      <c r="A21" s="163" t="s">
        <v>240</v>
      </c>
      <c r="B21" s="161">
        <f>LARGE(B31:B226,4)</f>
        <v>973.58184764991893</v>
      </c>
      <c r="I21" s="164"/>
      <c r="L21" s="161">
        <f>LARGE(L31:L226,4)</f>
        <v>1100</v>
      </c>
      <c r="X21" s="161">
        <f>LARGE(X31:X226,4)</f>
        <v>1273.5930735930735</v>
      </c>
      <c r="Y21" s="161">
        <f>Y54</f>
        <v>1376.0574018126888</v>
      </c>
      <c r="Z21" s="161">
        <f t="shared" ref="Z21:AE21" si="23">LARGE(Z31:Z226,4)</f>
        <v>1587.5945883971567</v>
      </c>
      <c r="AA21" s="161">
        <f t="shared" si="23"/>
        <v>1846.7071251966734</v>
      </c>
      <c r="AB21" s="161">
        <f t="shared" si="23"/>
        <v>2292.6160337552742</v>
      </c>
      <c r="AC21" s="161">
        <f t="shared" si="23"/>
        <v>2756.786703601108</v>
      </c>
      <c r="AD21" s="161">
        <f t="shared" si="23"/>
        <v>3064.8213318895505</v>
      </c>
      <c r="AE21" s="161">
        <f t="shared" si="23"/>
        <v>3427.8480971128606</v>
      </c>
      <c r="AF21" s="161">
        <f>AF51</f>
        <v>4013.365410318097</v>
      </c>
      <c r="AG21" s="161">
        <f>AG42</f>
        <v>4610.7800338409479</v>
      </c>
      <c r="AH21" s="161">
        <f>AH42</f>
        <v>4547.9136285000313</v>
      </c>
      <c r="AI21" s="161">
        <f>AI33</f>
        <v>5340.7876905702997</v>
      </c>
      <c r="AJ21" s="161">
        <f>AJ52</f>
        <v>6300.4419315403429</v>
      </c>
      <c r="AK21" s="162">
        <f>AK53</f>
        <v>7291.4797655798238</v>
      </c>
      <c r="AL21" s="162">
        <f>AL51</f>
        <v>8790.9082214125629</v>
      </c>
      <c r="AM21" s="162">
        <f>AM33</f>
        <v>12685.551346921749</v>
      </c>
      <c r="AN21" s="162">
        <f>AN33</f>
        <v>15227.325563577939</v>
      </c>
      <c r="AO21" s="162">
        <f>AO39</f>
        <v>18466.027629381002</v>
      </c>
      <c r="AP21" s="162">
        <f>AP53</f>
        <v>22197.89778131323</v>
      </c>
    </row>
    <row r="22" spans="1:42" s="166" customFormat="1" ht="13">
      <c r="A22" s="165" t="s">
        <v>241</v>
      </c>
      <c r="B22" s="166">
        <f>SMALL(B31:B226,4)</f>
        <v>400</v>
      </c>
      <c r="L22" s="166">
        <f>SMALL(L31:L226,4)</f>
        <v>430</v>
      </c>
      <c r="X22" s="166">
        <f t="shared" ref="X22:AP22" si="24">SMALL(X31:X226,4)</f>
        <v>419.75591357292956</v>
      </c>
      <c r="Y22" s="166">
        <f t="shared" si="24"/>
        <v>605.80532398208879</v>
      </c>
      <c r="Z22" s="166">
        <f t="shared" si="24"/>
        <v>575.81786931425609</v>
      </c>
      <c r="AA22" s="166">
        <f t="shared" si="24"/>
        <v>563.82498872350016</v>
      </c>
      <c r="AB22" s="166">
        <f t="shared" si="24"/>
        <v>683.38232967886847</v>
      </c>
      <c r="AC22" s="166">
        <f t="shared" si="24"/>
        <v>485.85550531075819</v>
      </c>
      <c r="AD22" s="166">
        <f t="shared" si="24"/>
        <v>661.82017277041007</v>
      </c>
      <c r="AE22" s="166">
        <f t="shared" si="24"/>
        <v>597.79614325068871</v>
      </c>
      <c r="AF22" s="166">
        <f t="shared" si="24"/>
        <v>622.54942797708679</v>
      </c>
      <c r="AG22" s="166">
        <f t="shared" si="24"/>
        <v>768.72524306805906</v>
      </c>
      <c r="AH22" s="166">
        <f t="shared" si="24"/>
        <v>932.47863247863245</v>
      </c>
      <c r="AI22" s="166">
        <f t="shared" si="24"/>
        <v>776.52241190818825</v>
      </c>
      <c r="AJ22" s="166">
        <f t="shared" si="24"/>
        <v>1111.0429447852762</v>
      </c>
      <c r="AK22" s="166">
        <f t="shared" si="24"/>
        <v>348.50665555818307</v>
      </c>
      <c r="AL22" s="166">
        <f t="shared" si="24"/>
        <v>438.66198159122393</v>
      </c>
      <c r="AM22" s="166">
        <f t="shared" si="24"/>
        <v>541.62611396179477</v>
      </c>
      <c r="AN22" s="166">
        <f t="shared" si="24"/>
        <v>577.32461277698803</v>
      </c>
      <c r="AO22" s="166">
        <f t="shared" si="24"/>
        <v>540.0146699047275</v>
      </c>
      <c r="AP22" s="166">
        <f t="shared" si="24"/>
        <v>502.76886560305087</v>
      </c>
    </row>
    <row r="23" spans="1:42" s="166" customFormat="1" ht="13">
      <c r="A23" s="165" t="s">
        <v>242</v>
      </c>
      <c r="B23" s="166">
        <f>SMALL(B31:B226,3)</f>
        <v>400</v>
      </c>
      <c r="L23" s="166">
        <f>L197</f>
        <v>430.28571428571428</v>
      </c>
      <c r="X23" s="166">
        <f t="shared" ref="X23:AP23" si="25">SMALL(X31:X226,3)</f>
        <v>414.83870967741939</v>
      </c>
      <c r="Y23" s="166">
        <f t="shared" si="25"/>
        <v>576.4</v>
      </c>
      <c r="Z23" s="166">
        <f t="shared" si="25"/>
        <v>571.79999999999995</v>
      </c>
      <c r="AA23" s="166">
        <f t="shared" si="25"/>
        <v>545.83041464642338</v>
      </c>
      <c r="AB23" s="166">
        <f t="shared" si="25"/>
        <v>562.59999999999991</v>
      </c>
      <c r="AC23" s="166">
        <f t="shared" si="25"/>
        <v>446.10281923714763</v>
      </c>
      <c r="AD23" s="166">
        <f t="shared" si="25"/>
        <v>584.53853094613225</v>
      </c>
      <c r="AE23" s="166">
        <f t="shared" si="25"/>
        <v>584.14095971047038</v>
      </c>
      <c r="AF23" s="166">
        <f t="shared" si="25"/>
        <v>601</v>
      </c>
      <c r="AG23" s="166">
        <f t="shared" si="25"/>
        <v>696.58722277391598</v>
      </c>
      <c r="AH23" s="166">
        <f t="shared" si="25"/>
        <v>718.0149412721255</v>
      </c>
      <c r="AI23" s="166">
        <f t="shared" si="25"/>
        <v>725.61533888228303</v>
      </c>
      <c r="AJ23" s="166">
        <f t="shared" si="25"/>
        <v>835.029882544251</v>
      </c>
      <c r="AK23" s="166">
        <f t="shared" si="25"/>
        <v>324.05560335715057</v>
      </c>
      <c r="AL23" s="166">
        <f t="shared" si="25"/>
        <v>402.56574541715287</v>
      </c>
      <c r="AM23" s="166">
        <f t="shared" si="25"/>
        <v>512.52331418161657</v>
      </c>
      <c r="AN23" s="166">
        <f t="shared" si="25"/>
        <v>550.99188529198057</v>
      </c>
      <c r="AO23" s="166">
        <f t="shared" si="25"/>
        <v>526.1266299535165</v>
      </c>
      <c r="AP23" s="166">
        <f t="shared" si="25"/>
        <v>423.57258651523534</v>
      </c>
    </row>
    <row r="24" spans="1:42" s="166" customFormat="1" ht="13">
      <c r="A24" s="165" t="s">
        <v>243</v>
      </c>
      <c r="B24" s="166">
        <f>SMALL(B31:B226,2)</f>
        <v>400</v>
      </c>
      <c r="L24" s="166">
        <f>SMALL(L31:L226,2)</f>
        <v>400</v>
      </c>
      <c r="X24" s="166">
        <f t="shared" ref="X24:AP24" si="26">SMALL(X31:X226,2)</f>
        <v>400</v>
      </c>
      <c r="Y24" s="166">
        <f t="shared" si="26"/>
        <v>435.80473085834365</v>
      </c>
      <c r="Z24" s="166">
        <f t="shared" si="26"/>
        <v>451.85354814375773</v>
      </c>
      <c r="AA24" s="166">
        <f t="shared" si="26"/>
        <v>543.85964912280701</v>
      </c>
      <c r="AB24" s="166">
        <f t="shared" si="26"/>
        <v>515.84295997859067</v>
      </c>
      <c r="AC24" s="166">
        <f t="shared" si="26"/>
        <v>438.88537048765039</v>
      </c>
      <c r="AD24" s="166">
        <f t="shared" si="26"/>
        <v>583.23804358210714</v>
      </c>
      <c r="AE24" s="166">
        <f t="shared" si="26"/>
        <v>567.33333333333326</v>
      </c>
      <c r="AF24" s="166">
        <f t="shared" si="26"/>
        <v>599.17750439367308</v>
      </c>
      <c r="AG24" s="166">
        <f t="shared" si="26"/>
        <v>659.50747063606275</v>
      </c>
      <c r="AH24" s="166">
        <f t="shared" si="26"/>
        <v>667.20580107852072</v>
      </c>
      <c r="AI24" s="166">
        <f t="shared" si="26"/>
        <v>682.0009051985827</v>
      </c>
      <c r="AJ24" s="166">
        <f t="shared" si="26"/>
        <v>696.79600931864468</v>
      </c>
      <c r="AK24" s="166">
        <f t="shared" si="26"/>
        <v>303.32103250659031</v>
      </c>
      <c r="AL24" s="166">
        <f t="shared" si="26"/>
        <v>394.14497626956648</v>
      </c>
      <c r="AM24" s="166">
        <f t="shared" si="26"/>
        <v>462.69028770285257</v>
      </c>
      <c r="AN24" s="166">
        <f t="shared" si="26"/>
        <v>547.69124959711394</v>
      </c>
      <c r="AO24" s="166">
        <f t="shared" si="26"/>
        <v>524.68461771766351</v>
      </c>
      <c r="AP24" s="166">
        <f t="shared" si="26"/>
        <v>378.84474073738068</v>
      </c>
    </row>
    <row r="25" spans="1:42" s="166" customFormat="1" ht="13">
      <c r="A25" s="165" t="s">
        <v>244</v>
      </c>
      <c r="B25" s="166">
        <f>SMALL(B31:B226,1)</f>
        <v>400</v>
      </c>
      <c r="L25" s="166">
        <f>SMALL(L31:L226,1)</f>
        <v>400</v>
      </c>
      <c r="X25" s="166">
        <f t="shared" ref="X25:AP25" si="27">SMALL(X31:X226,1)</f>
        <v>397.06261272867818</v>
      </c>
      <c r="Y25" s="166">
        <f t="shared" si="27"/>
        <v>400</v>
      </c>
      <c r="Z25" s="166">
        <f t="shared" si="27"/>
        <v>400</v>
      </c>
      <c r="AA25" s="166">
        <f t="shared" si="27"/>
        <v>467.90236542917182</v>
      </c>
      <c r="AB25" s="166">
        <f t="shared" si="27"/>
        <v>483.95118271458591</v>
      </c>
      <c r="AC25" s="166">
        <f t="shared" si="27"/>
        <v>396.97743720732228</v>
      </c>
      <c r="AD25" s="166">
        <f t="shared" si="27"/>
        <v>533.66666666666663</v>
      </c>
      <c r="AE25" s="166">
        <f t="shared" si="27"/>
        <v>540.27368421052631</v>
      </c>
      <c r="AF25" s="166">
        <f t="shared" si="27"/>
        <v>545.18499999999995</v>
      </c>
      <c r="AG25" s="166">
        <f t="shared" si="27"/>
        <v>652.41069695845874</v>
      </c>
      <c r="AH25" s="166">
        <f t="shared" si="27"/>
        <v>634.98363874345557</v>
      </c>
      <c r="AI25" s="166">
        <f t="shared" si="27"/>
        <v>567.41717791411043</v>
      </c>
      <c r="AJ25" s="166">
        <f t="shared" si="27"/>
        <v>686.28490175801448</v>
      </c>
      <c r="AK25" s="166">
        <f t="shared" si="27"/>
        <v>289.15272468612466</v>
      </c>
      <c r="AL25" s="166">
        <f t="shared" si="27"/>
        <v>391.84536386140798</v>
      </c>
      <c r="AM25" s="166">
        <f t="shared" si="27"/>
        <v>449.32139448481496</v>
      </c>
      <c r="AN25" s="166">
        <f t="shared" si="27"/>
        <v>339.30145734489673</v>
      </c>
      <c r="AO25" s="166">
        <f t="shared" si="27"/>
        <v>420.72794059726118</v>
      </c>
      <c r="AP25" s="166">
        <f t="shared" si="27"/>
        <v>217.83811017917515</v>
      </c>
    </row>
    <row r="26" spans="1:42" s="160" customFormat="1">
      <c r="A26" s="158"/>
    </row>
    <row r="27" spans="1:42" s="160" customFormat="1">
      <c r="A27" s="158"/>
    </row>
    <row r="28" spans="1:42" s="168" customFormat="1" ht="13">
      <c r="A28" s="167"/>
    </row>
    <row r="29" spans="1:42" s="168" customFormat="1" ht="13">
      <c r="A29" s="167"/>
    </row>
    <row r="30" spans="1:42" s="170" customFormat="1" ht="14">
      <c r="A30" s="169" t="s">
        <v>245</v>
      </c>
    </row>
    <row r="31" spans="1:42" s="160" customFormat="1">
      <c r="A31" s="171" t="s">
        <v>246</v>
      </c>
      <c r="B31" s="160">
        <v>837.2</v>
      </c>
      <c r="L31" s="160">
        <v>993.2</v>
      </c>
      <c r="X31" s="160">
        <v>1218.1656277827249</v>
      </c>
      <c r="Y31" s="172">
        <v>1398.5302430751838</v>
      </c>
      <c r="Z31" s="160">
        <v>1514.5317545748117</v>
      </c>
      <c r="AA31" s="160">
        <v>1650.379746835443</v>
      </c>
      <c r="AB31" s="160">
        <v>1777.5678866587959</v>
      </c>
      <c r="AC31" s="160">
        <v>1862.5904867256638</v>
      </c>
      <c r="AD31" s="160">
        <v>2078.8378870673951</v>
      </c>
      <c r="AE31" s="160">
        <v>2443.3559510567297</v>
      </c>
      <c r="AF31" s="160">
        <v>2881.807132094425</v>
      </c>
      <c r="AG31" s="160">
        <v>3290.3731478681584</v>
      </c>
      <c r="AH31" s="160">
        <v>2412.31045701007</v>
      </c>
      <c r="AI31" s="160">
        <v>3585.7154398563739</v>
      </c>
      <c r="AJ31" s="160">
        <v>3959.2143176733784</v>
      </c>
      <c r="AK31" s="160">
        <v>3706.0748943778744</v>
      </c>
      <c r="AL31" s="160">
        <v>6518.5400025569579</v>
      </c>
      <c r="AM31" s="160">
        <v>9747.4436480308377</v>
      </c>
      <c r="AN31" s="160">
        <v>13759.179000595144</v>
      </c>
      <c r="AO31" s="160">
        <v>16905.183732900274</v>
      </c>
      <c r="AP31" s="160">
        <v>20097.130638113293</v>
      </c>
    </row>
    <row r="32" spans="1:42" s="160" customFormat="1">
      <c r="A32" s="171" t="s">
        <v>247</v>
      </c>
      <c r="B32" s="172">
        <v>975.625</v>
      </c>
      <c r="L32" s="172">
        <v>1144</v>
      </c>
      <c r="X32" s="172">
        <v>1318.8701223063483</v>
      </c>
      <c r="Y32" s="160">
        <v>1354.1333333333334</v>
      </c>
      <c r="Z32" s="172">
        <f>(AA32+Y32)/2</f>
        <v>1600.4202292650034</v>
      </c>
      <c r="AA32" s="172">
        <v>1846.7071251966734</v>
      </c>
      <c r="AB32" s="172">
        <v>2292.6160337552742</v>
      </c>
      <c r="AC32" s="160">
        <v>2691.5227629513347</v>
      </c>
      <c r="AD32" s="172">
        <v>3064.8213318895505</v>
      </c>
      <c r="AE32" s="172">
        <v>3427.8480971128606</v>
      </c>
      <c r="AF32" s="160">
        <v>3731.0500074415836</v>
      </c>
      <c r="AG32" s="160">
        <v>4063.8668978394239</v>
      </c>
      <c r="AH32" s="160">
        <v>3961.9935116525421</v>
      </c>
      <c r="AI32" s="160">
        <v>4978.6182516097078</v>
      </c>
      <c r="AJ32" s="160">
        <v>4561.7564102564102</v>
      </c>
      <c r="AK32" s="160">
        <v>5462.2044734980063</v>
      </c>
      <c r="AL32" s="160">
        <v>6952.0874686084635</v>
      </c>
      <c r="AM32" s="160">
        <v>10610.824046981676</v>
      </c>
      <c r="AN32" s="160">
        <v>14467.441199171306</v>
      </c>
      <c r="AO32" s="160">
        <v>17196.977524021222</v>
      </c>
      <c r="AP32" s="160">
        <v>20742.457212835692</v>
      </c>
    </row>
    <row r="33" spans="1:42" s="160" customFormat="1">
      <c r="A33" s="171" t="s">
        <v>248</v>
      </c>
      <c r="B33" s="160">
        <v>875.38461538461547</v>
      </c>
      <c r="L33" s="160">
        <v>1038.5714285714284</v>
      </c>
      <c r="X33" s="172">
        <v>1273.5930735930735</v>
      </c>
      <c r="Y33" s="160">
        <v>1329.9293008641007</v>
      </c>
      <c r="Z33" s="160">
        <v>1428.1503316138542</v>
      </c>
      <c r="AA33" s="160">
        <v>1767.1781187458307</v>
      </c>
      <c r="AB33" s="160">
        <v>1741.1556603773586</v>
      </c>
      <c r="AC33" s="160">
        <v>2003.1779661016951</v>
      </c>
      <c r="AD33" s="160">
        <v>2181.4656415185009</v>
      </c>
      <c r="AE33" s="160">
        <v>2523.2432432432433</v>
      </c>
      <c r="AF33" s="160">
        <v>3016.6106989457244</v>
      </c>
      <c r="AG33" s="160">
        <v>3705.0832755031229</v>
      </c>
      <c r="AH33" s="160">
        <v>3991.9895126465149</v>
      </c>
      <c r="AI33" s="172">
        <v>5340.7876905702997</v>
      </c>
      <c r="AJ33" s="160">
        <v>5116.2839248434229</v>
      </c>
      <c r="AK33" s="160">
        <v>6943.1046593303681</v>
      </c>
      <c r="AL33" s="160">
        <v>8811.831477843265</v>
      </c>
      <c r="AM33" s="173">
        <v>12685.551346921749</v>
      </c>
      <c r="AN33" s="173">
        <v>15227.325563577939</v>
      </c>
      <c r="AO33" s="160">
        <v>18452.411750815125</v>
      </c>
      <c r="AP33" s="173">
        <v>23010.48235943598</v>
      </c>
    </row>
    <row r="34" spans="1:42" s="160" customFormat="1">
      <c r="A34" s="171" t="s">
        <v>249</v>
      </c>
      <c r="B34" s="160">
        <v>537.5</v>
      </c>
      <c r="L34" s="160">
        <v>637.5</v>
      </c>
      <c r="X34" s="160">
        <v>781.00940975192464</v>
      </c>
      <c r="AA34" s="160">
        <v>910.93366093366092</v>
      </c>
      <c r="AB34" s="160">
        <v>959.1484464902187</v>
      </c>
      <c r="AC34" s="160">
        <v>1139.6807297605474</v>
      </c>
      <c r="AD34" s="160">
        <v>1154.8265754763067</v>
      </c>
      <c r="AE34" s="160">
        <v>1381.0401861252117</v>
      </c>
      <c r="AF34" s="160">
        <v>1668.4803476946336</v>
      </c>
      <c r="AG34" s="160">
        <v>1906.4479344486176</v>
      </c>
      <c r="AH34" s="160">
        <v>1845.5298436003832</v>
      </c>
      <c r="AI34" s="160">
        <v>2665.633806900551</v>
      </c>
      <c r="AJ34" s="160">
        <v>3220.4153596538672</v>
      </c>
      <c r="AK34" s="160">
        <v>4253.28643767617</v>
      </c>
      <c r="AL34" s="160">
        <v>6230.3594003973267</v>
      </c>
      <c r="AM34" s="160">
        <v>9576.8692794466369</v>
      </c>
      <c r="AN34" s="160">
        <v>12948.958423779721</v>
      </c>
      <c r="AO34" s="160">
        <v>16866.371960225664</v>
      </c>
      <c r="AP34" s="160">
        <v>20235.371706860937</v>
      </c>
    </row>
    <row r="35" spans="1:42" s="160" customFormat="1">
      <c r="A35" s="171" t="s">
        <v>250</v>
      </c>
      <c r="B35" s="160">
        <v>841.02702702702697</v>
      </c>
      <c r="L35" s="160">
        <v>910.01816403521025</v>
      </c>
      <c r="X35" s="160">
        <v>1134.9759999999999</v>
      </c>
      <c r="Y35" s="160">
        <v>1190.8408408408409</v>
      </c>
      <c r="Z35" s="160">
        <v>1427.7363896848137</v>
      </c>
      <c r="AA35" s="160">
        <v>1596.6712517193948</v>
      </c>
      <c r="AB35" s="160">
        <v>1892.1447721179625</v>
      </c>
      <c r="AC35" s="160">
        <v>1875.6506503642038</v>
      </c>
      <c r="AD35" s="160">
        <v>2120.430195927775</v>
      </c>
      <c r="AE35" s="160">
        <v>2376.012445644024</v>
      </c>
      <c r="AF35" s="160">
        <v>2875.6862899650228</v>
      </c>
      <c r="AG35" s="160">
        <v>2965.207015330875</v>
      </c>
      <c r="AH35" s="160">
        <v>3226.9209999999994</v>
      </c>
      <c r="AI35" s="160">
        <v>4531.5583994232147</v>
      </c>
      <c r="AJ35" s="160">
        <v>4042.1678780487805</v>
      </c>
      <c r="AK35" s="160">
        <v>5271.3123363966142</v>
      </c>
      <c r="AL35" s="160">
        <v>7545.6317057149117</v>
      </c>
      <c r="AM35" s="160">
        <v>11664.185716817296</v>
      </c>
      <c r="AN35" s="160">
        <v>15106.123673172155</v>
      </c>
      <c r="AO35" s="160">
        <v>18092.678013198907</v>
      </c>
      <c r="AP35" s="160">
        <v>20808.371909237652</v>
      </c>
    </row>
    <row r="36" spans="1:42" s="160" customFormat="1">
      <c r="A36" s="171" t="s">
        <v>251</v>
      </c>
      <c r="B36" s="160">
        <v>791</v>
      </c>
      <c r="L36" s="160">
        <v>910</v>
      </c>
      <c r="X36" s="160">
        <v>1076.8520377434249</v>
      </c>
      <c r="Y36" s="160">
        <v>1328.2224995542877</v>
      </c>
      <c r="AA36" s="160">
        <v>1427.6655010964264</v>
      </c>
      <c r="AB36" s="160">
        <v>1639.3242530999473</v>
      </c>
      <c r="AC36" s="160">
        <v>1839.0795034539012</v>
      </c>
      <c r="AD36" s="160">
        <v>1991.406436781609</v>
      </c>
      <c r="AE36" s="160">
        <v>2427.8085995756928</v>
      </c>
      <c r="AF36" s="160">
        <v>2984.7592851364275</v>
      </c>
      <c r="AG36" s="160">
        <v>3347.6477959417348</v>
      </c>
      <c r="AH36" s="160">
        <v>2795.595625184747</v>
      </c>
      <c r="AI36" s="160">
        <v>3973.3575072214367</v>
      </c>
      <c r="AJ36" s="160">
        <v>5402.5059067802677</v>
      </c>
      <c r="AK36" s="160">
        <v>3880.8871812755187</v>
      </c>
      <c r="AL36" s="160">
        <v>7705.2332250597037</v>
      </c>
      <c r="AM36" s="160">
        <v>10839.145088003876</v>
      </c>
      <c r="AN36" s="160">
        <v>14114.030434326825</v>
      </c>
      <c r="AO36" s="160">
        <v>15928.845099962591</v>
      </c>
      <c r="AP36" s="160">
        <v>18595.837497216286</v>
      </c>
    </row>
    <row r="37" spans="1:42" s="160" customFormat="1">
      <c r="A37" s="171" t="s">
        <v>252</v>
      </c>
      <c r="B37" s="172">
        <v>1100</v>
      </c>
      <c r="L37" s="172">
        <v>1100</v>
      </c>
      <c r="X37" s="160">
        <v>1116.921094369548</v>
      </c>
      <c r="AA37" s="160">
        <v>1349.9182338511857</v>
      </c>
      <c r="AC37" s="160">
        <v>1499.3545611015491</v>
      </c>
      <c r="AD37" s="160">
        <v>1580.8785695051738</v>
      </c>
      <c r="AE37" s="160">
        <v>1667.4886522323895</v>
      </c>
      <c r="AF37" s="160">
        <v>1785.2701307323211</v>
      </c>
      <c r="AG37" s="160">
        <v>2331.9758661687583</v>
      </c>
      <c r="AH37" s="160">
        <v>2587.2326131753639</v>
      </c>
      <c r="AI37" s="160">
        <v>2917.6524656102192</v>
      </c>
      <c r="AJ37" s="160">
        <v>3505.1908479548651</v>
      </c>
      <c r="AK37" s="160">
        <v>3501.9000106145845</v>
      </c>
      <c r="AL37" s="160">
        <v>5916.2390233796041</v>
      </c>
      <c r="AM37" s="160">
        <v>9718.5111747616047</v>
      </c>
      <c r="AN37" s="160">
        <v>13149.381801964446</v>
      </c>
      <c r="AO37" s="160">
        <v>16313.128662507581</v>
      </c>
      <c r="AP37" s="160">
        <v>18739.750943431663</v>
      </c>
    </row>
    <row r="38" spans="1:42" s="160" customFormat="1">
      <c r="A38" s="171" t="s">
        <v>253</v>
      </c>
      <c r="B38" s="172">
        <v>1381.3333333333333</v>
      </c>
      <c r="L38" s="172">
        <v>2130</v>
      </c>
      <c r="X38" s="172">
        <v>1837.9768538362623</v>
      </c>
      <c r="Y38" s="172">
        <v>2012.9130269654386</v>
      </c>
      <c r="Z38" s="172">
        <v>2282.7442827442828</v>
      </c>
      <c r="AA38" s="172">
        <v>2370.8844415752101</v>
      </c>
      <c r="AB38" s="172">
        <v>2377.0343580470162</v>
      </c>
      <c r="AC38" s="172">
        <v>2756.786703601108</v>
      </c>
      <c r="AD38" s="160">
        <v>3045.5107593371258</v>
      </c>
      <c r="AE38" s="160">
        <v>3323.0429988974643</v>
      </c>
      <c r="AF38" s="160">
        <v>3423.5705950991833</v>
      </c>
      <c r="AG38" s="160">
        <v>3788.9226612630869</v>
      </c>
      <c r="AH38" s="160">
        <v>4219.9021612149527</v>
      </c>
      <c r="AI38" s="172">
        <v>5602.5304414003049</v>
      </c>
      <c r="AJ38" s="160">
        <v>4831.3599504448694</v>
      </c>
      <c r="AK38" s="160">
        <v>5996.1277603747931</v>
      </c>
      <c r="AL38" s="160">
        <v>8286.6097858262237</v>
      </c>
      <c r="AM38" s="160">
        <v>11966.773413973782</v>
      </c>
      <c r="AN38" s="160">
        <v>14704.500547621197</v>
      </c>
      <c r="AO38" s="160">
        <v>17262.069182310013</v>
      </c>
      <c r="AP38" s="160">
        <v>21590.793039394015</v>
      </c>
    </row>
    <row r="39" spans="1:42" s="160" customFormat="1">
      <c r="A39" s="171" t="s">
        <v>254</v>
      </c>
      <c r="B39" s="160">
        <v>760</v>
      </c>
      <c r="L39" s="160">
        <v>900</v>
      </c>
      <c r="X39" s="160">
        <v>1104.1237113402062</v>
      </c>
      <c r="AA39" s="160">
        <v>1187.5</v>
      </c>
      <c r="AC39" s="160">
        <v>1432.2766570605188</v>
      </c>
      <c r="AD39" s="160">
        <v>1587.9426784783743</v>
      </c>
      <c r="AE39" s="160">
        <v>1777.1757636454681</v>
      </c>
      <c r="AF39" s="160">
        <v>1937.2260089686094</v>
      </c>
      <c r="AG39" s="160">
        <v>2256.1245805369126</v>
      </c>
      <c r="AH39" s="160">
        <v>2779.6747628083494</v>
      </c>
      <c r="AI39" s="160">
        <v>3712.382258639117</v>
      </c>
      <c r="AJ39" s="160">
        <v>4087.5660948536829</v>
      </c>
      <c r="AK39" s="160">
        <v>5463.1888631556631</v>
      </c>
      <c r="AL39" s="160">
        <v>7207.8406383935844</v>
      </c>
      <c r="AM39" s="160">
        <v>10033.048038033872</v>
      </c>
      <c r="AN39" s="160">
        <v>15128.915562387105</v>
      </c>
      <c r="AO39" s="173">
        <v>18466.027629381002</v>
      </c>
      <c r="AP39" s="173">
        <v>24364.439402101507</v>
      </c>
    </row>
    <row r="40" spans="1:42" s="160" customFormat="1">
      <c r="A40" s="171" t="s">
        <v>255</v>
      </c>
      <c r="B40" s="160">
        <v>823.68421052631584</v>
      </c>
      <c r="L40" s="160">
        <v>976.98412698412699</v>
      </c>
      <c r="X40" s="160">
        <v>1198.4526112185688</v>
      </c>
      <c r="Y40" s="160">
        <v>1175.207756232687</v>
      </c>
      <c r="Z40" s="160">
        <v>1230.9652755654668</v>
      </c>
      <c r="AA40" s="160">
        <v>1289.1185759402815</v>
      </c>
      <c r="AB40" s="160">
        <v>1487.8238341968913</v>
      </c>
      <c r="AC40" s="160">
        <v>1661.5495322619333</v>
      </c>
      <c r="AD40" s="160">
        <v>1846.1187664041993</v>
      </c>
      <c r="AE40" s="160">
        <v>2086.1755230125523</v>
      </c>
      <c r="AF40" s="160">
        <v>2560.9652139925734</v>
      </c>
      <c r="AG40" s="160">
        <v>2979.8126261699394</v>
      </c>
      <c r="AH40" s="160">
        <v>2801.7763784887675</v>
      </c>
      <c r="AI40" s="160">
        <v>3937.034904583265</v>
      </c>
      <c r="AJ40" s="160">
        <v>4857.2879169288863</v>
      </c>
      <c r="AK40" s="160">
        <v>6739.2310099579345</v>
      </c>
      <c r="AL40" s="160">
        <v>8687.5091489152637</v>
      </c>
      <c r="AM40" s="173">
        <v>12716.337824014836</v>
      </c>
      <c r="AN40" s="160">
        <v>14936.574608930203</v>
      </c>
      <c r="AO40" s="160">
        <v>17695.267654199015</v>
      </c>
      <c r="AP40" s="160">
        <v>20321.080052275134</v>
      </c>
    </row>
    <row r="41" spans="1:42" s="160" customFormat="1">
      <c r="A41" s="171" t="s">
        <v>256</v>
      </c>
      <c r="B41" s="160">
        <v>750</v>
      </c>
      <c r="L41" s="160">
        <v>890</v>
      </c>
      <c r="X41" s="160">
        <v>1090.1309164149043</v>
      </c>
      <c r="AA41" s="160">
        <v>1488.4405212274066</v>
      </c>
      <c r="AB41" s="160">
        <v>1744.6215139442231</v>
      </c>
      <c r="AC41" s="160">
        <v>2102.0715630885124</v>
      </c>
      <c r="AD41" s="160">
        <v>2449.8062698133144</v>
      </c>
      <c r="AE41" s="160">
        <v>3181.6333446289395</v>
      </c>
      <c r="AF41" s="160">
        <v>3833.030303030303</v>
      </c>
      <c r="AG41" s="160">
        <v>4331.1914323962519</v>
      </c>
      <c r="AH41" s="160">
        <v>4314.0958566839399</v>
      </c>
      <c r="AI41" s="172">
        <v>6245.7183411503329</v>
      </c>
      <c r="AJ41" s="172">
        <v>6396.6209181258864</v>
      </c>
      <c r="AK41" s="173">
        <v>9063.6983383042189</v>
      </c>
      <c r="AL41" s="173">
        <v>12456.732562476687</v>
      </c>
      <c r="AM41" s="173">
        <v>16903.622147758098</v>
      </c>
      <c r="AN41" s="173">
        <v>18779.122878756578</v>
      </c>
      <c r="AO41" s="173">
        <v>21481.695957229636</v>
      </c>
      <c r="AP41" s="160">
        <v>22025.173042636758</v>
      </c>
    </row>
    <row r="42" spans="1:42" s="160" customFormat="1">
      <c r="A42" s="171" t="s">
        <v>257</v>
      </c>
      <c r="B42" s="172">
        <v>973.58184764991893</v>
      </c>
      <c r="L42" s="172">
        <v>1250.3210741389375</v>
      </c>
      <c r="X42" s="172">
        <v>1705.9183577381232</v>
      </c>
      <c r="Y42" s="172">
        <v>1749.3682422635568</v>
      </c>
      <c r="Z42" s="172">
        <v>1990.4281174051223</v>
      </c>
      <c r="AA42" s="172">
        <v>2330.3778374599906</v>
      </c>
      <c r="AB42" s="172">
        <v>2830.2409304901689</v>
      </c>
      <c r="AC42" s="172">
        <v>3190.4340127388537</v>
      </c>
      <c r="AD42" s="172">
        <v>3477.3199318372181</v>
      </c>
      <c r="AE42" s="172">
        <v>4008.7886354541815</v>
      </c>
      <c r="AF42" s="172">
        <v>4491.8142145547308</v>
      </c>
      <c r="AG42" s="172">
        <v>4610.7800338409479</v>
      </c>
      <c r="AH42" s="172">
        <v>4547.9136285000313</v>
      </c>
      <c r="AI42" s="160">
        <v>5440.8624689312337</v>
      </c>
      <c r="AJ42" s="172">
        <v>6856.0049765686554</v>
      </c>
      <c r="AK42" s="160">
        <v>6939.3739900652345</v>
      </c>
      <c r="AL42" s="160">
        <v>8645.2302757198504</v>
      </c>
      <c r="AM42" s="160">
        <v>10767.471958584987</v>
      </c>
      <c r="AN42" s="160">
        <v>12931.49128103136</v>
      </c>
      <c r="AO42" s="160">
        <v>16429.912441808228</v>
      </c>
      <c r="AP42" s="160">
        <v>19817.491438695048</v>
      </c>
    </row>
    <row r="43" spans="1:42" s="175" customFormat="1" ht="13">
      <c r="A43" s="174" t="s">
        <v>258</v>
      </c>
      <c r="B43" s="175">
        <v>907.98977309044426</v>
      </c>
      <c r="C43" s="176">
        <f t="shared" ref="C43:K43" si="28">B43+(($L43-$B43)/($L$2-$B$2))</f>
        <v>920.50639552557095</v>
      </c>
      <c r="D43" s="176">
        <f t="shared" si="28"/>
        <v>933.02301796069764</v>
      </c>
      <c r="E43" s="176">
        <f t="shared" si="28"/>
        <v>945.53964039582434</v>
      </c>
      <c r="F43" s="176">
        <f t="shared" si="28"/>
        <v>958.05626283095103</v>
      </c>
      <c r="G43" s="176">
        <f t="shared" si="28"/>
        <v>970.57288526607772</v>
      </c>
      <c r="H43" s="176">
        <f t="shared" si="28"/>
        <v>983.08950770120441</v>
      </c>
      <c r="I43" s="176">
        <f t="shared" si="28"/>
        <v>995.6061301363311</v>
      </c>
      <c r="J43" s="176">
        <f t="shared" si="28"/>
        <v>1008.1227525714578</v>
      </c>
      <c r="K43" s="176">
        <f t="shared" si="28"/>
        <v>1020.6393750065845</v>
      </c>
      <c r="L43" s="175">
        <v>1033.1559974417116</v>
      </c>
      <c r="M43" s="176">
        <f t="shared" ref="M43:W43" si="29">L43+(($X43-$L43)/($X$2-$L$2))</f>
        <v>1050.8475629462937</v>
      </c>
      <c r="N43" s="176">
        <f t="shared" si="29"/>
        <v>1068.5391284508758</v>
      </c>
      <c r="O43" s="176">
        <f t="shared" si="29"/>
        <v>1086.2306939554578</v>
      </c>
      <c r="P43" s="176">
        <f t="shared" si="29"/>
        <v>1103.9222594600399</v>
      </c>
      <c r="Q43" s="176">
        <f t="shared" si="29"/>
        <v>1121.6138249646219</v>
      </c>
      <c r="R43" s="176">
        <f t="shared" si="29"/>
        <v>1139.305390469204</v>
      </c>
      <c r="S43" s="176">
        <f t="shared" si="29"/>
        <v>1156.996955973786</v>
      </c>
      <c r="T43" s="176">
        <f t="shared" si="29"/>
        <v>1174.6885214783681</v>
      </c>
      <c r="U43" s="176">
        <f t="shared" si="29"/>
        <v>1192.3800869829502</v>
      </c>
      <c r="V43" s="176">
        <f t="shared" si="29"/>
        <v>1210.0716524875322</v>
      </c>
      <c r="W43" s="176">
        <f t="shared" si="29"/>
        <v>1227.7632179921143</v>
      </c>
      <c r="X43" s="175">
        <v>1245.4547834966966</v>
      </c>
      <c r="Y43" s="176">
        <f>X43+(($AA43-$X43)/($AA$2-$X$2))</f>
        <v>1383.806188916562</v>
      </c>
      <c r="Z43" s="176">
        <f>Y43+(($AA43-$X43)/($AA$2-$X$2))</f>
        <v>1522.1575943364273</v>
      </c>
      <c r="AA43" s="175">
        <v>1660.508999756293</v>
      </c>
      <c r="AB43" s="177">
        <f>(AC43+AA43)/2</f>
        <v>1874.382306462458</v>
      </c>
      <c r="AC43" s="175">
        <v>2088.2556131686233</v>
      </c>
      <c r="AD43" s="175">
        <v>2297.9436280834975</v>
      </c>
      <c r="AE43" s="175">
        <v>2643.4030480510587</v>
      </c>
      <c r="AF43" s="175">
        <v>3076.9195278746479</v>
      </c>
      <c r="AG43" s="175">
        <v>3380.4018374932125</v>
      </c>
      <c r="AH43" s="175">
        <v>3304.8971439089614</v>
      </c>
      <c r="AI43" s="175">
        <v>4288.7600878258554</v>
      </c>
      <c r="AJ43" s="175">
        <v>4984.2116859521157</v>
      </c>
      <c r="AK43" s="175">
        <v>5018.1867064515236</v>
      </c>
      <c r="AL43" s="175">
        <v>7607.224129243813</v>
      </c>
      <c r="AM43" s="175">
        <v>10958.808990873065</v>
      </c>
      <c r="AN43" s="175">
        <v>14056.52577844935</v>
      </c>
      <c r="AO43" s="175">
        <v>16872.04493495942</v>
      </c>
      <c r="AP43" s="175">
        <v>19805.870178885431</v>
      </c>
    </row>
    <row r="44" spans="1:42" s="160" customFormat="1">
      <c r="A44" s="171" t="s">
        <v>259</v>
      </c>
      <c r="B44" s="160">
        <v>615</v>
      </c>
      <c r="L44" s="160">
        <v>715.32467532467535</v>
      </c>
      <c r="X44" s="160">
        <v>877.48204478242496</v>
      </c>
      <c r="AC44" s="160">
        <v>1775.0507473703635</v>
      </c>
      <c r="AI44" s="160">
        <v>2897.1643320806288</v>
      </c>
      <c r="AJ44" s="160">
        <v>3052.0622041920219</v>
      </c>
      <c r="AK44" s="160">
        <v>3452.8983624129182</v>
      </c>
      <c r="AL44" s="160">
        <v>4282.1327683615818</v>
      </c>
      <c r="AM44" s="160">
        <v>6199.4508660723368</v>
      </c>
      <c r="AN44" s="160">
        <v>8540.7233166715669</v>
      </c>
      <c r="AO44" s="160">
        <v>11817.741291830569</v>
      </c>
      <c r="AP44" s="160">
        <v>22014.838605867339</v>
      </c>
    </row>
    <row r="45" spans="1:42" s="160" customFormat="1">
      <c r="A45" s="171" t="s">
        <v>260</v>
      </c>
      <c r="B45" s="160">
        <v>483.33333333333331</v>
      </c>
      <c r="L45" s="160">
        <v>530</v>
      </c>
      <c r="X45" s="160">
        <v>641.00346020761242</v>
      </c>
      <c r="AA45" s="160">
        <v>816.03153745072279</v>
      </c>
      <c r="AC45" s="160">
        <v>879.95624829094891</v>
      </c>
      <c r="AE45" s="160">
        <v>1178.0455153949131</v>
      </c>
      <c r="AF45" s="160">
        <v>1351.0681176944781</v>
      </c>
      <c r="AI45" s="160">
        <v>2258.2270508581328</v>
      </c>
      <c r="AJ45" s="160">
        <v>2222.9395604395604</v>
      </c>
      <c r="AK45" s="160">
        <v>1915.0074517302869</v>
      </c>
      <c r="AL45" s="160">
        <v>3145.6378067357114</v>
      </c>
      <c r="AM45" s="160">
        <v>6210.645384419945</v>
      </c>
      <c r="AN45" s="160">
        <v>8971.2165044249396</v>
      </c>
      <c r="AO45" s="160">
        <v>9987.5042983815638</v>
      </c>
      <c r="AP45" s="160">
        <v>12043.642392270473</v>
      </c>
    </row>
    <row r="46" spans="1:42" s="160" customFormat="1">
      <c r="A46" s="171" t="s">
        <v>261</v>
      </c>
      <c r="B46" s="160">
        <v>740</v>
      </c>
      <c r="L46" s="160">
        <v>819</v>
      </c>
      <c r="X46" s="160">
        <v>922.9602669093116</v>
      </c>
      <c r="AA46" s="160">
        <v>923.48008385744242</v>
      </c>
      <c r="AC46" s="160">
        <v>975.0404437254449</v>
      </c>
      <c r="AD46" s="160">
        <v>947.28850325379608</v>
      </c>
      <c r="AE46" s="160">
        <v>1127.8838504375497</v>
      </c>
      <c r="AF46" s="160">
        <v>1302.1835677276092</v>
      </c>
      <c r="AG46" s="160">
        <v>1227.906186267845</v>
      </c>
      <c r="AH46" s="160">
        <v>1229.2254105158399</v>
      </c>
      <c r="AI46" s="160">
        <v>1570.7547169811321</v>
      </c>
      <c r="AJ46" s="160">
        <v>1615.1140065146581</v>
      </c>
      <c r="AK46" s="160">
        <v>2086.4054958396259</v>
      </c>
      <c r="AL46" s="160">
        <v>2955.8356479688382</v>
      </c>
      <c r="AM46" s="160">
        <v>5472.8997589615446</v>
      </c>
      <c r="AN46" s="160">
        <v>8044.2430812657249</v>
      </c>
      <c r="AO46" s="160">
        <v>10826.399980892276</v>
      </c>
      <c r="AP46" s="160">
        <v>14022.466837947213</v>
      </c>
    </row>
    <row r="47" spans="1:42" s="160" customFormat="1">
      <c r="A47" s="171" t="s">
        <v>262</v>
      </c>
      <c r="B47" s="160">
        <v>853.03398058252424</v>
      </c>
      <c r="L47" s="160">
        <v>853.02166476624848</v>
      </c>
      <c r="X47" s="160">
        <v>1007.8669179709907</v>
      </c>
      <c r="AA47" s="160">
        <v>1078.6894051295824</v>
      </c>
      <c r="AB47" s="160">
        <v>1236.1590589438692</v>
      </c>
      <c r="AC47" s="160">
        <v>1207.0859823467688</v>
      </c>
      <c r="AD47" s="160">
        <v>1646.005101132926</v>
      </c>
      <c r="AE47" s="160">
        <v>1624.0919074167934</v>
      </c>
      <c r="AF47" s="160">
        <v>1786.27598836583</v>
      </c>
      <c r="AG47" s="160">
        <v>1895.1052472555141</v>
      </c>
      <c r="AH47" s="160">
        <v>2177.1853805576488</v>
      </c>
      <c r="AI47" s="160">
        <v>2620.388142461079</v>
      </c>
      <c r="AJ47" s="160">
        <v>2080.4053267073027</v>
      </c>
      <c r="AK47" s="160">
        <v>2188.9705659377451</v>
      </c>
      <c r="AL47" s="160">
        <v>3071.6499331439081</v>
      </c>
      <c r="AM47" s="160">
        <v>6319.1336974542137</v>
      </c>
      <c r="AN47" s="160">
        <v>9202.5097923728863</v>
      </c>
      <c r="AO47" s="160">
        <v>12054.808890774155</v>
      </c>
      <c r="AP47" s="160">
        <v>15268.861535941014</v>
      </c>
    </row>
    <row r="48" spans="1:42" s="160" customFormat="1">
      <c r="A48" s="178" t="s">
        <v>263</v>
      </c>
      <c r="B48" s="160">
        <v>698.32402234636868</v>
      </c>
      <c r="L48" s="160">
        <v>789.34010152284259</v>
      </c>
      <c r="X48" s="160">
        <v>955.85996955859969</v>
      </c>
      <c r="Z48" s="160">
        <f>X49+(Z49-Y49)</f>
        <v>1327.1744828887943</v>
      </c>
      <c r="AA48" s="160">
        <v>1272.7272727272727</v>
      </c>
      <c r="AC48" s="160">
        <v>1602.3579849946409</v>
      </c>
      <c r="AE48" s="160">
        <v>2027.9027902790281</v>
      </c>
      <c r="AF48" s="160">
        <v>2361.3861386138615</v>
      </c>
      <c r="AH48" s="160">
        <v>2536.3570914326851</v>
      </c>
      <c r="AI48" s="160">
        <v>3290.7949790794978</v>
      </c>
      <c r="AJ48" s="160">
        <v>3823.767724510466</v>
      </c>
      <c r="AK48" s="160">
        <v>3846.1966152161567</v>
      </c>
      <c r="AL48" s="160">
        <v>4988.1071817106258</v>
      </c>
      <c r="AM48" s="160">
        <v>7398.8186061970291</v>
      </c>
      <c r="AN48" s="160">
        <v>10435.981624471493</v>
      </c>
      <c r="AO48" s="160">
        <v>14451.850860418876</v>
      </c>
      <c r="AP48" s="160">
        <v>19401.405709934003</v>
      </c>
    </row>
    <row r="49" spans="1:42" s="180" customFormat="1" ht="13">
      <c r="A49" s="179" t="s">
        <v>226</v>
      </c>
      <c r="B49" s="180">
        <v>889.69611537314643</v>
      </c>
      <c r="C49" s="176">
        <f t="shared" ref="C49:K49" si="30">B49+(($L49-$B49)/($L$2-$B$2))</f>
        <v>900.53254360995402</v>
      </c>
      <c r="D49" s="176">
        <f t="shared" si="30"/>
        <v>911.36897184676161</v>
      </c>
      <c r="E49" s="176">
        <f t="shared" si="30"/>
        <v>922.2054000835692</v>
      </c>
      <c r="F49" s="176">
        <f t="shared" si="30"/>
        <v>933.04182832037679</v>
      </c>
      <c r="G49" s="176">
        <f t="shared" si="30"/>
        <v>943.87825655718439</v>
      </c>
      <c r="H49" s="176">
        <f t="shared" si="30"/>
        <v>954.71468479399198</v>
      </c>
      <c r="I49" s="176">
        <f t="shared" si="30"/>
        <v>965.55111303079957</v>
      </c>
      <c r="J49" s="176">
        <f t="shared" si="30"/>
        <v>976.38754126760716</v>
      </c>
      <c r="K49" s="176">
        <f t="shared" si="30"/>
        <v>987.22396950441475</v>
      </c>
      <c r="L49" s="180">
        <v>998.06039774122269</v>
      </c>
      <c r="M49" s="176">
        <f t="shared" ref="M49:W49" si="31">L49+(($X49-$L49)/($X$2-$L$2))</f>
        <v>1015.2000078111939</v>
      </c>
      <c r="N49" s="176">
        <f t="shared" si="31"/>
        <v>1032.3396178811652</v>
      </c>
      <c r="O49" s="176">
        <f t="shared" si="31"/>
        <v>1049.4792279511364</v>
      </c>
      <c r="P49" s="176">
        <f t="shared" si="31"/>
        <v>1066.6188380211076</v>
      </c>
      <c r="Q49" s="176">
        <f t="shared" si="31"/>
        <v>1083.7584480910789</v>
      </c>
      <c r="R49" s="176">
        <f t="shared" si="31"/>
        <v>1100.8980581610501</v>
      </c>
      <c r="S49" s="176">
        <f t="shared" si="31"/>
        <v>1118.0376682310214</v>
      </c>
      <c r="T49" s="176">
        <f t="shared" si="31"/>
        <v>1135.1772783009926</v>
      </c>
      <c r="U49" s="176">
        <f t="shared" si="31"/>
        <v>1152.3168883709639</v>
      </c>
      <c r="V49" s="176">
        <f t="shared" si="31"/>
        <v>1169.4564984409351</v>
      </c>
      <c r="W49" s="176">
        <f t="shared" si="31"/>
        <v>1186.5961085109063</v>
      </c>
      <c r="X49" s="180">
        <v>1203.7357185808778</v>
      </c>
      <c r="Y49" s="176">
        <f>X49+(($AA49-$X49)/($AA$2-$X$2))</f>
        <v>1327.1744828887943</v>
      </c>
      <c r="Z49" s="176">
        <f>Y49+(($AA49-$X49)/($AA$2-$X$2))</f>
        <v>1450.6132471967107</v>
      </c>
      <c r="AA49" s="180">
        <v>1574.052011504627</v>
      </c>
      <c r="AB49" s="180">
        <v>1574.052011504627</v>
      </c>
      <c r="AC49" s="180">
        <v>1960.4460491509517</v>
      </c>
      <c r="AD49" s="180">
        <v>1960.4460491509517</v>
      </c>
      <c r="AE49" s="180">
        <v>2490.4719233248661</v>
      </c>
      <c r="AF49" s="180">
        <v>2892.9495638341018</v>
      </c>
      <c r="AG49" s="180">
        <v>2892.9495638341018</v>
      </c>
      <c r="AH49" s="180">
        <v>2892.9495638341018</v>
      </c>
      <c r="AI49" s="180">
        <v>4014.4742872376692</v>
      </c>
      <c r="AJ49" s="180">
        <v>4547.5593879072885</v>
      </c>
      <c r="AK49" s="180">
        <v>4578.5690680587868</v>
      </c>
      <c r="AL49" s="180">
        <v>6896.2141509507019</v>
      </c>
      <c r="AM49" s="180">
        <v>10194.61385171923</v>
      </c>
      <c r="AN49" s="180">
        <v>13197.226018097401</v>
      </c>
      <c r="AO49" s="180">
        <v>15965.772068289378</v>
      </c>
      <c r="AP49" s="180">
        <v>19001.518052685897</v>
      </c>
    </row>
    <row r="50" spans="1:42" s="170" customFormat="1" ht="14">
      <c r="A50" s="169" t="s">
        <v>227</v>
      </c>
    </row>
    <row r="51" spans="1:42" s="160" customFormat="1">
      <c r="A51" s="171" t="s">
        <v>264</v>
      </c>
      <c r="B51" s="181">
        <v>400</v>
      </c>
      <c r="L51" s="181">
        <v>400</v>
      </c>
      <c r="X51" s="160">
        <v>517.96407185628743</v>
      </c>
      <c r="Y51" s="160">
        <v>848.4848484848485</v>
      </c>
      <c r="Z51" s="160">
        <v>1373.8095238095239</v>
      </c>
      <c r="AA51" s="172">
        <v>1975.206611570248</v>
      </c>
      <c r="AB51" s="172">
        <v>2894.4193061840119</v>
      </c>
      <c r="AC51" s="172">
        <v>3273.2394366197186</v>
      </c>
      <c r="AD51" s="172">
        <v>4285.3891670459725</v>
      </c>
      <c r="AE51" s="172">
        <v>4457.6762149983906</v>
      </c>
      <c r="AF51" s="172">
        <v>4013.365410318097</v>
      </c>
      <c r="AG51" s="172">
        <v>5209.8285714285712</v>
      </c>
      <c r="AH51" s="172">
        <v>4765.5841731989503</v>
      </c>
      <c r="AI51" s="160">
        <v>4708.3011284588029</v>
      </c>
      <c r="AJ51" s="160">
        <v>6166.1391650099413</v>
      </c>
      <c r="AK51" s="160">
        <v>7411.576424185927</v>
      </c>
      <c r="AL51" s="173">
        <v>8790.9082214125629</v>
      </c>
      <c r="AM51" s="160">
        <v>12023.544726133005</v>
      </c>
      <c r="AN51" s="160">
        <v>14411.839161461148</v>
      </c>
      <c r="AO51" s="160">
        <v>17105.96433478695</v>
      </c>
      <c r="AP51" s="160">
        <v>21540.369702086453</v>
      </c>
    </row>
    <row r="52" spans="1:42" s="160" customFormat="1">
      <c r="A52" s="171" t="s">
        <v>265</v>
      </c>
      <c r="B52" s="181">
        <v>400</v>
      </c>
      <c r="L52" s="181">
        <v>400</v>
      </c>
      <c r="X52" s="181">
        <v>400</v>
      </c>
      <c r="Y52" s="160">
        <v>400</v>
      </c>
      <c r="Z52" s="181">
        <v>400</v>
      </c>
      <c r="AA52" s="160">
        <v>1144.4444444444443</v>
      </c>
      <c r="AB52" s="160">
        <v>2212.121212121212</v>
      </c>
      <c r="AC52" s="172">
        <v>3099.6563573883163</v>
      </c>
      <c r="AD52" s="172">
        <v>3746.5326923076927</v>
      </c>
      <c r="AE52" s="172">
        <v>3755.4766917293236</v>
      </c>
      <c r="AF52" s="172">
        <v>4298.1412639405207</v>
      </c>
      <c r="AG52" s="172">
        <v>5316.3071770334927</v>
      </c>
      <c r="AH52" s="172">
        <v>5641.2497985495575</v>
      </c>
      <c r="AI52" s="160">
        <v>4960.1212324179496</v>
      </c>
      <c r="AJ52" s="172">
        <v>6300.4419315403429</v>
      </c>
      <c r="AK52" s="173">
        <v>8455.6492393793451</v>
      </c>
      <c r="AL52" s="173">
        <v>9465.1788176305545</v>
      </c>
      <c r="AM52" s="160">
        <v>11189.33540778982</v>
      </c>
      <c r="AN52" s="160">
        <v>12346.734381653863</v>
      </c>
      <c r="AO52" s="160">
        <v>13909.079760590834</v>
      </c>
      <c r="AP52" s="160">
        <v>16010.421591711733</v>
      </c>
    </row>
    <row r="53" spans="1:42" s="160" customFormat="1">
      <c r="A53" s="171" t="s">
        <v>266</v>
      </c>
      <c r="B53" s="181">
        <v>400</v>
      </c>
      <c r="L53" s="181">
        <v>430</v>
      </c>
      <c r="X53" s="160">
        <v>904.41176470588232</v>
      </c>
      <c r="Y53" s="160">
        <v>1000</v>
      </c>
      <c r="Z53" s="160">
        <v>1162.0506776664704</v>
      </c>
      <c r="AA53" s="160">
        <v>1329.5774647887324</v>
      </c>
      <c r="AB53" s="160">
        <v>1450.5788067675869</v>
      </c>
      <c r="AC53" s="160">
        <v>1694.5252578682887</v>
      </c>
      <c r="AD53" s="160">
        <v>1815.8868613138688</v>
      </c>
      <c r="AE53" s="160">
        <v>2378.3773891825945</v>
      </c>
      <c r="AF53" s="160">
        <v>2911.2662635147517</v>
      </c>
      <c r="AG53" s="160">
        <v>4065.7612687813021</v>
      </c>
      <c r="AH53" s="160">
        <v>3861.4762446010454</v>
      </c>
      <c r="AI53" s="160">
        <v>4810.6045003813888</v>
      </c>
      <c r="AJ53" s="160">
        <v>5368.2453798767965</v>
      </c>
      <c r="AK53" s="173">
        <v>7291.4797655798238</v>
      </c>
      <c r="AL53" s="160">
        <v>8752.5076279242676</v>
      </c>
      <c r="AM53" s="160">
        <v>12050.490515258263</v>
      </c>
      <c r="AN53" s="173">
        <v>16175.706391578196</v>
      </c>
      <c r="AO53" s="173">
        <v>18872.388505465879</v>
      </c>
      <c r="AP53" s="173">
        <v>22197.89778131323</v>
      </c>
    </row>
    <row r="54" spans="1:42" s="160" customFormat="1">
      <c r="A54" s="171" t="s">
        <v>267</v>
      </c>
      <c r="B54" s="181">
        <v>400</v>
      </c>
      <c r="L54" s="160">
        <v>527</v>
      </c>
      <c r="X54" s="160">
        <v>1257.1886584510569</v>
      </c>
      <c r="Y54" s="172">
        <v>1376.0574018126888</v>
      </c>
      <c r="Z54" s="172">
        <v>1587.5945883971567</v>
      </c>
      <c r="AA54" s="160">
        <v>1805.8948261238336</v>
      </c>
      <c r="AB54" s="160">
        <v>2178.0206664782186</v>
      </c>
      <c r="AC54" s="160">
        <v>2444.6211575259063</v>
      </c>
      <c r="AD54" s="160">
        <v>2880.3163026675647</v>
      </c>
      <c r="AE54" s="160">
        <v>3391.898281254937</v>
      </c>
      <c r="AF54" s="172">
        <v>4090.7872916966658</v>
      </c>
      <c r="AG54" s="172">
        <v>4963.7357034290217</v>
      </c>
      <c r="AH54" s="172">
        <v>5552.3273640778061</v>
      </c>
      <c r="AI54" s="172">
        <v>6212.7127066015455</v>
      </c>
      <c r="AJ54" s="172">
        <v>7009.637212844078</v>
      </c>
      <c r="AK54" s="173">
        <v>9561.3478600652797</v>
      </c>
      <c r="AL54" s="173">
        <v>11328.475516269904</v>
      </c>
      <c r="AM54" s="173">
        <v>15029.846087821626</v>
      </c>
      <c r="AN54" s="173">
        <v>18577.36665413365</v>
      </c>
      <c r="AO54" s="173">
        <v>23200.559941388365</v>
      </c>
      <c r="AP54" s="173">
        <v>28129.232517246288</v>
      </c>
    </row>
    <row r="55" spans="1:42" s="180" customFormat="1" ht="13">
      <c r="A55" s="182" t="s">
        <v>227</v>
      </c>
      <c r="B55" s="180">
        <v>400</v>
      </c>
      <c r="C55" s="176">
        <f t="shared" ref="C55:K55" si="32">B55+(($L55-$B55)/($L$2-$B$2))</f>
        <v>407.6</v>
      </c>
      <c r="D55" s="176">
        <f t="shared" si="32"/>
        <v>415.20000000000005</v>
      </c>
      <c r="E55" s="176">
        <f t="shared" si="32"/>
        <v>422.80000000000007</v>
      </c>
      <c r="F55" s="176">
        <f t="shared" si="32"/>
        <v>430.40000000000009</v>
      </c>
      <c r="G55" s="176">
        <f t="shared" si="32"/>
        <v>438.00000000000011</v>
      </c>
      <c r="H55" s="176">
        <f t="shared" si="32"/>
        <v>445.60000000000014</v>
      </c>
      <c r="I55" s="176">
        <f t="shared" si="32"/>
        <v>453.20000000000016</v>
      </c>
      <c r="J55" s="176">
        <f t="shared" si="32"/>
        <v>460.80000000000018</v>
      </c>
      <c r="K55" s="176">
        <f t="shared" si="32"/>
        <v>468.4000000000002</v>
      </c>
      <c r="L55" s="180">
        <v>476</v>
      </c>
      <c r="M55" s="176">
        <f t="shared" ref="M55:W55" si="33">L55+(($X55-$L55)/($X$2-$L$2))</f>
        <v>536.49508800047488</v>
      </c>
      <c r="N55" s="176">
        <f t="shared" si="33"/>
        <v>596.99017600094976</v>
      </c>
      <c r="O55" s="176">
        <f t="shared" si="33"/>
        <v>657.48526400142464</v>
      </c>
      <c r="P55" s="176">
        <f t="shared" si="33"/>
        <v>717.98035200189952</v>
      </c>
      <c r="Q55" s="176">
        <f t="shared" si="33"/>
        <v>778.4754400023744</v>
      </c>
      <c r="R55" s="176">
        <f t="shared" si="33"/>
        <v>838.97052800284928</v>
      </c>
      <c r="S55" s="176">
        <f t="shared" si="33"/>
        <v>899.46561600332416</v>
      </c>
      <c r="T55" s="176">
        <f t="shared" si="33"/>
        <v>959.96070400379904</v>
      </c>
      <c r="U55" s="176">
        <f t="shared" si="33"/>
        <v>1020.4557920042739</v>
      </c>
      <c r="V55" s="176">
        <f t="shared" si="33"/>
        <v>1080.9508800047488</v>
      </c>
      <c r="W55" s="176">
        <f t="shared" si="33"/>
        <v>1141.4459680052237</v>
      </c>
      <c r="X55" s="180">
        <v>1201.9410560056986</v>
      </c>
      <c r="Y55" s="180">
        <v>1328.1218410944134</v>
      </c>
      <c r="Z55" s="180">
        <v>1541.99989812032</v>
      </c>
      <c r="AA55" s="180">
        <v>1763.2660687593423</v>
      </c>
      <c r="AB55" s="180">
        <v>2137.211585665194</v>
      </c>
      <c r="AC55" s="180">
        <v>2419.1329630272521</v>
      </c>
      <c r="AD55" s="180">
        <v>2860.7002380166441</v>
      </c>
      <c r="AE55" s="180">
        <v>3372.0162934770533</v>
      </c>
      <c r="AF55" s="180">
        <v>4014.870040279643</v>
      </c>
      <c r="AG55" s="180">
        <v>4916.1955207591936</v>
      </c>
      <c r="AH55" s="180">
        <v>5397.0980879634935</v>
      </c>
      <c r="AI55" s="180">
        <v>6027.6026682052943</v>
      </c>
      <c r="AJ55" s="180">
        <v>6837.8448657869449</v>
      </c>
      <c r="AK55" s="180">
        <v>9268.4341910145249</v>
      </c>
      <c r="AL55" s="180">
        <v>10961.082848353792</v>
      </c>
      <c r="AM55" s="180">
        <v>14560.481844671916</v>
      </c>
      <c r="AN55" s="180">
        <v>18060.162962875591</v>
      </c>
      <c r="AO55" s="180">
        <v>22344.91940545087</v>
      </c>
      <c r="AP55" s="180">
        <v>27065.406884724773</v>
      </c>
    </row>
    <row r="56" spans="1:42" s="170" customFormat="1" ht="14">
      <c r="A56" s="169" t="s">
        <v>268</v>
      </c>
    </row>
    <row r="57" spans="1:42" s="160" customFormat="1">
      <c r="A57" s="171" t="s">
        <v>269</v>
      </c>
      <c r="AC57" s="160">
        <v>446.10281923714763</v>
      </c>
      <c r="AE57" s="160">
        <v>597.79614325068871</v>
      </c>
      <c r="AF57" s="160">
        <v>685</v>
      </c>
      <c r="AG57" s="160">
        <v>780.32036613272317</v>
      </c>
      <c r="AK57" s="160">
        <v>1001.3386153623247</v>
      </c>
      <c r="AL57" s="160">
        <v>1450.9147231802572</v>
      </c>
      <c r="AM57" s="160">
        <v>2003.536581480826</v>
      </c>
      <c r="AN57" s="160">
        <v>2347.0841213924064</v>
      </c>
      <c r="AO57" s="160">
        <v>2493.7548704950896</v>
      </c>
      <c r="AP57" s="160">
        <v>2650.6724806506927</v>
      </c>
    </row>
    <row r="58" spans="1:42" s="160" customFormat="1">
      <c r="A58" s="171" t="s">
        <v>270</v>
      </c>
      <c r="AC58" s="160">
        <v>839.90719257540604</v>
      </c>
      <c r="AE58" s="160">
        <v>1130.9143686502177</v>
      </c>
      <c r="AF58" s="160">
        <v>1223</v>
      </c>
      <c r="AG58" s="160">
        <v>1455.9734513274336</v>
      </c>
      <c r="AI58" s="160">
        <v>1284.4144511843272</v>
      </c>
      <c r="AJ58" s="160">
        <v>1548.0289301290197</v>
      </c>
      <c r="AK58" s="160">
        <v>1651.031110614852</v>
      </c>
      <c r="AL58" s="160">
        <v>2911.7125659556132</v>
      </c>
      <c r="AM58" s="160">
        <v>4773.2234535725729</v>
      </c>
      <c r="AN58" s="160">
        <v>6043.7999070686001</v>
      </c>
      <c r="AO58" s="160">
        <v>5596.9016513102943</v>
      </c>
      <c r="AP58" s="160">
        <v>5364.9662279935574</v>
      </c>
    </row>
    <row r="59" spans="1:42" s="160" customFormat="1">
      <c r="A59" s="171" t="s">
        <v>271</v>
      </c>
      <c r="X59" s="160">
        <v>849.02703408645687</v>
      </c>
      <c r="AA59" s="160">
        <v>1079.0270270270271</v>
      </c>
      <c r="AC59" s="160">
        <v>1163.9586410635154</v>
      </c>
      <c r="AE59" s="160">
        <v>1505.0208833200036</v>
      </c>
      <c r="AF59" s="160">
        <v>1729.0396969197825</v>
      </c>
      <c r="AG59" s="160">
        <v>1990.988909426987</v>
      </c>
      <c r="AH59" s="160">
        <v>1933.1937185477946</v>
      </c>
      <c r="AI59" s="160">
        <v>2925.8101833525498</v>
      </c>
      <c r="AK59" s="160">
        <v>3500.6371254552423</v>
      </c>
      <c r="AL59" s="160">
        <v>5108.3185113324407</v>
      </c>
      <c r="AM59" s="160">
        <v>6466.3398726428313</v>
      </c>
      <c r="AN59" s="160">
        <v>7982.0160370616795</v>
      </c>
      <c r="AO59" s="160">
        <v>8512.6440634646642</v>
      </c>
      <c r="AP59" s="160">
        <v>8629.5813141914914</v>
      </c>
    </row>
    <row r="60" spans="1:42" s="160" customFormat="1">
      <c r="A60" s="171" t="s">
        <v>272</v>
      </c>
      <c r="AC60" s="160">
        <v>1091.6004732127767</v>
      </c>
      <c r="AE60" s="160">
        <v>1472.5158562367865</v>
      </c>
      <c r="AF60" s="160">
        <v>1682.3347832187455</v>
      </c>
      <c r="AG60" s="160">
        <v>2000.3924646781788</v>
      </c>
      <c r="AH60" s="160">
        <v>1708.8678782039105</v>
      </c>
      <c r="AI60" s="160">
        <v>2403.680523815327</v>
      </c>
      <c r="AJ60" s="160">
        <v>2626.4024399545169</v>
      </c>
      <c r="AK60" s="160">
        <v>2479.9581549760351</v>
      </c>
      <c r="AL60" s="160">
        <v>3649.1015883674495</v>
      </c>
      <c r="AM60" s="160">
        <v>5027.9154507628036</v>
      </c>
      <c r="AN60" s="160">
        <v>6306.4550499882362</v>
      </c>
      <c r="AO60" s="160">
        <v>6458.8110272797267</v>
      </c>
      <c r="AP60" s="160">
        <v>7137.5000936990455</v>
      </c>
    </row>
    <row r="61" spans="1:42" s="160" customFormat="1">
      <c r="A61" s="171" t="s">
        <v>273</v>
      </c>
      <c r="AC61" s="160">
        <v>945.98280462496302</v>
      </c>
      <c r="AE61" s="160">
        <v>1284.0203027916339</v>
      </c>
      <c r="AF61" s="160">
        <v>1536</v>
      </c>
      <c r="AG61" s="160">
        <v>1689.9864885152381</v>
      </c>
      <c r="AI61" s="160">
        <v>1994.2838224591621</v>
      </c>
      <c r="AK61" s="160">
        <v>2446.8926873108153</v>
      </c>
      <c r="AL61" s="160">
        <v>3214.6655576367243</v>
      </c>
      <c r="AM61" s="160">
        <v>4427.7957790538194</v>
      </c>
      <c r="AN61" s="160">
        <v>5739.8780922095257</v>
      </c>
      <c r="AO61" s="160">
        <v>5113.408029000253</v>
      </c>
      <c r="AP61" s="160">
        <v>7214.8691729547436</v>
      </c>
    </row>
    <row r="62" spans="1:42" s="160" customFormat="1">
      <c r="A62" s="171" t="s">
        <v>274</v>
      </c>
      <c r="AC62" s="160">
        <v>931.0382394596362</v>
      </c>
      <c r="AE62" s="160">
        <v>1246.0233297985153</v>
      </c>
      <c r="AF62" s="160">
        <v>1415</v>
      </c>
      <c r="AG62" s="160">
        <v>1660.0370807348727</v>
      </c>
      <c r="AI62" s="160">
        <v>1218.8150547175453</v>
      </c>
      <c r="AK62" s="160">
        <v>1181.9519614863611</v>
      </c>
      <c r="AL62" s="160">
        <v>1843.7188046247886</v>
      </c>
      <c r="AM62" s="160">
        <v>2852.9071426682058</v>
      </c>
      <c r="AN62" s="160">
        <v>4135.4000125773746</v>
      </c>
      <c r="AO62" s="160">
        <v>3510.7667756569867</v>
      </c>
      <c r="AP62" s="160">
        <v>3002.1702171881543</v>
      </c>
    </row>
    <row r="63" spans="1:42" s="160" customFormat="1">
      <c r="A63" s="171" t="s">
        <v>275</v>
      </c>
      <c r="AC63" s="160">
        <v>599.00630150266602</v>
      </c>
      <c r="AE63" s="160">
        <v>843.03405572755423</v>
      </c>
      <c r="AF63" s="160">
        <v>902.00465366028277</v>
      </c>
      <c r="AG63" s="160">
        <v>1056.9261415874962</v>
      </c>
      <c r="AH63" s="160">
        <v>1031.2349058122686</v>
      </c>
      <c r="AI63" s="160">
        <v>1318.4563059623795</v>
      </c>
      <c r="AK63" s="160">
        <v>1550.9826246572377</v>
      </c>
      <c r="AL63" s="160">
        <v>2437.03635891883</v>
      </c>
      <c r="AM63" s="160">
        <v>3754.519676373533</v>
      </c>
      <c r="AN63" s="160">
        <v>6063.2935506305057</v>
      </c>
      <c r="AO63" s="160">
        <v>5778.7968542548142</v>
      </c>
      <c r="AP63" s="160">
        <v>4258.4131219854389</v>
      </c>
    </row>
    <row r="64" spans="1:42" s="184" customFormat="1" ht="13">
      <c r="A64" s="183" t="s">
        <v>276</v>
      </c>
      <c r="X64" s="184">
        <v>683.16098417313538</v>
      </c>
      <c r="AA64" s="184">
        <v>868.99641980590388</v>
      </c>
      <c r="AC64" s="184">
        <v>936.62826521276395</v>
      </c>
      <c r="AE64" s="184">
        <v>1253.8829795422009</v>
      </c>
      <c r="AF64" s="184">
        <v>1437.9445860859521</v>
      </c>
      <c r="AG64" s="184">
        <v>1635.9816457001443</v>
      </c>
      <c r="AK64" s="184">
        <v>2111.2488704083121</v>
      </c>
      <c r="AL64" s="184">
        <v>3069.7503864144032</v>
      </c>
      <c r="AM64" s="184">
        <v>4315.1646642169571</v>
      </c>
      <c r="AN64" s="184">
        <v>5785.9334334316763</v>
      </c>
      <c r="AO64" s="184">
        <v>5450.4171732017121</v>
      </c>
      <c r="AP64" s="184">
        <v>5803.7246784654108</v>
      </c>
    </row>
    <row r="65" spans="1:42" s="184" customFormat="1" ht="13">
      <c r="A65" s="185" t="s">
        <v>277</v>
      </c>
      <c r="X65" s="184">
        <v>687.99415685200404</v>
      </c>
      <c r="AC65" s="184">
        <v>943.3191988451822</v>
      </c>
      <c r="AF65" s="184">
        <v>1237.3413654618475</v>
      </c>
      <c r="AI65" s="184">
        <v>1448.4249075838634</v>
      </c>
      <c r="AJ65" s="184">
        <v>2143.6495381946215</v>
      </c>
      <c r="AK65" s="184">
        <v>2841.45804811279</v>
      </c>
      <c r="AL65" s="184">
        <v>3945.3375081934723</v>
      </c>
      <c r="AM65" s="184">
        <v>5575.010392793678</v>
      </c>
      <c r="AN65" s="184">
        <v>6426.1224029659925</v>
      </c>
      <c r="AO65" s="184">
        <v>6877.8114898253834</v>
      </c>
      <c r="AP65" s="184">
        <v>4350.6269394598048</v>
      </c>
    </row>
    <row r="66" spans="1:42" s="170" customFormat="1" ht="30" customHeight="1">
      <c r="A66" s="186" t="s">
        <v>278</v>
      </c>
    </row>
    <row r="67" spans="1:42" s="160" customFormat="1">
      <c r="A67" s="171" t="s">
        <v>279</v>
      </c>
      <c r="AO67" s="160">
        <v>3736.7366195215445</v>
      </c>
      <c r="AP67" s="160">
        <v>2790.5688990783351</v>
      </c>
    </row>
    <row r="68" spans="1:42" s="160" customFormat="1">
      <c r="A68" s="171" t="s">
        <v>280</v>
      </c>
      <c r="AO68" s="160">
        <v>7350.5876987729653</v>
      </c>
      <c r="AP68" s="160">
        <v>6632.0802126749322</v>
      </c>
    </row>
    <row r="69" spans="1:42" s="160" customFormat="1">
      <c r="A69" s="171" t="s">
        <v>281</v>
      </c>
      <c r="AO69" s="160">
        <v>3905.321568424466</v>
      </c>
      <c r="AP69" s="160">
        <v>3296.6489294218322</v>
      </c>
    </row>
    <row r="70" spans="1:42" s="160" customFormat="1">
      <c r="A70" s="171" t="s">
        <v>282</v>
      </c>
      <c r="AO70" s="160">
        <v>11403.872380415969</v>
      </c>
      <c r="AP70" s="160">
        <v>13457.716437027941</v>
      </c>
    </row>
    <row r="71" spans="1:42" s="160" customFormat="1">
      <c r="A71" s="171" t="s">
        <v>283</v>
      </c>
      <c r="AO71" s="160">
        <v>5249.2250466241685</v>
      </c>
      <c r="AP71" s="160">
        <v>2354.2737998952612</v>
      </c>
    </row>
    <row r="72" spans="1:42" s="184" customFormat="1" ht="13">
      <c r="A72" s="183" t="s">
        <v>284</v>
      </c>
      <c r="AO72" s="184">
        <v>5778.796854254816</v>
      </c>
      <c r="AP72" s="184">
        <v>4258.4131219854389</v>
      </c>
    </row>
    <row r="73" spans="1:42" s="160" customFormat="1">
      <c r="A73" s="171" t="s">
        <v>285</v>
      </c>
      <c r="AO73" s="160">
        <v>8895.2786717201216</v>
      </c>
      <c r="AP73" s="160">
        <v>9046.6686766264502</v>
      </c>
    </row>
    <row r="74" spans="1:42" s="160" customFormat="1">
      <c r="A74" s="171" t="s">
        <v>286</v>
      </c>
      <c r="AO74" s="160">
        <v>7763.059284583941</v>
      </c>
      <c r="AP74" s="160">
        <v>7837.3418718643416</v>
      </c>
    </row>
    <row r="75" spans="1:42" s="184" customFormat="1" ht="13">
      <c r="A75" s="183" t="s">
        <v>287</v>
      </c>
      <c r="AO75" s="184">
        <v>8512.6440634646642</v>
      </c>
      <c r="AP75" s="184">
        <v>8629.5813141914914</v>
      </c>
    </row>
    <row r="76" spans="1:42" s="170" customFormat="1" ht="14">
      <c r="A76" s="169" t="s">
        <v>288</v>
      </c>
    </row>
    <row r="77" spans="1:42" s="160" customFormat="1">
      <c r="A77" s="171" t="s">
        <v>289</v>
      </c>
      <c r="AO77" s="160">
        <v>6085.671204997363</v>
      </c>
      <c r="AP77" s="160">
        <v>4318.64501652944</v>
      </c>
    </row>
    <row r="78" spans="1:42" s="160" customFormat="1">
      <c r="A78" s="171" t="s">
        <v>290</v>
      </c>
      <c r="AO78" s="160">
        <v>4638.5765901955019</v>
      </c>
      <c r="AP78" s="160">
        <v>2537.7628219747053</v>
      </c>
    </row>
    <row r="79" spans="1:42" s="160" customFormat="1">
      <c r="A79" s="171" t="s">
        <v>291</v>
      </c>
      <c r="AO79" s="160">
        <v>7184.2883669133316</v>
      </c>
      <c r="AP79" s="160">
        <v>6466.4625326489513</v>
      </c>
    </row>
    <row r="80" spans="1:42" s="160" customFormat="1">
      <c r="A80" s="171" t="s">
        <v>292</v>
      </c>
      <c r="AO80" s="160">
        <v>10793.939374676198</v>
      </c>
      <c r="AP80" s="160">
        <v>10894.387661363729</v>
      </c>
    </row>
    <row r="81" spans="1:42" s="160" customFormat="1">
      <c r="A81" s="171" t="s">
        <v>293</v>
      </c>
      <c r="AO81" s="160">
        <v>7572.5188937324092</v>
      </c>
      <c r="AP81" s="160">
        <v>3054.2651534862375</v>
      </c>
    </row>
    <row r="82" spans="1:42" s="160" customFormat="1">
      <c r="A82" s="171" t="s">
        <v>294</v>
      </c>
      <c r="AO82" s="160">
        <v>7319.4301168738739</v>
      </c>
      <c r="AP82" s="160">
        <v>5040.5698793185566</v>
      </c>
    </row>
    <row r="83" spans="1:42" s="160" customFormat="1">
      <c r="A83" s="171" t="s">
        <v>295</v>
      </c>
      <c r="AO83" s="160">
        <v>3596.3594008452028</v>
      </c>
      <c r="AP83" s="160">
        <v>2250.4764974184832</v>
      </c>
    </row>
    <row r="84" spans="1:42" s="160" customFormat="1">
      <c r="A84" s="171" t="s">
        <v>296</v>
      </c>
      <c r="AO84" s="160">
        <v>9886.1814666193077</v>
      </c>
      <c r="AP84" s="160">
        <v>6775.6762578141697</v>
      </c>
    </row>
    <row r="85" spans="1:42" s="160" customFormat="1">
      <c r="A85" s="171" t="s">
        <v>297</v>
      </c>
      <c r="AO85" s="160">
        <v>8645.6078637488936</v>
      </c>
      <c r="AP85" s="160">
        <v>6442.8533709534695</v>
      </c>
    </row>
    <row r="86" spans="1:42" s="160" customFormat="1">
      <c r="A86" s="171" t="s">
        <v>298</v>
      </c>
      <c r="AO86" s="160">
        <v>6164.9034357648989</v>
      </c>
      <c r="AP86" s="160">
        <v>2127.9025624659475</v>
      </c>
    </row>
    <row r="87" spans="1:42" s="160" customFormat="1">
      <c r="A87" s="171" t="s">
        <v>299</v>
      </c>
      <c r="AO87" s="160">
        <v>7773.0004036822502</v>
      </c>
      <c r="AP87" s="160">
        <v>5156.9036676800461</v>
      </c>
    </row>
    <row r="88" spans="1:42" s="160" customFormat="1">
      <c r="A88" s="171" t="s">
        <v>300</v>
      </c>
      <c r="AO88" s="160">
        <v>2978.7310650670083</v>
      </c>
      <c r="AP88" s="160">
        <v>1011.9967730375989</v>
      </c>
    </row>
    <row r="89" spans="1:42" s="160" customFormat="1">
      <c r="A89" s="171" t="s">
        <v>301</v>
      </c>
      <c r="AO89" s="160">
        <v>3626.3615215231371</v>
      </c>
      <c r="AP89" s="160">
        <v>2270.781635794955</v>
      </c>
    </row>
    <row r="90" spans="1:42" s="160" customFormat="1">
      <c r="A90" s="171" t="s">
        <v>302</v>
      </c>
      <c r="AO90" s="160">
        <v>6022.5736168795902</v>
      </c>
      <c r="AP90" s="160">
        <v>2735.640268909583</v>
      </c>
    </row>
    <row r="91" spans="1:42" s="160" customFormat="1">
      <c r="A91" s="171" t="s">
        <v>303</v>
      </c>
      <c r="AO91" s="160">
        <v>4241.0633437924698</v>
      </c>
      <c r="AP91" s="160">
        <v>3407.7653552728989</v>
      </c>
    </row>
    <row r="92" spans="1:42" s="184" customFormat="1" ht="13">
      <c r="A92" s="183" t="s">
        <v>304</v>
      </c>
      <c r="AO92" s="184">
        <v>6877.8114898253834</v>
      </c>
      <c r="AP92" s="184">
        <v>4350.6269394598057</v>
      </c>
    </row>
    <row r="93" spans="1:42" s="188" customFormat="1" ht="14">
      <c r="A93" s="187" t="s">
        <v>305</v>
      </c>
    </row>
    <row r="94" spans="1:42" s="160" customFormat="1">
      <c r="A94" s="171" t="s">
        <v>306</v>
      </c>
      <c r="AC94" s="160">
        <v>1310.6261631892683</v>
      </c>
      <c r="AE94" s="160">
        <v>2151.9774562342077</v>
      </c>
      <c r="AF94" s="160">
        <v>2755.5582970805667</v>
      </c>
      <c r="AG94" s="160">
        <v>3821.7104898360271</v>
      </c>
      <c r="AH94" s="160">
        <v>3473.0686694004016</v>
      </c>
      <c r="AI94" s="160">
        <v>4079.5819569777959</v>
      </c>
      <c r="AJ94" s="160">
        <v>4161.4338302967108</v>
      </c>
      <c r="AK94" s="160">
        <v>4986.7244583429738</v>
      </c>
      <c r="AL94" s="160">
        <v>5559.465947070551</v>
      </c>
      <c r="AM94" s="160">
        <v>7301.9662167003662</v>
      </c>
      <c r="AN94" s="160">
        <v>8205.9798872737883</v>
      </c>
      <c r="AO94" s="160">
        <v>6435.6095938120661</v>
      </c>
      <c r="AP94" s="160">
        <v>8543.557625678015</v>
      </c>
    </row>
    <row r="95" spans="1:42" s="160" customFormat="1">
      <c r="A95" s="171" t="s">
        <v>307</v>
      </c>
      <c r="B95" s="160">
        <v>427.5</v>
      </c>
      <c r="L95" s="160">
        <v>459.2</v>
      </c>
      <c r="X95" s="160">
        <v>646.10605724428672</v>
      </c>
      <c r="AA95" s="160">
        <v>685.51285595797617</v>
      </c>
      <c r="AC95" s="160">
        <v>712.97335919158922</v>
      </c>
      <c r="AD95" s="160">
        <v>752.16211633033743</v>
      </c>
      <c r="AE95" s="160">
        <v>793.50658497077268</v>
      </c>
      <c r="AF95" s="160">
        <v>678.43638790035584</v>
      </c>
      <c r="AG95" s="160">
        <v>768.72524306805906</v>
      </c>
      <c r="AH95" s="160">
        <v>963.10757553641804</v>
      </c>
      <c r="AI95" s="160">
        <v>1048.2304575786463</v>
      </c>
      <c r="AJ95" s="160">
        <v>1249.7202899255728</v>
      </c>
      <c r="AK95" s="160">
        <v>1671.7226694010403</v>
      </c>
      <c r="AL95" s="160">
        <v>2334.8552008157912</v>
      </c>
      <c r="AM95" s="160">
        <v>3056.7189096869261</v>
      </c>
      <c r="AN95" s="160">
        <v>5197.6472772048946</v>
      </c>
      <c r="AO95" s="160">
        <v>4922.8637067258469</v>
      </c>
      <c r="AP95" s="160">
        <v>5556.4147147526364</v>
      </c>
    </row>
    <row r="96" spans="1:42" s="160" customFormat="1">
      <c r="A96" s="171" t="s">
        <v>308</v>
      </c>
      <c r="AF96" s="160">
        <v>1949.4419270145092</v>
      </c>
      <c r="AG96" s="160">
        <v>2472.2778779945679</v>
      </c>
      <c r="AH96" s="160">
        <v>2429.6973714196993</v>
      </c>
      <c r="AI96" s="160">
        <v>3142.9440315050065</v>
      </c>
      <c r="AJ96" s="160">
        <v>3258.6766028441407</v>
      </c>
      <c r="AK96" s="160">
        <v>3821.152213498548</v>
      </c>
      <c r="AL96" s="160">
        <v>4319.7748712682833</v>
      </c>
      <c r="AM96" s="160">
        <v>5292.8102702678461</v>
      </c>
      <c r="AN96" s="160">
        <v>5737.8419029580518</v>
      </c>
      <c r="AO96" s="160">
        <v>6401.549571408189</v>
      </c>
      <c r="AP96" s="160">
        <v>9840.5040004165276</v>
      </c>
    </row>
    <row r="97" spans="1:42" s="160" customFormat="1">
      <c r="A97" s="171" t="s">
        <v>309</v>
      </c>
      <c r="AF97" s="160">
        <v>973.15180277043112</v>
      </c>
      <c r="AG97" s="160">
        <v>1161.9631901840489</v>
      </c>
      <c r="AH97" s="160">
        <v>1254.9492998551423</v>
      </c>
      <c r="AI97" s="160">
        <v>1474.0412547268083</v>
      </c>
      <c r="AJ97" s="160">
        <v>1895.1373082354107</v>
      </c>
      <c r="AK97" s="160">
        <v>2152.8412932817723</v>
      </c>
      <c r="AL97" s="160">
        <v>2496.8144944748319</v>
      </c>
      <c r="AM97" s="160">
        <v>3094.2164359319218</v>
      </c>
      <c r="AN97" s="160">
        <v>4264.974084192977</v>
      </c>
      <c r="AO97" s="160">
        <v>4840.1971369486182</v>
      </c>
      <c r="AP97" s="160">
        <v>5095.7959494431934</v>
      </c>
    </row>
    <row r="98" spans="1:42" s="160" customFormat="1">
      <c r="A98" s="171" t="s">
        <v>310</v>
      </c>
      <c r="B98" s="189">
        <v>454</v>
      </c>
      <c r="C98" s="189"/>
      <c r="D98" s="189"/>
      <c r="E98" s="189"/>
      <c r="F98" s="189"/>
      <c r="G98" s="189"/>
      <c r="H98" s="189"/>
      <c r="I98" s="189"/>
      <c r="J98" s="189"/>
      <c r="K98" s="189"/>
      <c r="L98" s="189">
        <v>568</v>
      </c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60">
        <v>759.07089722180058</v>
      </c>
      <c r="AC98" s="160">
        <v>674.04273782405903</v>
      </c>
      <c r="AE98" s="160">
        <v>1011.1688976042287</v>
      </c>
      <c r="AF98" s="160">
        <v>1365.8411111927685</v>
      </c>
      <c r="AG98" s="160">
        <v>1693.5333333333333</v>
      </c>
      <c r="AH98" s="160">
        <v>1823.0872483221476</v>
      </c>
      <c r="AI98" s="160">
        <v>1617.8748180494906</v>
      </c>
      <c r="AJ98" s="160">
        <v>1851.959005541117</v>
      </c>
      <c r="AK98" s="160">
        <v>2365.0192837117406</v>
      </c>
      <c r="AL98" s="160">
        <v>3155.2026186603139</v>
      </c>
      <c r="AM98" s="160">
        <v>4319.6459970806718</v>
      </c>
      <c r="AN98" s="160">
        <v>6289.2796988853916</v>
      </c>
      <c r="AO98" s="160">
        <v>6118.5784172976064</v>
      </c>
      <c r="AP98" s="160">
        <v>7218.4622732453599</v>
      </c>
    </row>
    <row r="99" spans="1:42" s="160" customFormat="1">
      <c r="A99" s="171" t="s">
        <v>311</v>
      </c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AF99" s="160">
        <v>816.60194362562515</v>
      </c>
      <c r="AG99" s="160">
        <v>975.0356633380884</v>
      </c>
      <c r="AH99" s="160">
        <v>1330.5066237688634</v>
      </c>
      <c r="AI99" s="160">
        <v>1416.7018207654069</v>
      </c>
      <c r="AJ99" s="160">
        <v>1823.281683891589</v>
      </c>
      <c r="AK99" s="160">
        <v>2262.6924336717984</v>
      </c>
      <c r="AL99" s="160">
        <v>3022.5556338737288</v>
      </c>
      <c r="AM99" s="160">
        <v>3807.3039839912681</v>
      </c>
      <c r="AN99" s="160">
        <v>4204.7844448820715</v>
      </c>
      <c r="AO99" s="160">
        <v>2955.0802695467605</v>
      </c>
      <c r="AP99" s="160">
        <v>3686.1278754272171</v>
      </c>
    </row>
    <row r="100" spans="1:42" s="160" customFormat="1">
      <c r="A100" s="171" t="s">
        <v>312</v>
      </c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AC100" s="160">
        <v>2180.7580174927111</v>
      </c>
      <c r="AD100" s="160">
        <v>2081.8965517241377</v>
      </c>
      <c r="AE100" s="160">
        <v>2147.2303206997085</v>
      </c>
      <c r="AF100" s="160">
        <v>2218.5792349726776</v>
      </c>
      <c r="AG100" s="160">
        <v>3135.9851988899168</v>
      </c>
      <c r="AH100" s="160">
        <v>2673.9606126914659</v>
      </c>
      <c r="AI100" s="160">
        <v>4301.2259194395801</v>
      </c>
      <c r="AJ100" s="160">
        <v>3660.5597964376589</v>
      </c>
      <c r="AK100" s="160">
        <v>4659.3977509655806</v>
      </c>
      <c r="AL100" s="160">
        <v>4960.1555767771151</v>
      </c>
      <c r="AM100" s="160">
        <v>5184.0537402002155</v>
      </c>
      <c r="AN100" s="160">
        <v>6577.3904216345281</v>
      </c>
      <c r="AO100" s="160">
        <v>6473.5620755196314</v>
      </c>
      <c r="AP100" s="160">
        <v>7859.1536960487374</v>
      </c>
    </row>
    <row r="101" spans="1:42" s="160" customFormat="1">
      <c r="A101" s="171" t="s">
        <v>313</v>
      </c>
      <c r="AC101" s="160">
        <v>569.26799758015738</v>
      </c>
      <c r="AF101" s="160">
        <v>821.18413380381878</v>
      </c>
      <c r="AG101" s="160">
        <v>885.56225766258035</v>
      </c>
      <c r="AH101" s="160">
        <v>1172.6913996345952</v>
      </c>
      <c r="AI101" s="160">
        <v>3444.4752666976651</v>
      </c>
      <c r="AJ101" s="160">
        <v>4045.1664096483314</v>
      </c>
      <c r="AK101" s="160">
        <v>7461.9595185152493</v>
      </c>
      <c r="AL101" s="160">
        <v>9645.8894964760711</v>
      </c>
      <c r="AM101" s="160">
        <v>10671.762277378813</v>
      </c>
      <c r="AN101" s="160">
        <v>10139.227743435251</v>
      </c>
      <c r="AO101" s="160">
        <v>8312.8669880221805</v>
      </c>
      <c r="AP101" s="160">
        <v>8414.7285209918391</v>
      </c>
    </row>
    <row r="102" spans="1:42" s="175" customFormat="1" ht="13">
      <c r="A102" s="190" t="s">
        <v>314</v>
      </c>
      <c r="X102" s="175">
        <v>713.20134100828648</v>
      </c>
      <c r="AC102" s="175">
        <v>748.6974352079061</v>
      </c>
      <c r="AF102" s="175">
        <v>1200.2875875778252</v>
      </c>
      <c r="AG102" s="175">
        <v>1532.8315146666505</v>
      </c>
      <c r="AH102" s="175">
        <v>1634.6761643171658</v>
      </c>
      <c r="AI102" s="175">
        <v>1913.6450455126983</v>
      </c>
      <c r="AJ102" s="175">
        <v>2118.6069544540592</v>
      </c>
      <c r="AK102" s="175">
        <v>2700.1707479911588</v>
      </c>
      <c r="AL102" s="175">
        <v>3392.4108439104639</v>
      </c>
      <c r="AM102" s="175">
        <v>4308.7559587304841</v>
      </c>
      <c r="AN102" s="175">
        <v>5885.6449697648504</v>
      </c>
      <c r="AO102" s="175">
        <v>5465.2179183725102</v>
      </c>
      <c r="AP102" s="175">
        <v>6385.2728322207422</v>
      </c>
    </row>
    <row r="103" spans="1:42" s="188" customFormat="1" ht="14">
      <c r="A103" s="187" t="s">
        <v>315</v>
      </c>
    </row>
    <row r="104" spans="1:42" s="160" customFormat="1">
      <c r="A104" s="171" t="s">
        <v>316</v>
      </c>
      <c r="AK104" s="160">
        <v>1919.3587338956802</v>
      </c>
      <c r="AL104" s="160">
        <v>1606.2558949678705</v>
      </c>
      <c r="AM104" s="160">
        <v>2176.3749540405015</v>
      </c>
      <c r="AN104" s="160">
        <v>2571.9966081622438</v>
      </c>
      <c r="AO104" s="160">
        <v>2197.4779050487532</v>
      </c>
      <c r="AP104" s="160">
        <v>2574.7551094004139</v>
      </c>
    </row>
    <row r="105" spans="1:42" s="160" customFormat="1">
      <c r="A105" s="171" t="s">
        <v>317</v>
      </c>
      <c r="AH105" s="160">
        <v>1623.8095238095239</v>
      </c>
      <c r="AI105" s="160">
        <v>1626</v>
      </c>
      <c r="AJ105" s="160">
        <v>1762.9032258064517</v>
      </c>
      <c r="AK105" s="160">
        <v>1963.1318758636282</v>
      </c>
      <c r="AL105" s="160">
        <v>2715.4970024566878</v>
      </c>
      <c r="AM105" s="160">
        <v>3753.9116450775937</v>
      </c>
      <c r="AN105" s="160">
        <v>4910.5659372874197</v>
      </c>
      <c r="AO105" s="160">
        <v>4747.0000908437733</v>
      </c>
      <c r="AP105" s="160">
        <v>6173.7345164797316</v>
      </c>
    </row>
    <row r="106" spans="1:42" s="160" customFormat="1">
      <c r="A106" s="171" t="s">
        <v>318</v>
      </c>
      <c r="AI106" s="160">
        <v>1505.3427156632786</v>
      </c>
      <c r="AJ106" s="160">
        <v>1208.0595707402542</v>
      </c>
      <c r="AK106" s="160">
        <v>2046.2256497505446</v>
      </c>
      <c r="AL106" s="160">
        <v>2051.8811875552315</v>
      </c>
      <c r="AM106" s="160">
        <v>1917.4162499973663</v>
      </c>
      <c r="AN106" s="160">
        <v>2644.4697101152756</v>
      </c>
      <c r="AO106" s="160">
        <v>2948.0887163509437</v>
      </c>
      <c r="AP106" s="160">
        <v>2413.9299265652289</v>
      </c>
    </row>
    <row r="107" spans="1:42" s="160" customFormat="1">
      <c r="A107" s="171" t="s">
        <v>319</v>
      </c>
      <c r="AK107" s="160">
        <v>1026.7882946134414</v>
      </c>
      <c r="AL107" s="160">
        <v>1302.4959399508832</v>
      </c>
      <c r="AM107" s="160">
        <v>1561.4701696114753</v>
      </c>
      <c r="AN107" s="160">
        <v>2371.65945069692</v>
      </c>
      <c r="AO107" s="160">
        <v>2473.7009395484474</v>
      </c>
      <c r="AP107" s="160">
        <v>3663.1242499423897</v>
      </c>
    </row>
    <row r="108" spans="1:42" s="160" customFormat="1">
      <c r="A108" s="171" t="s">
        <v>320</v>
      </c>
      <c r="AJ108" s="160">
        <v>1356.0421735604218</v>
      </c>
      <c r="AK108" s="160">
        <v>1862.9328878278791</v>
      </c>
      <c r="AL108" s="160">
        <v>2288.5191790860235</v>
      </c>
      <c r="AM108" s="160">
        <v>2845.3106673810107</v>
      </c>
      <c r="AN108" s="160">
        <v>4129.2852887172894</v>
      </c>
      <c r="AO108" s="160">
        <v>3902.8330553395494</v>
      </c>
      <c r="AP108" s="160">
        <v>3100.5197176614533</v>
      </c>
    </row>
    <row r="109" spans="1:42" s="160" customFormat="1">
      <c r="A109" s="171" t="s">
        <v>321</v>
      </c>
      <c r="AH109" s="181">
        <v>932.47863247863245</v>
      </c>
      <c r="AI109" s="160">
        <v>1045.1388888888889</v>
      </c>
      <c r="AJ109" s="181">
        <v>1111.0429447852762</v>
      </c>
      <c r="AK109" s="160">
        <v>1488.8132797195588</v>
      </c>
      <c r="AL109" s="160">
        <v>1763.6465687913189</v>
      </c>
      <c r="AM109" s="160">
        <v>2186.793388397647</v>
      </c>
      <c r="AN109" s="160">
        <v>2353.8176938850015</v>
      </c>
      <c r="AO109" s="160">
        <v>2118.675640465548</v>
      </c>
      <c r="AP109" s="160">
        <v>2715.5507173114315</v>
      </c>
    </row>
    <row r="110" spans="1:42" s="160" customFormat="1">
      <c r="A110" s="171" t="s">
        <v>322</v>
      </c>
      <c r="AH110" s="160">
        <v>1272.3857232310584</v>
      </c>
      <c r="AI110" s="160">
        <v>1775.8328627893845</v>
      </c>
      <c r="AJ110" s="160">
        <v>2742.272727272727</v>
      </c>
      <c r="AK110" s="160">
        <v>2084.8939162862889</v>
      </c>
      <c r="AL110" s="160">
        <v>2261.7360887007012</v>
      </c>
      <c r="AM110" s="160">
        <v>2904.6783773881261</v>
      </c>
      <c r="AN110" s="160">
        <v>3680.8974799839452</v>
      </c>
      <c r="AO110" s="160">
        <v>3008.9813691745653</v>
      </c>
      <c r="AP110" s="160">
        <v>3395.6314269186919</v>
      </c>
    </row>
    <row r="111" spans="1:42" s="160" customFormat="1">
      <c r="A111" s="171" t="s">
        <v>323</v>
      </c>
      <c r="AK111" s="160">
        <v>1050.6195878884937</v>
      </c>
      <c r="AL111" s="160">
        <v>1054.598719277694</v>
      </c>
      <c r="AM111" s="160">
        <v>906.42281127881836</v>
      </c>
      <c r="AN111" s="160">
        <v>1303.6798742960652</v>
      </c>
      <c r="AO111" s="160">
        <v>1040.8627950894584</v>
      </c>
      <c r="AP111" s="160">
        <v>810.4927955034857</v>
      </c>
    </row>
    <row r="112" spans="1:42" s="160" customFormat="1">
      <c r="A112" s="171" t="s">
        <v>324</v>
      </c>
      <c r="AH112" s="160">
        <v>1273.6111111111111</v>
      </c>
      <c r="AI112" s="160">
        <v>1563.1578947368421</v>
      </c>
      <c r="AJ112" s="160">
        <v>1160</v>
      </c>
      <c r="AK112" s="160">
        <v>1313.3563450131232</v>
      </c>
      <c r="AL112" s="160">
        <v>1397.7987743641245</v>
      </c>
      <c r="AM112" s="160">
        <v>1601.1718073003149</v>
      </c>
      <c r="AN112" s="160">
        <v>1929.6335759543554</v>
      </c>
      <c r="AO112" s="160">
        <v>1870.5589203986572</v>
      </c>
      <c r="AP112" s="160">
        <v>1956.8133518725836</v>
      </c>
    </row>
    <row r="113" spans="1:42" s="160" customFormat="1">
      <c r="A113" s="171" t="s">
        <v>325</v>
      </c>
      <c r="X113" s="160">
        <v>700.74812967581045</v>
      </c>
      <c r="AA113" s="160">
        <v>543.85964912280701</v>
      </c>
      <c r="AC113" s="160">
        <v>535.07014028056108</v>
      </c>
      <c r="AK113" s="160">
        <v>1326.7848759524757</v>
      </c>
      <c r="AL113" s="160">
        <v>2653.5374779995391</v>
      </c>
      <c r="AM113" s="160">
        <v>3848.6727197990317</v>
      </c>
      <c r="AN113" s="160">
        <v>3121.4064230889853</v>
      </c>
      <c r="AO113" s="160">
        <v>3608.8084153028094</v>
      </c>
      <c r="AP113" s="160">
        <v>3547.7208221544256</v>
      </c>
    </row>
    <row r="114" spans="1:42" s="160" customFormat="1">
      <c r="A114" s="171" t="s">
        <v>326</v>
      </c>
      <c r="AH114" s="160">
        <v>1264.0625</v>
      </c>
      <c r="AI114" s="160">
        <v>1414.7058823529412</v>
      </c>
      <c r="AJ114" s="160">
        <v>1372.2891566265062</v>
      </c>
      <c r="AK114" s="160">
        <v>1615.7884574047562</v>
      </c>
      <c r="AL114" s="160">
        <v>1982.9865116721533</v>
      </c>
      <c r="AM114" s="160">
        <v>2811.632783511584</v>
      </c>
      <c r="AN114" s="160">
        <v>2154.8335058602702</v>
      </c>
      <c r="AO114" s="160">
        <v>1453.9615442680099</v>
      </c>
      <c r="AP114" s="160">
        <v>1558.4192143530825</v>
      </c>
    </row>
    <row r="115" spans="1:42" s="160" customFormat="1">
      <c r="A115" s="171" t="s">
        <v>327</v>
      </c>
      <c r="AK115" s="160">
        <v>1915.9620930821443</v>
      </c>
      <c r="AL115" s="160">
        <v>2391.0561950488409</v>
      </c>
      <c r="AM115" s="160">
        <v>3813.7524999379507</v>
      </c>
      <c r="AN115" s="160">
        <v>5091.3540517691699</v>
      </c>
      <c r="AO115" s="160">
        <v>4475.5413424362805</v>
      </c>
      <c r="AP115" s="160">
        <v>5782.1850877446586</v>
      </c>
    </row>
    <row r="116" spans="1:42" s="160" customFormat="1">
      <c r="A116" s="171" t="s">
        <v>328</v>
      </c>
      <c r="AJ116" s="160">
        <v>1752.4752475247524</v>
      </c>
      <c r="AK116" s="160">
        <v>1584.3661417296153</v>
      </c>
      <c r="AL116" s="160">
        <v>1555.3500375483493</v>
      </c>
      <c r="AM116" s="160">
        <v>1871.7813617249783</v>
      </c>
      <c r="AN116" s="160">
        <v>3303.7409095450212</v>
      </c>
      <c r="AO116" s="160">
        <v>3286.7837441242518</v>
      </c>
      <c r="AP116" s="160">
        <v>3013.8772622429474</v>
      </c>
    </row>
    <row r="117" spans="1:42" s="160" customFormat="1">
      <c r="A117" s="171" t="s">
        <v>329</v>
      </c>
      <c r="AK117" s="160">
        <v>2143.8232642019839</v>
      </c>
      <c r="AL117" s="160">
        <v>3420.6955046649705</v>
      </c>
      <c r="AM117" s="160">
        <v>6348.8471037426598</v>
      </c>
      <c r="AN117" s="160">
        <v>8182.5172106100099</v>
      </c>
      <c r="AO117" s="160">
        <v>10539.42565685867</v>
      </c>
      <c r="AP117" s="160">
        <v>14105.741434573767</v>
      </c>
    </row>
    <row r="118" spans="1:42" s="160" customFormat="1">
      <c r="A118" s="171" t="s">
        <v>330</v>
      </c>
      <c r="AK118" s="160">
        <v>3674.0506329113923</v>
      </c>
      <c r="AL118" s="160">
        <v>6250.9659394876071</v>
      </c>
      <c r="AM118" s="160">
        <v>8243.9790575916231</v>
      </c>
      <c r="AN118" s="160">
        <v>12380.411787846639</v>
      </c>
      <c r="AO118" s="160">
        <v>9270.6710513908929</v>
      </c>
      <c r="AP118" s="160">
        <v>13598.313343394964</v>
      </c>
    </row>
    <row r="119" spans="1:42" s="192" customFormat="1" ht="13">
      <c r="A119" s="191" t="s">
        <v>331</v>
      </c>
      <c r="X119" s="192">
        <v>635.7927786499215</v>
      </c>
      <c r="Y119" s="193">
        <f t="shared" ref="Y119:AB121" si="34">X119+ (($AC119-$X119)/($AC$2-$X$2))</f>
        <v>605.80532398208879</v>
      </c>
      <c r="Z119" s="194">
        <f t="shared" si="34"/>
        <v>575.81786931425609</v>
      </c>
      <c r="AA119" s="193">
        <f t="shared" si="34"/>
        <v>545.83041464642338</v>
      </c>
      <c r="AB119" s="194">
        <f t="shared" si="34"/>
        <v>515.84295997859067</v>
      </c>
      <c r="AC119" s="192">
        <v>485.85550531075819</v>
      </c>
      <c r="AD119" s="194">
        <f t="shared" ref="AD119:AE121" si="35">AC119+(($AF119-$AC119)/($AF$2-$AC$2))</f>
        <v>583.23804358210714</v>
      </c>
      <c r="AE119" s="193">
        <f t="shared" si="35"/>
        <v>680.62058185345609</v>
      </c>
      <c r="AF119" s="192">
        <v>778.00312012480504</v>
      </c>
      <c r="AG119" s="193">
        <f t="shared" ref="AG119:AJ121" si="36">AF119+(($AK119-$AF119)/($AK$2-$AF$2))</f>
        <v>972.41539930166584</v>
      </c>
      <c r="AH119" s="193">
        <f t="shared" si="36"/>
        <v>1166.8276784785266</v>
      </c>
      <c r="AI119" s="193">
        <f t="shared" si="36"/>
        <v>1361.2399576553876</v>
      </c>
      <c r="AJ119" s="193">
        <f t="shared" si="36"/>
        <v>1555.6522368322485</v>
      </c>
      <c r="AK119" s="192">
        <v>1750.0645160091092</v>
      </c>
      <c r="AL119" s="192">
        <v>2054.3724527512154</v>
      </c>
      <c r="AM119" s="192">
        <v>2587.6535618666976</v>
      </c>
      <c r="AN119" s="192">
        <v>3353.5813948187706</v>
      </c>
      <c r="AO119" s="192">
        <v>3225.3533865422628</v>
      </c>
      <c r="AP119" s="192">
        <v>3477.8004535638479</v>
      </c>
    </row>
    <row r="120" spans="1:42" s="196" customFormat="1">
      <c r="A120" s="195" t="s">
        <v>332</v>
      </c>
      <c r="X120" s="196">
        <v>636.25</v>
      </c>
      <c r="AC120" s="196">
        <v>548.64154250657316</v>
      </c>
      <c r="AF120" s="196">
        <v>845.13888888888891</v>
      </c>
      <c r="AK120" s="196">
        <v>1980.1163918525704</v>
      </c>
      <c r="AL120" s="196">
        <v>2700.8416220351951</v>
      </c>
      <c r="AM120" s="196">
        <v>3859.039190897598</v>
      </c>
      <c r="AN120" s="196">
        <v>4636.950146627566</v>
      </c>
      <c r="AO120" s="196">
        <v>4854.8430372954117</v>
      </c>
      <c r="AP120" s="196">
        <v>5634.0320591861901</v>
      </c>
    </row>
    <row r="121" spans="1:42" s="180" customFormat="1" ht="13">
      <c r="A121" s="182" t="s">
        <v>228</v>
      </c>
      <c r="X121" s="180">
        <v>692.19073946095364</v>
      </c>
      <c r="Y121" s="197">
        <f t="shared" si="34"/>
        <v>689.98863701543235</v>
      </c>
      <c r="Z121" s="197">
        <f t="shared" si="34"/>
        <v>687.78653456991105</v>
      </c>
      <c r="AA121" s="197">
        <f t="shared" si="34"/>
        <v>685.58443212438976</v>
      </c>
      <c r="AB121" s="194">
        <f t="shared" si="34"/>
        <v>683.38232967886847</v>
      </c>
      <c r="AC121" s="180">
        <v>681.18022723334741</v>
      </c>
      <c r="AD121" s="197">
        <f t="shared" si="35"/>
        <v>823.7201572690152</v>
      </c>
      <c r="AE121" s="197">
        <f t="shared" si="35"/>
        <v>966.260087304683</v>
      </c>
      <c r="AF121" s="180">
        <v>1108.8000173403507</v>
      </c>
      <c r="AG121" s="197">
        <f t="shared" si="36"/>
        <v>1388.3209978475109</v>
      </c>
      <c r="AH121" s="197">
        <f t="shared" si="36"/>
        <v>1667.841978354671</v>
      </c>
      <c r="AI121" s="197">
        <f t="shared" si="36"/>
        <v>1947.3629588618312</v>
      </c>
      <c r="AJ121" s="197">
        <f t="shared" si="36"/>
        <v>2226.8839393689914</v>
      </c>
      <c r="AK121" s="180">
        <v>2506.4049198761513</v>
      </c>
      <c r="AL121" s="180">
        <v>3132.692581420823</v>
      </c>
      <c r="AM121" s="180">
        <v>3985.7540465139</v>
      </c>
      <c r="AN121" s="180">
        <v>5412.4261280006922</v>
      </c>
      <c r="AO121" s="180">
        <v>5052.8624501931599</v>
      </c>
      <c r="AP121" s="180">
        <v>5838.4648559190264</v>
      </c>
    </row>
    <row r="122" spans="1:42" s="170" customFormat="1" ht="14">
      <c r="A122" s="169" t="s">
        <v>333</v>
      </c>
    </row>
    <row r="123" spans="1:42" s="160" customFormat="1">
      <c r="A123" s="171" t="s">
        <v>334</v>
      </c>
      <c r="B123" s="160">
        <v>600</v>
      </c>
      <c r="L123" s="160">
        <v>600</v>
      </c>
      <c r="X123" s="160">
        <v>600</v>
      </c>
      <c r="AC123" s="160">
        <v>530</v>
      </c>
      <c r="AE123" s="160">
        <v>540.27368421052631</v>
      </c>
      <c r="AF123" s="181">
        <v>545.18499999999995</v>
      </c>
      <c r="AI123" s="160">
        <v>567.41717791411043</v>
      </c>
      <c r="AK123" s="160">
        <v>438.72790614741729</v>
      </c>
      <c r="AL123" s="160">
        <v>672.68352646648782</v>
      </c>
      <c r="AM123" s="160">
        <v>783.25461466550178</v>
      </c>
      <c r="AN123" s="160">
        <v>1066.7994924763179</v>
      </c>
      <c r="AO123" s="160">
        <v>1858.1993243392046</v>
      </c>
      <c r="AP123" s="160">
        <v>3425.3120616916635</v>
      </c>
    </row>
    <row r="124" spans="1:42" s="160" customFormat="1">
      <c r="A124" s="171" t="s">
        <v>335</v>
      </c>
      <c r="B124" s="160">
        <v>550</v>
      </c>
      <c r="L124" s="160">
        <v>550</v>
      </c>
      <c r="X124" s="160">
        <v>533.09569377990431</v>
      </c>
      <c r="AC124" s="160">
        <v>533.13043478260863</v>
      </c>
      <c r="AE124" s="160">
        <v>584.14095971047038</v>
      </c>
      <c r="AF124" s="181">
        <v>599.17750439367308</v>
      </c>
      <c r="AG124" s="160">
        <v>696.58722277391598</v>
      </c>
      <c r="AH124" s="181">
        <v>634.98363874345557</v>
      </c>
      <c r="AI124" s="160">
        <v>725.61533888228303</v>
      </c>
      <c r="AJ124" s="181">
        <v>686.28490175801448</v>
      </c>
      <c r="AK124" s="160">
        <v>619.00278551532028</v>
      </c>
      <c r="AL124" s="160">
        <v>753.24884792626722</v>
      </c>
      <c r="AM124" s="160">
        <v>867.992606284658</v>
      </c>
      <c r="AN124" s="160">
        <v>938.44182621502216</v>
      </c>
      <c r="AO124" s="160">
        <v>1308.8200238379022</v>
      </c>
      <c r="AP124" s="160">
        <v>1909.5893428811294</v>
      </c>
    </row>
    <row r="125" spans="1:42" s="160" customFormat="1">
      <c r="A125" s="171" t="s">
        <v>336</v>
      </c>
      <c r="X125" s="160">
        <v>611.92614492106873</v>
      </c>
      <c r="AC125" s="160">
        <v>654.4844754857894</v>
      </c>
      <c r="AD125" s="181">
        <v>661.82017277041007</v>
      </c>
      <c r="AE125" s="160">
        <v>660.34221240586498</v>
      </c>
      <c r="AF125" s="160">
        <v>742.71276844617046</v>
      </c>
      <c r="AG125" s="160">
        <v>833.50620254740068</v>
      </c>
      <c r="AH125" s="160">
        <v>945.20037972562966</v>
      </c>
      <c r="AI125" s="160">
        <v>1163.8557000462079</v>
      </c>
      <c r="AJ125" s="160">
        <v>1235.226220163876</v>
      </c>
      <c r="AK125" s="160">
        <v>839.51773085535717</v>
      </c>
      <c r="AL125" s="160">
        <v>1019.1907951372121</v>
      </c>
      <c r="AM125" s="160">
        <v>1194.4779566371378</v>
      </c>
      <c r="AN125" s="160">
        <v>1869.991185843108</v>
      </c>
      <c r="AO125" s="160">
        <v>2515.5148174596088</v>
      </c>
      <c r="AP125" s="160">
        <v>3203.3337285121515</v>
      </c>
    </row>
    <row r="126" spans="1:42" s="160" customFormat="1">
      <c r="A126" s="171" t="s">
        <v>337</v>
      </c>
      <c r="B126" s="160">
        <v>520</v>
      </c>
      <c r="L126" s="160">
        <v>570</v>
      </c>
      <c r="X126" s="160">
        <v>669</v>
      </c>
      <c r="AC126" s="160">
        <v>737.37549728489705</v>
      </c>
      <c r="AD126" s="160">
        <v>863.39554975955662</v>
      </c>
      <c r="AE126" s="160">
        <v>1011.941961723682</v>
      </c>
      <c r="AF126" s="160">
        <v>1179.5133664376574</v>
      </c>
      <c r="AG126" s="160">
        <v>1303.7552607132759</v>
      </c>
      <c r="AH126" s="160">
        <v>1695.7542907305885</v>
      </c>
      <c r="AI126" s="160">
        <v>1850.3913212778218</v>
      </c>
      <c r="AJ126" s="160">
        <v>2874.2901722696556</v>
      </c>
      <c r="AK126" s="160">
        <v>1920.7207207207207</v>
      </c>
      <c r="AL126" s="160">
        <v>3986.417548782043</v>
      </c>
      <c r="AM126" s="160">
        <v>9713.948919449902</v>
      </c>
      <c r="AN126" s="160">
        <v>13427.76545926186</v>
      </c>
      <c r="AO126" s="160">
        <v>18789.132000938993</v>
      </c>
      <c r="AP126" s="160">
        <v>21069.060773480665</v>
      </c>
    </row>
    <row r="127" spans="1:42" s="160" customFormat="1">
      <c r="A127" s="171" t="s">
        <v>338</v>
      </c>
      <c r="X127" s="160">
        <v>704.0441176470589</v>
      </c>
      <c r="AC127" s="160">
        <v>776.02212127197311</v>
      </c>
      <c r="AG127" s="160">
        <v>901.02697212504233</v>
      </c>
      <c r="AH127" s="160">
        <v>1289.1375291375291</v>
      </c>
      <c r="AI127" s="160">
        <v>1476.2770956495376</v>
      </c>
      <c r="AJ127" s="160">
        <v>1587.3379559843233</v>
      </c>
      <c r="AK127" s="160">
        <v>1070.2625266524522</v>
      </c>
      <c r="AL127" s="160">
        <v>1476.185286806495</v>
      </c>
      <c r="AM127" s="160">
        <v>1764.1316002488466</v>
      </c>
      <c r="AN127" s="160">
        <v>2375.5706251697334</v>
      </c>
      <c r="AO127" s="160">
        <v>2223.7123846281575</v>
      </c>
      <c r="AP127" s="160">
        <v>2385.3450894832035</v>
      </c>
    </row>
    <row r="128" spans="1:42" s="160" customFormat="1">
      <c r="A128" s="171" t="s">
        <v>339</v>
      </c>
      <c r="X128" s="160">
        <v>600</v>
      </c>
      <c r="AC128" s="160">
        <v>604.01927612016812</v>
      </c>
      <c r="AH128" s="160">
        <v>1009.3188749576414</v>
      </c>
      <c r="AI128" s="160">
        <v>1020.0719424460432</v>
      </c>
      <c r="AJ128" s="160">
        <v>1442.1194087156844</v>
      </c>
      <c r="AK128" s="160">
        <v>769.70048265425146</v>
      </c>
      <c r="AL128" s="160">
        <v>1105.4650272311244</v>
      </c>
      <c r="AM128" s="160">
        <v>1953.6614869265843</v>
      </c>
      <c r="AN128" s="160">
        <v>4114.1013534781241</v>
      </c>
      <c r="AO128" s="160">
        <v>8704.4251090531616</v>
      </c>
      <c r="AP128" s="160">
        <v>14343.051160925952</v>
      </c>
    </row>
    <row r="129" spans="1:42" s="160" customFormat="1">
      <c r="A129" s="171" t="s">
        <v>340</v>
      </c>
      <c r="X129" s="160">
        <v>646.08788853161843</v>
      </c>
      <c r="AC129" s="160">
        <v>712.03463203463207</v>
      </c>
      <c r="AE129" s="160">
        <v>783.95802098950526</v>
      </c>
      <c r="AK129" s="160">
        <v>817.04939339259261</v>
      </c>
      <c r="AL129" s="160">
        <v>1078.2273673115192</v>
      </c>
      <c r="AM129" s="160">
        <v>1694.2713477933696</v>
      </c>
      <c r="AN129" s="160">
        <v>2554.2594055462873</v>
      </c>
      <c r="AO129" s="160">
        <v>4628.6310546551931</v>
      </c>
      <c r="AP129" s="160">
        <v>6335.7346606910705</v>
      </c>
    </row>
    <row r="130" spans="1:42" s="160" customFormat="1">
      <c r="A130" s="171" t="s">
        <v>341</v>
      </c>
      <c r="X130" s="160">
        <v>499</v>
      </c>
      <c r="AC130" s="160">
        <v>550.10660980810235</v>
      </c>
      <c r="AH130" s="160">
        <v>958.51177730192717</v>
      </c>
      <c r="AI130" s="160">
        <v>1099.4798439531858</v>
      </c>
      <c r="AJ130" s="160">
        <v>1346.9183230332387</v>
      </c>
      <c r="AK130" s="160">
        <v>924.39297401200338</v>
      </c>
      <c r="AL130" s="160">
        <v>1492.0832604762534</v>
      </c>
      <c r="AM130" s="160">
        <v>2980.4122612498591</v>
      </c>
      <c r="AN130" s="160">
        <v>5869.0677890131956</v>
      </c>
      <c r="AO130" s="160">
        <v>9885.9620837501643</v>
      </c>
      <c r="AP130" s="160">
        <v>16641.734274252944</v>
      </c>
    </row>
    <row r="131" spans="1:42" s="160" customFormat="1">
      <c r="A131" s="171" t="s">
        <v>342</v>
      </c>
      <c r="AK131" s="160">
        <v>539.54386854443464</v>
      </c>
      <c r="AL131" s="160">
        <v>544.34571212549884</v>
      </c>
      <c r="AM131" s="160">
        <v>629.10016511079004</v>
      </c>
      <c r="AN131" s="181">
        <v>547.69124959711394</v>
      </c>
      <c r="AO131" s="160">
        <v>639.87220026907937</v>
      </c>
      <c r="AP131" s="160">
        <v>873.34540767163969</v>
      </c>
    </row>
    <row r="132" spans="1:42" s="160" customFormat="1">
      <c r="A132" s="171" t="s">
        <v>343</v>
      </c>
      <c r="X132" s="160">
        <v>503.99315459212778</v>
      </c>
      <c r="AC132" s="160">
        <v>503.886925795053</v>
      </c>
      <c r="AK132" s="160">
        <v>395.68635675391869</v>
      </c>
      <c r="AL132" s="160">
        <v>563.62187947643906</v>
      </c>
      <c r="AM132" s="160">
        <v>641.74591696235063</v>
      </c>
      <c r="AN132" s="160">
        <v>822.67075202820911</v>
      </c>
      <c r="AO132" s="160">
        <v>800.33845018874297</v>
      </c>
      <c r="AP132" s="160">
        <v>1352.7832999299023</v>
      </c>
    </row>
    <row r="133" spans="1:42" s="160" customFormat="1">
      <c r="A133" s="171" t="s">
        <v>344</v>
      </c>
      <c r="X133" s="160">
        <v>615</v>
      </c>
      <c r="AC133" s="160">
        <v>682.92682926829275</v>
      </c>
      <c r="AK133" s="160">
        <v>2218.1493071077334</v>
      </c>
      <c r="AL133" s="160">
        <v>3133.6780151529929</v>
      </c>
      <c r="AM133" s="160">
        <v>5695.3776206112652</v>
      </c>
      <c r="AN133" s="160">
        <v>10502.853982737848</v>
      </c>
      <c r="AO133" s="160">
        <v>17540.56244076302</v>
      </c>
      <c r="AP133" s="160">
        <v>21499.180675752781</v>
      </c>
    </row>
    <row r="134" spans="1:42" s="160" customFormat="1">
      <c r="A134" s="171" t="s">
        <v>345</v>
      </c>
      <c r="X134" s="160">
        <v>602.78745644599303</v>
      </c>
      <c r="AC134" s="160">
        <v>662.5</v>
      </c>
      <c r="AH134" s="160">
        <v>1110.296191819464</v>
      </c>
      <c r="AI134" s="160">
        <v>1635.8486290505325</v>
      </c>
      <c r="AJ134" s="160">
        <v>1278.0640412219359</v>
      </c>
      <c r="AK134" s="160">
        <v>1559.2653733820407</v>
      </c>
      <c r="AL134" s="160">
        <v>1530.4040710480508</v>
      </c>
      <c r="AM134" s="160">
        <v>2079.1522367659818</v>
      </c>
      <c r="AN134" s="160">
        <v>3656.7649534100842</v>
      </c>
      <c r="AO134" s="160">
        <v>5131.6851435249891</v>
      </c>
      <c r="AP134" s="160">
        <v>7871.8255198973375</v>
      </c>
    </row>
    <row r="135" spans="1:42" s="160" customFormat="1">
      <c r="A135" s="171" t="s">
        <v>346</v>
      </c>
      <c r="X135" s="181">
        <v>397.06261272867818</v>
      </c>
      <c r="AC135" s="160">
        <v>396.97743720732228</v>
      </c>
      <c r="AK135" s="160">
        <v>496.33394754010465</v>
      </c>
      <c r="AL135" s="160">
        <v>606.99234049609538</v>
      </c>
      <c r="AM135" s="160">
        <v>653.34427190666622</v>
      </c>
      <c r="AN135" s="160">
        <v>636.83379263991151</v>
      </c>
      <c r="AO135" s="160">
        <v>807.7015682160611</v>
      </c>
      <c r="AP135" s="160">
        <v>999.14505310252946</v>
      </c>
    </row>
    <row r="136" spans="1:42" s="160" customFormat="1">
      <c r="A136" s="171" t="s">
        <v>347</v>
      </c>
      <c r="AK136" s="160">
        <v>643.01994573546403</v>
      </c>
      <c r="AL136" s="160">
        <v>647.41036449594492</v>
      </c>
      <c r="AM136" s="160">
        <v>951.54223747482024</v>
      </c>
      <c r="AN136" s="160">
        <v>1160.6198642025356</v>
      </c>
      <c r="AO136" s="160">
        <v>1596.9609958767182</v>
      </c>
      <c r="AP136" s="160">
        <v>1920.153665983122</v>
      </c>
    </row>
    <row r="137" spans="1:42" s="160" customFormat="1">
      <c r="A137" s="171" t="s">
        <v>348</v>
      </c>
      <c r="X137" s="160">
        <v>615</v>
      </c>
      <c r="AC137" s="160">
        <v>682.14285714285711</v>
      </c>
      <c r="AK137" s="160">
        <v>2218.9609627238037</v>
      </c>
      <c r="AL137" s="160">
        <v>2309.8882410106899</v>
      </c>
      <c r="AM137" s="160">
        <v>4439.1269829410066</v>
      </c>
      <c r="AN137" s="160">
        <v>9057.9560048055009</v>
      </c>
      <c r="AO137" s="160">
        <v>14364.905736314966</v>
      </c>
      <c r="AP137" s="160">
        <v>22207.181601842127</v>
      </c>
    </row>
    <row r="138" spans="1:42" s="160" customFormat="1">
      <c r="A138" s="171" t="s">
        <v>349</v>
      </c>
      <c r="X138" s="160">
        <v>492.16817807089859</v>
      </c>
      <c r="AA138" s="160">
        <v>563.82498872350016</v>
      </c>
      <c r="AC138" s="160">
        <v>851.39985642498209</v>
      </c>
      <c r="AD138" s="160">
        <v>830.5196954650778</v>
      </c>
      <c r="AE138" s="160">
        <v>1045.169009871373</v>
      </c>
      <c r="AF138" s="160">
        <v>1290.3885480572596</v>
      </c>
      <c r="AG138" s="160">
        <v>1208.011996572408</v>
      </c>
      <c r="AH138" s="160">
        <v>1092</v>
      </c>
      <c r="AI138" s="160">
        <v>1265.1130190993515</v>
      </c>
      <c r="AJ138" s="160">
        <v>1250.8966416693838</v>
      </c>
      <c r="AK138" s="160">
        <v>1252.871163082063</v>
      </c>
      <c r="AL138" s="160">
        <v>1299.8044979045828</v>
      </c>
      <c r="AM138" s="160">
        <v>1509.1542751151853</v>
      </c>
      <c r="AN138" s="160">
        <v>1848.9708279382646</v>
      </c>
      <c r="AO138" s="160">
        <v>2448.045983643477</v>
      </c>
      <c r="AP138" s="160">
        <v>3644.9685072828938</v>
      </c>
    </row>
    <row r="139" spans="1:42" s="192" customFormat="1" ht="13">
      <c r="A139" s="191" t="s">
        <v>350</v>
      </c>
      <c r="X139" s="192">
        <v>581.01748986638643</v>
      </c>
      <c r="AC139" s="192">
        <v>550.98059098828082</v>
      </c>
      <c r="AF139" s="198">
        <v>622.54942797708679</v>
      </c>
      <c r="AK139" s="192">
        <v>662.27326307032536</v>
      </c>
      <c r="AL139" s="192">
        <v>961.67273964370736</v>
      </c>
      <c r="AM139" s="192">
        <v>1419.9832999656205</v>
      </c>
      <c r="AN139" s="192">
        <v>1869.6914102682497</v>
      </c>
      <c r="AO139" s="192">
        <v>2702.4197565768191</v>
      </c>
      <c r="AP139" s="192">
        <v>3793.9443364917447</v>
      </c>
    </row>
    <row r="140" spans="1:42" s="170" customFormat="1" ht="14">
      <c r="A140" s="169" t="s">
        <v>351</v>
      </c>
    </row>
    <row r="141" spans="1:42" s="160" customFormat="1">
      <c r="A141" s="171" t="s">
        <v>352</v>
      </c>
      <c r="AK141" s="160">
        <v>644.75616315729542</v>
      </c>
      <c r="AL141" s="160">
        <v>739.41064861207894</v>
      </c>
      <c r="AM141" s="160">
        <v>709.45760321103774</v>
      </c>
      <c r="AN141" s="160">
        <v>695.820897155843</v>
      </c>
      <c r="AO141" s="160">
        <v>600.74877663793029</v>
      </c>
      <c r="AP141" s="160">
        <v>521.77009229127179</v>
      </c>
    </row>
    <row r="142" spans="1:42" s="160" customFormat="1">
      <c r="A142" s="171" t="s">
        <v>353</v>
      </c>
      <c r="AK142" s="160">
        <v>517.65267691290671</v>
      </c>
      <c r="AL142" s="160">
        <v>720.17876391745926</v>
      </c>
      <c r="AM142" s="160">
        <v>685.1830770519515</v>
      </c>
      <c r="AN142" s="160">
        <v>866.29177466209683</v>
      </c>
      <c r="AO142" s="160">
        <v>888.24363438878106</v>
      </c>
      <c r="AP142" s="160">
        <v>1087.2792112584796</v>
      </c>
    </row>
    <row r="143" spans="1:42" s="160" customFormat="1">
      <c r="A143" s="171" t="s">
        <v>354</v>
      </c>
      <c r="AK143" s="160">
        <v>612.94263365967049</v>
      </c>
      <c r="AL143" s="160">
        <v>678.97452329969497</v>
      </c>
      <c r="AM143" s="160">
        <v>747.66657375025966</v>
      </c>
      <c r="AN143" s="160">
        <v>876.05852010182321</v>
      </c>
      <c r="AO143" s="160">
        <v>929.11639890444064</v>
      </c>
      <c r="AP143" s="160">
        <v>1173.2108489080863</v>
      </c>
    </row>
    <row r="144" spans="1:42" s="160" customFormat="1">
      <c r="A144" s="171" t="s">
        <v>355</v>
      </c>
      <c r="AK144" s="160">
        <v>435.42203184103892</v>
      </c>
      <c r="AL144" s="160">
        <v>585.55368867398795</v>
      </c>
      <c r="AM144" s="160">
        <v>787.1112536069254</v>
      </c>
      <c r="AN144" s="160">
        <v>1057.5199412889954</v>
      </c>
      <c r="AO144" s="160">
        <v>1332.82799570463</v>
      </c>
      <c r="AP144" s="160">
        <v>1084.6516599476706</v>
      </c>
    </row>
    <row r="145" spans="1:42" s="160" customFormat="1">
      <c r="A145" s="171" t="s">
        <v>356</v>
      </c>
      <c r="X145" s="160">
        <v>600</v>
      </c>
      <c r="AC145" s="160">
        <v>604.07891819995564</v>
      </c>
      <c r="AK145" s="160">
        <v>770.0234607449579</v>
      </c>
      <c r="AL145" s="160">
        <v>1104.9942796843197</v>
      </c>
      <c r="AM145" s="160">
        <v>1954.0103143337267</v>
      </c>
      <c r="AN145" s="160">
        <v>2841.0694495719376</v>
      </c>
      <c r="AO145" s="160">
        <v>2841.0654799804147</v>
      </c>
      <c r="AP145" s="160">
        <v>1169.1782981660576</v>
      </c>
    </row>
    <row r="146" spans="1:42" s="160" customFormat="1">
      <c r="A146" s="171" t="s">
        <v>357</v>
      </c>
      <c r="X146" s="160">
        <v>527.09509998473516</v>
      </c>
      <c r="AC146" s="160">
        <v>505.41413373860178</v>
      </c>
      <c r="AK146" s="160">
        <v>658.07579442502777</v>
      </c>
      <c r="AL146" s="160">
        <v>799.1146907271044</v>
      </c>
      <c r="AM146" s="160">
        <v>735.02684897242796</v>
      </c>
      <c r="AN146" s="160">
        <v>757.9260210085888</v>
      </c>
      <c r="AO146" s="160">
        <v>1034.8416704549634</v>
      </c>
      <c r="AP146" s="160">
        <v>1790.0194634113925</v>
      </c>
    </row>
    <row r="147" spans="1:42" s="160" customFormat="1">
      <c r="A147" s="171" t="s">
        <v>358</v>
      </c>
      <c r="AK147" s="160">
        <v>1150.5086774386596</v>
      </c>
      <c r="AL147" s="160">
        <v>1373.5996103263517</v>
      </c>
      <c r="AM147" s="160">
        <v>1796.8867216804201</v>
      </c>
      <c r="AN147" s="160">
        <v>2210.0103965542849</v>
      </c>
      <c r="AO147" s="160">
        <v>2253.8425710293436</v>
      </c>
      <c r="AP147" s="160">
        <v>2658.4263444331705</v>
      </c>
    </row>
    <row r="148" spans="1:42" s="192" customFormat="1" ht="13">
      <c r="A148" s="191" t="s">
        <v>359</v>
      </c>
      <c r="X148" s="192">
        <v>556.10087192606909</v>
      </c>
      <c r="AC148" s="199">
        <v>535.00321130378939</v>
      </c>
      <c r="AD148" s="199"/>
      <c r="AE148" s="199"/>
      <c r="AF148" s="199"/>
      <c r="AG148" s="199"/>
      <c r="AH148" s="199"/>
      <c r="AI148" s="199"/>
      <c r="AJ148" s="199"/>
      <c r="AK148" s="192">
        <v>691.09038759963596</v>
      </c>
      <c r="AL148" s="192">
        <v>861.73375296486984</v>
      </c>
      <c r="AM148" s="192">
        <v>993.50515328719314</v>
      </c>
      <c r="AN148" s="192">
        <v>1201.0231982888176</v>
      </c>
      <c r="AO148" s="192">
        <v>1345.7619957722557</v>
      </c>
      <c r="AP148" s="192">
        <v>1467.1926450399731</v>
      </c>
    </row>
    <row r="149" spans="1:42" s="170" customFormat="1" ht="14">
      <c r="A149" s="169" t="s">
        <v>360</v>
      </c>
    </row>
    <row r="150" spans="1:42" s="160" customFormat="1">
      <c r="A150" s="185" t="s">
        <v>361</v>
      </c>
      <c r="X150" s="189"/>
      <c r="AC150" s="189"/>
      <c r="AK150" s="160">
        <v>2104.4539466585061</v>
      </c>
      <c r="AL150" s="160">
        <v>2843.3681269135036</v>
      </c>
      <c r="AM150" s="160">
        <v>3787.8928744578443</v>
      </c>
      <c r="AN150" s="160">
        <v>4388.2464012205755</v>
      </c>
      <c r="AO150" s="160">
        <v>4104.0929035558147</v>
      </c>
      <c r="AP150" s="160">
        <v>5065.1515366553294</v>
      </c>
    </row>
    <row r="151" spans="1:42" s="160" customFormat="1">
      <c r="A151" s="185" t="s">
        <v>362</v>
      </c>
      <c r="X151" s="189">
        <v>588</v>
      </c>
      <c r="AC151" s="189">
        <v>719</v>
      </c>
      <c r="AK151" s="160">
        <v>1719.6105642844041</v>
      </c>
      <c r="AL151" s="160">
        <v>2153.5431246234416</v>
      </c>
      <c r="AM151" s="160">
        <v>4177.4098779939859</v>
      </c>
      <c r="AN151" s="160">
        <v>3960.7899419708865</v>
      </c>
      <c r="AO151" s="160">
        <v>3472.0172721126273</v>
      </c>
      <c r="AP151" s="160">
        <v>4741.9265970760898</v>
      </c>
    </row>
    <row r="152" spans="1:42" s="160" customFormat="1">
      <c r="A152" s="185" t="s">
        <v>363</v>
      </c>
      <c r="X152" s="189">
        <v>588.28911253430931</v>
      </c>
      <c r="AC152" s="189">
        <v>718.98734177215181</v>
      </c>
      <c r="AK152" s="160">
        <v>1363.606289073643</v>
      </c>
      <c r="AL152" s="160">
        <v>2735.0207888845675</v>
      </c>
      <c r="AM152" s="160">
        <v>3472.7062635930479</v>
      </c>
      <c r="AN152" s="160">
        <v>6377.4876676128461</v>
      </c>
      <c r="AO152" s="160">
        <v>2458.4357658592899</v>
      </c>
      <c r="AP152" s="160">
        <v>1221.223660639532</v>
      </c>
    </row>
    <row r="153" spans="1:42" s="160" customFormat="1">
      <c r="A153" s="185" t="s">
        <v>364</v>
      </c>
      <c r="X153" s="189"/>
      <c r="AC153" s="189"/>
      <c r="AK153" s="160">
        <v>2817.3031029281492</v>
      </c>
      <c r="AL153" s="160">
        <v>4663.1665645218245</v>
      </c>
      <c r="AM153" s="160">
        <v>8100.6231873205634</v>
      </c>
      <c r="AN153" s="160">
        <v>10984.255487765851</v>
      </c>
      <c r="AO153" s="160">
        <v>12967.668040463928</v>
      </c>
      <c r="AP153" s="160">
        <v>16158.963339719921</v>
      </c>
    </row>
    <row r="154" spans="1:42" s="160" customFormat="1">
      <c r="A154" s="185" t="s">
        <v>365</v>
      </c>
      <c r="X154" s="189">
        <v>588</v>
      </c>
      <c r="AC154" s="189">
        <v>718.04511278195491</v>
      </c>
      <c r="AK154" s="160">
        <v>1663.1490027834268</v>
      </c>
      <c r="AL154" s="160">
        <v>2330.0060062633988</v>
      </c>
      <c r="AM154" s="160">
        <v>2395.4831171605238</v>
      </c>
      <c r="AN154" s="160">
        <v>4479.9193527842363</v>
      </c>
      <c r="AO154" s="160">
        <v>3792.3958340358558</v>
      </c>
      <c r="AP154" s="160">
        <v>4058.7656775025785</v>
      </c>
    </row>
    <row r="155" spans="1:42" s="160" customFormat="1">
      <c r="A155" s="185" t="s">
        <v>366</v>
      </c>
      <c r="X155" s="189"/>
      <c r="AC155" s="189"/>
      <c r="AK155" s="160">
        <v>28878.138142405209</v>
      </c>
      <c r="AL155" s="160">
        <v>28813.493502893769</v>
      </c>
      <c r="AM155" s="160">
        <v>30694.566703500459</v>
      </c>
      <c r="AN155" s="160">
        <v>13270.94855305634</v>
      </c>
      <c r="AO155" s="160">
        <v>6120.8835995706841</v>
      </c>
      <c r="AP155" s="160">
        <v>10210.420496439958</v>
      </c>
    </row>
    <row r="156" spans="1:42" s="160" customFormat="1">
      <c r="A156" s="185" t="s">
        <v>367</v>
      </c>
      <c r="X156" s="189">
        <v>658</v>
      </c>
      <c r="AC156" s="189">
        <v>844</v>
      </c>
      <c r="AK156" s="160">
        <v>2428.7394253416155</v>
      </c>
      <c r="AL156" s="160">
        <v>2392.5221124151376</v>
      </c>
      <c r="AM156" s="160">
        <v>2916.6277345578346</v>
      </c>
      <c r="AN156" s="160">
        <v>3525.5714654565536</v>
      </c>
      <c r="AO156" s="160">
        <v>1937.8718106852707</v>
      </c>
      <c r="AP156" s="160">
        <v>3409.1328315310411</v>
      </c>
    </row>
    <row r="157" spans="1:42" s="160" customFormat="1">
      <c r="A157" s="185" t="s">
        <v>368</v>
      </c>
      <c r="X157" s="189"/>
      <c r="AC157" s="189"/>
      <c r="AK157" s="160">
        <v>623.09461658566704</v>
      </c>
      <c r="AL157" s="160">
        <v>934.70838364633357</v>
      </c>
      <c r="AM157" s="160">
        <v>3798.5355478236961</v>
      </c>
      <c r="AN157" s="160">
        <v>4071.9134213190341</v>
      </c>
      <c r="AO157" s="160">
        <v>6478.9444176846364</v>
      </c>
      <c r="AP157" s="160">
        <v>6892.7432778779721</v>
      </c>
    </row>
    <row r="158" spans="1:42" s="160" customFormat="1">
      <c r="A158" s="185" t="s">
        <v>369</v>
      </c>
      <c r="X158" s="189"/>
      <c r="AC158" s="189"/>
      <c r="AK158" s="160">
        <v>30387.13121689191</v>
      </c>
      <c r="AL158" s="160">
        <v>33104.2120599357</v>
      </c>
      <c r="AM158" s="160">
        <v>33160.001610820073</v>
      </c>
      <c r="AN158" s="160">
        <v>29552.161783357707</v>
      </c>
      <c r="AO158" s="160">
        <v>6804.0633301279186</v>
      </c>
      <c r="AP158" s="160">
        <v>8041.8223115907285</v>
      </c>
    </row>
    <row r="159" spans="1:42" s="160" customFormat="1">
      <c r="A159" s="185" t="s">
        <v>370</v>
      </c>
      <c r="X159" s="189"/>
      <c r="AC159" s="189"/>
      <c r="AK159" s="160">
        <v>2230.7660332029559</v>
      </c>
      <c r="AL159" s="160">
        <v>3719.096730823886</v>
      </c>
      <c r="AM159" s="160">
        <v>7623.6362786289774</v>
      </c>
      <c r="AN159" s="160">
        <v>13283.765726224863</v>
      </c>
      <c r="AO159" s="160">
        <v>9114.7351793262533</v>
      </c>
      <c r="AP159" s="160">
        <v>8002.0410919133392</v>
      </c>
    </row>
    <row r="160" spans="1:42" s="160" customFormat="1">
      <c r="A160" s="185" t="s">
        <v>371</v>
      </c>
      <c r="X160" s="189">
        <v>658.18997756170529</v>
      </c>
      <c r="AC160" s="189">
        <v>843.86852085967132</v>
      </c>
      <c r="AK160" s="160">
        <v>2408.5022909886875</v>
      </c>
      <c r="AL160" s="160">
        <v>3023.4679553737315</v>
      </c>
      <c r="AM160" s="160">
        <v>3540.3067398819362</v>
      </c>
      <c r="AN160" s="160">
        <v>6507.8737833667064</v>
      </c>
      <c r="AO160" s="160">
        <v>5700.6865365406338</v>
      </c>
      <c r="AP160" s="160">
        <v>7481.3290281613272</v>
      </c>
    </row>
    <row r="161" spans="1:42" s="160" customFormat="1">
      <c r="A161" s="185" t="s">
        <v>372</v>
      </c>
      <c r="X161" s="189">
        <v>643.04149295215404</v>
      </c>
      <c r="AC161" s="189">
        <v>825</v>
      </c>
      <c r="AI161" s="160">
        <v>1249.2631296891748</v>
      </c>
      <c r="AJ161" s="160">
        <v>1675.2707479939397</v>
      </c>
      <c r="AK161" s="160">
        <v>1622.9327657763681</v>
      </c>
      <c r="AL161" s="160">
        <v>2247.4652092442311</v>
      </c>
      <c r="AM161" s="160">
        <v>3078.1873743616256</v>
      </c>
      <c r="AN161" s="160">
        <v>4015.1103697137296</v>
      </c>
      <c r="AO161" s="160">
        <v>5445.2528100746031</v>
      </c>
      <c r="AP161" s="160">
        <v>6597.2578451015579</v>
      </c>
    </row>
    <row r="162" spans="1:42" s="160" customFormat="1">
      <c r="A162" s="185" t="s">
        <v>373</v>
      </c>
      <c r="X162" s="189"/>
      <c r="AC162" s="189"/>
      <c r="AK162" s="160">
        <v>15797.558085147599</v>
      </c>
      <c r="AL162" s="160">
        <v>22432.802294028039</v>
      </c>
      <c r="AM162" s="160">
        <v>24552.411481296509</v>
      </c>
      <c r="AN162" s="160">
        <v>27709.370931739475</v>
      </c>
      <c r="AO162" s="160">
        <v>13069.563541371916</v>
      </c>
      <c r="AP162" s="160">
        <v>16559.926691100154</v>
      </c>
    </row>
    <row r="163" spans="1:42" s="160" customFormat="1">
      <c r="A163" s="185" t="s">
        <v>374</v>
      </c>
      <c r="X163" s="189"/>
      <c r="AC163" s="189"/>
      <c r="AK163" s="160">
        <v>911.23107388526932</v>
      </c>
      <c r="AL163" s="160">
        <v>963.94191914123451</v>
      </c>
      <c r="AM163" s="160">
        <v>1229.9678342205957</v>
      </c>
      <c r="AN163" s="160">
        <v>2290.4544972614358</v>
      </c>
      <c r="AO163" s="160">
        <v>2272.2147408844012</v>
      </c>
      <c r="AP163" s="160">
        <v>2587.5889328153694</v>
      </c>
    </row>
    <row r="164" spans="1:42" s="160" customFormat="1">
      <c r="A164" s="185" t="s">
        <v>375</v>
      </c>
      <c r="X164" s="189">
        <v>613</v>
      </c>
      <c r="AC164" s="189">
        <v>750</v>
      </c>
      <c r="AK164" s="160">
        <v>949.29860113719087</v>
      </c>
      <c r="AL164" s="160">
        <v>1377.7048909421742</v>
      </c>
      <c r="AM164" s="160">
        <v>1979.7626415690102</v>
      </c>
      <c r="AN164" s="160">
        <v>2744.2104659422303</v>
      </c>
      <c r="AO164" s="160">
        <v>3806.4216895410368</v>
      </c>
      <c r="AP164" s="160">
        <v>5124.0958760751073</v>
      </c>
    </row>
    <row r="165" spans="1:42" s="192" customFormat="1" ht="13">
      <c r="A165" s="191" t="s">
        <v>376</v>
      </c>
      <c r="X165" s="199">
        <v>607</v>
      </c>
      <c r="Y165" s="199"/>
      <c r="Z165" s="199"/>
      <c r="AA165" s="199"/>
      <c r="AB165" s="199"/>
      <c r="AC165" s="199">
        <v>742</v>
      </c>
      <c r="AD165" s="199"/>
      <c r="AE165" s="199"/>
      <c r="AF165" s="199"/>
      <c r="AG165" s="199"/>
      <c r="AH165" s="199"/>
      <c r="AI165" s="199"/>
      <c r="AJ165" s="199"/>
      <c r="AK165" s="192">
        <v>1775.9173461593521</v>
      </c>
      <c r="AL165" s="192">
        <v>2492.3366740496958</v>
      </c>
      <c r="AM165" s="192">
        <v>3998.1652117957296</v>
      </c>
      <c r="AN165" s="192">
        <v>5396.6269467930306</v>
      </c>
      <c r="AO165" s="192">
        <v>4855.7734805675173</v>
      </c>
      <c r="AP165" s="192">
        <v>5705.7109689818517</v>
      </c>
    </row>
    <row r="166" spans="1:42" s="200" customFormat="1" ht="13">
      <c r="A166" s="182" t="s">
        <v>229</v>
      </c>
      <c r="B166" s="200">
        <v>572</v>
      </c>
      <c r="C166" s="176">
        <f t="shared" ref="C166:K166" si="37">B166+(($L166-$B166)/($L$2-$B$2))</f>
        <v>575.6</v>
      </c>
      <c r="D166" s="176">
        <f t="shared" si="37"/>
        <v>579.20000000000005</v>
      </c>
      <c r="E166" s="176">
        <f t="shared" si="37"/>
        <v>582.80000000000007</v>
      </c>
      <c r="F166" s="176">
        <f t="shared" si="37"/>
        <v>586.40000000000009</v>
      </c>
      <c r="G166" s="176">
        <f t="shared" si="37"/>
        <v>590.00000000000011</v>
      </c>
      <c r="H166" s="176">
        <f t="shared" si="37"/>
        <v>593.60000000000014</v>
      </c>
      <c r="I166" s="176">
        <f t="shared" si="37"/>
        <v>597.20000000000016</v>
      </c>
      <c r="J166" s="176">
        <f t="shared" si="37"/>
        <v>600.80000000000018</v>
      </c>
      <c r="K166" s="176">
        <f t="shared" si="37"/>
        <v>604.4000000000002</v>
      </c>
      <c r="L166" s="200">
        <v>608</v>
      </c>
      <c r="M166" s="176">
        <f t="shared" ref="M166:W166" si="38">L166+(($X166-$L166)/($X$2-$L$2))</f>
        <v>605.75</v>
      </c>
      <c r="N166" s="176">
        <f t="shared" si="38"/>
        <v>603.5</v>
      </c>
      <c r="O166" s="176">
        <f t="shared" si="38"/>
        <v>601.25</v>
      </c>
      <c r="P166" s="176">
        <f t="shared" si="38"/>
        <v>599</v>
      </c>
      <c r="Q166" s="176">
        <f t="shared" si="38"/>
        <v>596.75</v>
      </c>
      <c r="R166" s="176">
        <f t="shared" si="38"/>
        <v>594.5</v>
      </c>
      <c r="S166" s="176">
        <f t="shared" si="38"/>
        <v>592.25</v>
      </c>
      <c r="T166" s="176">
        <f t="shared" si="38"/>
        <v>590</v>
      </c>
      <c r="U166" s="176">
        <f t="shared" si="38"/>
        <v>587.75</v>
      </c>
      <c r="V166" s="176">
        <f t="shared" si="38"/>
        <v>585.5</v>
      </c>
      <c r="W166" s="176">
        <f t="shared" si="38"/>
        <v>583.25</v>
      </c>
      <c r="X166" s="200">
        <v>581</v>
      </c>
      <c r="Y166" s="176">
        <f>X166+ (($AC166-$X166)/($AC$2-$X$2))</f>
        <v>576.4</v>
      </c>
      <c r="Z166" s="194">
        <f>Y166+ (($AC166-$X166)/($AC$2-$X$2))</f>
        <v>571.79999999999995</v>
      </c>
      <c r="AA166" s="176">
        <f>Z166+ (($AC166-$X166)/($AC$2-$X$2))</f>
        <v>567.19999999999993</v>
      </c>
      <c r="AB166" s="194">
        <f>AA166+ (($AC166-$X166)/($AC$2-$X$2))</f>
        <v>562.59999999999991</v>
      </c>
      <c r="AC166" s="200">
        <v>558</v>
      </c>
      <c r="AD166" s="194">
        <f>AC166+(($AF166-$AC166)/($AF$2-$AC$2))</f>
        <v>584.53853094613225</v>
      </c>
      <c r="AE166" s="176">
        <f>AD166+(($AF166-$AC166)/($AF$2-$AC$2))</f>
        <v>611.07706189226451</v>
      </c>
      <c r="AF166" s="200">
        <v>637.61559283839676</v>
      </c>
      <c r="AG166" s="176">
        <f>AF166+(($AK166-$AF166)/($AK$2-$AF$2))</f>
        <v>652.41069695845874</v>
      </c>
      <c r="AH166" s="194">
        <f>AG166+(($AK166-$AF166)/($AK$2-$AF$2))</f>
        <v>667.20580107852072</v>
      </c>
      <c r="AI166" s="176">
        <f>AH166+(($AK166-$AF166)/($AK$2-$AF$2))</f>
        <v>682.0009051985827</v>
      </c>
      <c r="AJ166" s="194">
        <f>AI166+(($AK166-$AF166)/($AK$2-$AF$2))</f>
        <v>696.79600931864468</v>
      </c>
      <c r="AK166" s="200">
        <v>711.59111343870688</v>
      </c>
      <c r="AL166" s="200">
        <v>1029.3734393489196</v>
      </c>
      <c r="AM166" s="200">
        <v>1530.0923957239386</v>
      </c>
      <c r="AN166" s="200">
        <v>2034.3918234986834</v>
      </c>
      <c r="AO166" s="200">
        <v>2780.8097496388555</v>
      </c>
      <c r="AP166" s="200">
        <v>3817.4813045264418</v>
      </c>
    </row>
    <row r="167" spans="1:42" s="170" customFormat="1" ht="14">
      <c r="A167" s="169" t="s">
        <v>377</v>
      </c>
    </row>
    <row r="168" spans="1:42" s="160" customFormat="1">
      <c r="A168" s="171" t="s">
        <v>378</v>
      </c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189">
        <v>430.27147638527333</v>
      </c>
      <c r="AC168" s="189">
        <v>715.04237288135596</v>
      </c>
      <c r="AK168" s="160">
        <v>1364.7395829666857</v>
      </c>
      <c r="AL168" s="160">
        <v>2088.1030858811905</v>
      </c>
      <c r="AM168" s="160">
        <v>2249.2197132950796</v>
      </c>
      <c r="AN168" s="160">
        <v>3142.5419795839061</v>
      </c>
      <c r="AO168" s="160">
        <v>2917.5331056783575</v>
      </c>
      <c r="AP168" s="160">
        <v>2792.4995761192795</v>
      </c>
    </row>
    <row r="169" spans="1:42" s="160" customFormat="1">
      <c r="A169" s="171" t="s">
        <v>379</v>
      </c>
      <c r="X169" s="189"/>
      <c r="AC169" s="189"/>
      <c r="AK169" s="160">
        <v>1051.8219640146228</v>
      </c>
      <c r="AL169" s="160">
        <v>1252.9849850250471</v>
      </c>
      <c r="AM169" s="160">
        <v>1767.6883901994174</v>
      </c>
      <c r="AN169" s="160">
        <v>962.40732765627308</v>
      </c>
      <c r="AO169" s="160">
        <v>894.78298779246154</v>
      </c>
      <c r="AP169" s="160">
        <v>788.66003393478491</v>
      </c>
    </row>
    <row r="170" spans="1:42" s="160" customFormat="1">
      <c r="A170" s="171" t="s">
        <v>380</v>
      </c>
      <c r="AC170" s="189"/>
      <c r="AK170" s="160">
        <v>1083.6280470946328</v>
      </c>
      <c r="AL170" s="160">
        <v>978.11596491500529</v>
      </c>
      <c r="AM170" s="160">
        <v>1027.4128471689396</v>
      </c>
      <c r="AN170" s="160">
        <v>1132.537692238205</v>
      </c>
      <c r="AO170" s="160">
        <v>1146.9451939521434</v>
      </c>
      <c r="AP170" s="160">
        <v>1322.7249845840238</v>
      </c>
    </row>
    <row r="171" spans="1:42" s="160" customFormat="1">
      <c r="A171" s="171" t="s">
        <v>381</v>
      </c>
      <c r="AC171" s="189"/>
      <c r="AK171" s="160">
        <v>348.50665555818307</v>
      </c>
      <c r="AL171" s="181">
        <v>402.56574541715287</v>
      </c>
      <c r="AM171" s="160">
        <v>647.26912845687366</v>
      </c>
      <c r="AN171" s="160">
        <v>1737.8886984774631</v>
      </c>
      <c r="AO171" s="160">
        <v>3183.3472385719892</v>
      </c>
      <c r="AP171" s="160">
        <v>4347.994186617685</v>
      </c>
    </row>
    <row r="172" spans="1:42" s="160" customFormat="1">
      <c r="A172" s="171" t="s">
        <v>382</v>
      </c>
      <c r="AK172" s="160">
        <v>474.31265682472696</v>
      </c>
      <c r="AL172" s="160">
        <v>608.73487062636639</v>
      </c>
      <c r="AM172" s="160">
        <v>702.0539004202775</v>
      </c>
      <c r="AN172" s="160">
        <v>664.9789572944585</v>
      </c>
      <c r="AO172" s="160">
        <v>742.35848213873169</v>
      </c>
      <c r="AP172" s="160">
        <v>852.57302166991906</v>
      </c>
    </row>
    <row r="173" spans="1:42" s="160" customFormat="1">
      <c r="A173" s="171" t="s">
        <v>383</v>
      </c>
      <c r="AK173" s="160">
        <v>360.14245938846318</v>
      </c>
      <c r="AL173" s="160">
        <v>444.23568343575221</v>
      </c>
      <c r="AM173" s="160">
        <v>541.62611396179477</v>
      </c>
      <c r="AN173" s="160">
        <v>626.99873692856704</v>
      </c>
      <c r="AO173" s="160">
        <v>733.96335481234166</v>
      </c>
      <c r="AP173" s="160">
        <v>574.74487882982476</v>
      </c>
    </row>
    <row r="174" spans="1:42" s="160" customFormat="1">
      <c r="A174" s="171" t="s">
        <v>384</v>
      </c>
      <c r="AK174" s="160">
        <v>670.95112917331505</v>
      </c>
      <c r="AL174" s="160">
        <v>832.00088409045395</v>
      </c>
      <c r="AM174" s="160">
        <v>981.84067757410435</v>
      </c>
      <c r="AN174" s="160">
        <v>1193.6387692622193</v>
      </c>
      <c r="AO174" s="160">
        <v>1231.731027529655</v>
      </c>
      <c r="AP174" s="160">
        <v>1114.6845286614475</v>
      </c>
    </row>
    <row r="175" spans="1:42" s="160" customFormat="1">
      <c r="A175" s="171" t="s">
        <v>385</v>
      </c>
      <c r="AK175" s="160">
        <v>449.64762454150639</v>
      </c>
      <c r="AL175" s="160">
        <v>507.52026601689795</v>
      </c>
      <c r="AM175" s="160">
        <v>618.95895090247734</v>
      </c>
      <c r="AN175" s="160">
        <v>840.54457558162539</v>
      </c>
      <c r="AO175" s="160">
        <v>1231.1603829767739</v>
      </c>
      <c r="AP175" s="160">
        <v>1776.5352827880392</v>
      </c>
    </row>
    <row r="176" spans="1:42" s="160" customFormat="1">
      <c r="A176" s="171" t="s">
        <v>386</v>
      </c>
      <c r="AK176" s="160">
        <v>771.57705582159588</v>
      </c>
      <c r="AL176" s="160">
        <v>925.37937118035768</v>
      </c>
      <c r="AM176" s="160">
        <v>896.32604887992807</v>
      </c>
      <c r="AN176" s="160">
        <v>770.99239402637534</v>
      </c>
      <c r="AO176" s="160">
        <v>707.00343620792182</v>
      </c>
      <c r="AP176" s="160">
        <v>646.86766115786747</v>
      </c>
    </row>
    <row r="177" spans="1:42" s="160" customFormat="1">
      <c r="A177" s="171" t="s">
        <v>387</v>
      </c>
      <c r="AK177" s="160">
        <v>475.50223965389574</v>
      </c>
      <c r="AL177" s="160">
        <v>568.64815897693302</v>
      </c>
      <c r="AM177" s="160">
        <v>512.52331418161657</v>
      </c>
      <c r="AN177" s="181">
        <v>339.30145734489673</v>
      </c>
      <c r="AO177" s="160">
        <v>420.72794059726118</v>
      </c>
      <c r="AP177" s="181">
        <v>423.57258651523534</v>
      </c>
    </row>
    <row r="178" spans="1:42" s="160" customFormat="1">
      <c r="A178" s="171" t="s">
        <v>388</v>
      </c>
      <c r="AK178" s="160">
        <v>560.30522440330981</v>
      </c>
      <c r="AL178" s="160">
        <v>712.10156237532658</v>
      </c>
      <c r="AM178" s="160">
        <v>1008.8201529766452</v>
      </c>
      <c r="AN178" s="160">
        <v>643.48329794258962</v>
      </c>
      <c r="AO178" s="160">
        <v>685.29871098575791</v>
      </c>
      <c r="AP178" s="160">
        <v>580.91286307053952</v>
      </c>
    </row>
    <row r="179" spans="1:42" s="160" customFormat="1">
      <c r="A179" s="171" t="s">
        <v>389</v>
      </c>
      <c r="AK179" s="160">
        <v>1289.4492141921503</v>
      </c>
      <c r="AL179" s="160">
        <v>1523.3858332760055</v>
      </c>
      <c r="AM179" s="160">
        <v>1825.1459686522433</v>
      </c>
      <c r="AN179" s="160">
        <v>2387.9111245550616</v>
      </c>
      <c r="AO179" s="160">
        <v>2408.2034284530528</v>
      </c>
      <c r="AP179" s="160">
        <v>2214.2919177811091</v>
      </c>
    </row>
    <row r="180" spans="1:42" s="160" customFormat="1">
      <c r="A180" s="171" t="s">
        <v>390</v>
      </c>
      <c r="AK180" s="160">
        <v>1040.8779026075442</v>
      </c>
      <c r="AL180" s="160">
        <v>1256.2958674013264</v>
      </c>
      <c r="AM180" s="160">
        <v>1832.752097380542</v>
      </c>
      <c r="AN180" s="160">
        <v>2123.1142539974562</v>
      </c>
      <c r="AO180" s="160">
        <v>1372.1523322682417</v>
      </c>
      <c r="AP180" s="160">
        <v>1326.2655477091603</v>
      </c>
    </row>
    <row r="181" spans="1:42" s="160" customFormat="1">
      <c r="A181" s="171" t="s">
        <v>391</v>
      </c>
      <c r="AK181" s="160">
        <v>1499.5815375278542</v>
      </c>
      <c r="AL181" s="160">
        <v>1771.4852327884937</v>
      </c>
      <c r="AM181" s="160">
        <v>2069.0793243432731</v>
      </c>
      <c r="AN181" s="160">
        <v>1661.2588488239314</v>
      </c>
      <c r="AO181" s="160">
        <v>1447.7393413605471</v>
      </c>
      <c r="AP181" s="160">
        <v>1102.543509848615</v>
      </c>
    </row>
    <row r="182" spans="1:42" s="160" customFormat="1">
      <c r="A182" s="171" t="s">
        <v>392</v>
      </c>
      <c r="B182" s="160">
        <v>475</v>
      </c>
      <c r="L182" s="160">
        <v>475.11111111111109</v>
      </c>
      <c r="X182" s="160">
        <v>474.964234620887</v>
      </c>
      <c r="AC182" s="160">
        <v>648.74450276634991</v>
      </c>
      <c r="AK182" s="160">
        <v>909.90258457362938</v>
      </c>
      <c r="AL182" s="160">
        <v>991.45518493741201</v>
      </c>
      <c r="AM182" s="160">
        <v>1254.1046238032579</v>
      </c>
      <c r="AN182" s="160">
        <v>2069.2899336550095</v>
      </c>
      <c r="AO182" s="160">
        <v>2522.2943925709224</v>
      </c>
      <c r="AP182" s="160">
        <v>2920.1058498724387</v>
      </c>
    </row>
    <row r="183" spans="1:42" s="160" customFormat="1">
      <c r="A183" s="171" t="s">
        <v>393</v>
      </c>
      <c r="AK183" s="160">
        <v>390.07455073916731</v>
      </c>
      <c r="AL183" s="181">
        <v>438.66198159122393</v>
      </c>
      <c r="AM183" s="160">
        <v>591.06759824376934</v>
      </c>
      <c r="AN183" s="160">
        <v>642.14448993309179</v>
      </c>
      <c r="AO183" s="160">
        <v>581.37135154507791</v>
      </c>
      <c r="AP183" s="160">
        <v>624.47702914463696</v>
      </c>
    </row>
    <row r="184" spans="1:42" s="160" customFormat="1">
      <c r="A184" s="171" t="s">
        <v>394</v>
      </c>
      <c r="AK184" s="160">
        <v>3108.3773176667414</v>
      </c>
      <c r="AL184" s="160">
        <v>4184.2069862005383</v>
      </c>
      <c r="AM184" s="160">
        <v>5869.2298421882879</v>
      </c>
      <c r="AN184" s="160">
        <v>6779.4487171341789</v>
      </c>
      <c r="AO184" s="160">
        <v>4795.0029675740589</v>
      </c>
      <c r="AP184" s="160">
        <v>3886.5420814464833</v>
      </c>
    </row>
    <row r="185" spans="1:42" s="160" customFormat="1">
      <c r="A185" s="171" t="s">
        <v>395</v>
      </c>
      <c r="AK185" s="160">
        <v>607.36467539895102</v>
      </c>
      <c r="AL185" s="160">
        <v>721.65185302025782</v>
      </c>
      <c r="AM185" s="160">
        <v>878.89458261196353</v>
      </c>
      <c r="AN185" s="160">
        <v>1038.784778259025</v>
      </c>
      <c r="AO185" s="160">
        <v>866.259153957026</v>
      </c>
      <c r="AP185" s="160">
        <v>895.31015474821595</v>
      </c>
    </row>
    <row r="186" spans="1:42" s="160" customFormat="1">
      <c r="A186" s="171" t="s">
        <v>396</v>
      </c>
      <c r="AC186" s="160">
        <v>438.88537048765039</v>
      </c>
      <c r="AK186" s="160">
        <v>1121.7935498387897</v>
      </c>
      <c r="AL186" s="160">
        <v>1378.4200298575181</v>
      </c>
      <c r="AM186" s="160">
        <v>1423.972994105523</v>
      </c>
      <c r="AN186" s="160">
        <v>1157.1752963556971</v>
      </c>
      <c r="AO186" s="160">
        <v>1063.1279286018555</v>
      </c>
      <c r="AP186" s="160">
        <v>1279.5475374745504</v>
      </c>
    </row>
    <row r="187" spans="1:42" s="160" customFormat="1">
      <c r="A187" s="171" t="s">
        <v>397</v>
      </c>
      <c r="AK187" s="160">
        <v>303.32103250659031</v>
      </c>
      <c r="AL187" s="181">
        <v>391.84536386140798</v>
      </c>
      <c r="AM187" s="160">
        <v>462.69028770285257</v>
      </c>
      <c r="AN187" s="181">
        <v>550.99188529198057</v>
      </c>
      <c r="AO187" s="160">
        <v>526.1266299535165</v>
      </c>
      <c r="AP187" s="160">
        <v>571.51353887686423</v>
      </c>
    </row>
    <row r="188" spans="1:42" s="160" customFormat="1">
      <c r="A188" s="171" t="s">
        <v>398</v>
      </c>
      <c r="AK188" s="160">
        <v>289.15272468612466</v>
      </c>
      <c r="AL188" s="160">
        <v>500.76800324754998</v>
      </c>
      <c r="AM188" s="160">
        <v>871.55919746409961</v>
      </c>
      <c r="AN188" s="160">
        <v>754.13013145266609</v>
      </c>
      <c r="AO188" s="160">
        <v>797.1319313583067</v>
      </c>
      <c r="AP188" s="160">
        <v>680.61324035269843</v>
      </c>
    </row>
    <row r="189" spans="1:42" s="160" customFormat="1">
      <c r="A189" s="171" t="s">
        <v>399</v>
      </c>
      <c r="AK189" s="160">
        <v>650.60094704686321</v>
      </c>
      <c r="AL189" s="160">
        <v>725.51715117506933</v>
      </c>
      <c r="AM189" s="160">
        <v>912.91156594745826</v>
      </c>
      <c r="AN189" s="160">
        <v>1027.6925997359253</v>
      </c>
      <c r="AO189" s="160">
        <v>1090.1923715530024</v>
      </c>
      <c r="AP189" s="160">
        <v>1019.6555717895293</v>
      </c>
    </row>
    <row r="190" spans="1:42" s="160" customFormat="1">
      <c r="A190" s="171" t="s">
        <v>400</v>
      </c>
      <c r="AK190" s="160">
        <v>355.36603967980216</v>
      </c>
      <c r="AL190" s="160">
        <v>458.0788820400644</v>
      </c>
      <c r="AM190" s="160">
        <v>604.07945446882286</v>
      </c>
      <c r="AN190" s="160">
        <v>1005.3526769696289</v>
      </c>
      <c r="AO190" s="160">
        <v>1201.1355546168095</v>
      </c>
      <c r="AP190" s="160">
        <v>1644.5863155447455</v>
      </c>
    </row>
    <row r="191" spans="1:42" s="160" customFormat="1">
      <c r="A191" s="171" t="s">
        <v>401</v>
      </c>
      <c r="AK191" s="160">
        <v>1054.7588559082881</v>
      </c>
      <c r="AL191" s="160">
        <v>1229.5738583307184</v>
      </c>
      <c r="AM191" s="160">
        <v>1491.5166855821246</v>
      </c>
      <c r="AN191" s="160">
        <v>1135.7408502571404</v>
      </c>
      <c r="AO191" s="160">
        <v>1025.3693270699787</v>
      </c>
      <c r="AP191" s="160">
        <v>846.93580404439638</v>
      </c>
    </row>
    <row r="192" spans="1:42" s="160" customFormat="1">
      <c r="A192" s="171" t="s">
        <v>402</v>
      </c>
      <c r="AK192" s="160">
        <v>951.01047140468506</v>
      </c>
      <c r="AL192" s="160">
        <v>1125.4301145807624</v>
      </c>
      <c r="AM192" s="160">
        <v>1226.1996839253063</v>
      </c>
      <c r="AN192" s="160">
        <v>1055.371661160973</v>
      </c>
      <c r="AO192" s="160">
        <v>799.3335242129059</v>
      </c>
      <c r="AP192" s="160">
        <v>705.89880148108489</v>
      </c>
    </row>
    <row r="193" spans="1:42" s="160" customFormat="1">
      <c r="A193" s="171" t="s">
        <v>403</v>
      </c>
      <c r="AK193" s="160">
        <v>324.05560335715057</v>
      </c>
      <c r="AL193" s="181">
        <v>394.14497626956648</v>
      </c>
      <c r="AM193" s="160">
        <v>449.32139448481496</v>
      </c>
      <c r="AN193" s="160">
        <v>643.6271040539657</v>
      </c>
      <c r="AO193" s="160">
        <v>558.46169306572028</v>
      </c>
      <c r="AP193" s="160">
        <v>679.44435283615132</v>
      </c>
    </row>
    <row r="194" spans="1:42" s="160" customFormat="1">
      <c r="A194" s="171" t="s">
        <v>404</v>
      </c>
      <c r="AK194" s="160">
        <v>456.87522974763272</v>
      </c>
      <c r="AL194" s="160">
        <v>534.78990760361148</v>
      </c>
      <c r="AM194" s="160">
        <v>587.9353867536322</v>
      </c>
      <c r="AN194" s="160">
        <v>735.90427435971412</v>
      </c>
      <c r="AO194" s="160">
        <v>734.06332122574474</v>
      </c>
      <c r="AP194" s="160">
        <v>842.07008787213738</v>
      </c>
    </row>
    <row r="195" spans="1:42" s="160" customFormat="1">
      <c r="A195" s="171" t="s">
        <v>405</v>
      </c>
      <c r="AK195" s="160">
        <v>463.9176730528074</v>
      </c>
      <c r="AL195" s="160">
        <v>624.59179853565183</v>
      </c>
      <c r="AM195" s="160">
        <v>1058.6293788374089</v>
      </c>
      <c r="AN195" s="160">
        <v>1006.4306965300586</v>
      </c>
      <c r="AO195" s="160">
        <v>919.65074436279281</v>
      </c>
      <c r="AP195" s="160">
        <v>1016.9203095066119</v>
      </c>
    </row>
    <row r="196" spans="1:42" s="160" customFormat="1">
      <c r="A196" s="171" t="s">
        <v>406</v>
      </c>
      <c r="AK196" s="160">
        <v>2489.7586873950554</v>
      </c>
      <c r="AL196" s="160">
        <v>2776.8754883649294</v>
      </c>
      <c r="AM196" s="160">
        <v>2945.3785752582644</v>
      </c>
      <c r="AN196" s="160">
        <v>4366.7491536803991</v>
      </c>
      <c r="AO196" s="160">
        <v>7128.039220983188</v>
      </c>
      <c r="AP196" s="160">
        <v>10652.315477442156</v>
      </c>
    </row>
    <row r="197" spans="1:42" s="160" customFormat="1">
      <c r="A197" s="171" t="s">
        <v>407</v>
      </c>
      <c r="B197" s="160">
        <v>430.22222222222223</v>
      </c>
      <c r="L197" s="181">
        <v>430.28571428571428</v>
      </c>
      <c r="X197" s="181">
        <v>429.8995909259948</v>
      </c>
      <c r="AC197" s="160">
        <v>563.02966101694915</v>
      </c>
      <c r="AK197" s="160">
        <v>1455.3613551578314</v>
      </c>
      <c r="AL197" s="160">
        <v>1328.6986512746798</v>
      </c>
      <c r="AM197" s="160">
        <v>1616.2270122302871</v>
      </c>
      <c r="AN197" s="160">
        <v>2272.1497395838678</v>
      </c>
      <c r="AO197" s="160">
        <v>2595.8885131467441</v>
      </c>
      <c r="AP197" s="160">
        <v>2657.5615780309304</v>
      </c>
    </row>
    <row r="198" spans="1:42" s="160" customFormat="1">
      <c r="A198" s="171" t="s">
        <v>408</v>
      </c>
      <c r="AK198" s="160">
        <v>1133.420416551131</v>
      </c>
      <c r="AL198" s="160">
        <v>1327.3322143676978</v>
      </c>
      <c r="AM198" s="160">
        <v>1742.8516319676874</v>
      </c>
      <c r="AN198" s="160">
        <v>1220.4739893585656</v>
      </c>
      <c r="AO198" s="160">
        <v>1115.095042779963</v>
      </c>
      <c r="AP198" s="160">
        <v>1432.1213625419482</v>
      </c>
    </row>
    <row r="199" spans="1:42" s="160" customFormat="1">
      <c r="A199" s="171" t="s">
        <v>409</v>
      </c>
      <c r="AK199" s="160">
        <v>2159.7048700967962</v>
      </c>
      <c r="AL199" s="160">
        <v>2615.982459164994</v>
      </c>
      <c r="AM199" s="160">
        <v>3321.4405045387134</v>
      </c>
      <c r="AN199" s="160">
        <v>4089.2073761184593</v>
      </c>
      <c r="AO199" s="160">
        <v>3278.05096840538</v>
      </c>
      <c r="AP199" s="160">
        <v>3795.1484959307973</v>
      </c>
    </row>
    <row r="200" spans="1:42" s="160" customFormat="1">
      <c r="A200" s="171" t="s">
        <v>410</v>
      </c>
      <c r="AK200" s="160">
        <v>813.35184661708843</v>
      </c>
      <c r="AL200" s="160">
        <v>939.85143572092466</v>
      </c>
      <c r="AM200" s="160">
        <v>971.06459828783898</v>
      </c>
      <c r="AN200" s="160">
        <v>877.01332356244848</v>
      </c>
      <c r="AO200" s="160">
        <v>562.10448564359717</v>
      </c>
      <c r="AP200" s="181">
        <v>502.76886560305087</v>
      </c>
    </row>
    <row r="201" spans="1:42" s="160" customFormat="1">
      <c r="A201" s="171" t="s">
        <v>411</v>
      </c>
      <c r="AK201" s="160">
        <v>752.68132376153039</v>
      </c>
      <c r="AL201" s="160">
        <v>853.72961939672439</v>
      </c>
      <c r="AM201" s="160">
        <v>1189.7776909118979</v>
      </c>
      <c r="AN201" s="160">
        <v>1402.3749075463497</v>
      </c>
      <c r="AO201" s="160">
        <v>1160.8961259457622</v>
      </c>
      <c r="AP201" s="160">
        <v>1155.7048484419613</v>
      </c>
    </row>
    <row r="202" spans="1:42" s="160" customFormat="1">
      <c r="A202" s="171" t="s">
        <v>412</v>
      </c>
      <c r="AK202" s="160">
        <v>1989.3063339026312</v>
      </c>
      <c r="AL202" s="160">
        <v>2239.3889588706929</v>
      </c>
      <c r="AM202" s="160">
        <v>3462.6115441304087</v>
      </c>
      <c r="AN202" s="160">
        <v>3686.0461544931304</v>
      </c>
      <c r="AO202" s="160">
        <v>4510.2359251843272</v>
      </c>
      <c r="AP202" s="160">
        <v>4588.4921504603753</v>
      </c>
    </row>
    <row r="203" spans="1:42" s="160" customFormat="1">
      <c r="A203" s="171" t="s">
        <v>413</v>
      </c>
      <c r="AK203" s="160">
        <v>546.90204796856256</v>
      </c>
      <c r="AL203" s="160">
        <v>656.10798326765507</v>
      </c>
      <c r="AM203" s="160">
        <v>716.76697467613849</v>
      </c>
      <c r="AN203" s="160">
        <v>951.96641645777709</v>
      </c>
      <c r="AO203" s="160">
        <v>879.72475028384588</v>
      </c>
      <c r="AP203" s="160">
        <v>830.01303360850522</v>
      </c>
    </row>
    <row r="204" spans="1:42" s="160" customFormat="1">
      <c r="A204" s="171" t="s">
        <v>414</v>
      </c>
      <c r="AK204" s="160">
        <v>1258.8983876315187</v>
      </c>
      <c r="AL204" s="160">
        <v>1444.6390453789054</v>
      </c>
      <c r="AM204" s="160">
        <v>1435.1735782406449</v>
      </c>
      <c r="AN204" s="160">
        <v>1301.3667314318845</v>
      </c>
      <c r="AO204" s="160">
        <v>1362.7355666783442</v>
      </c>
      <c r="AP204" s="160">
        <v>1433.1085690632722</v>
      </c>
    </row>
    <row r="205" spans="1:42" s="160" customFormat="1">
      <c r="A205" s="171" t="s">
        <v>415</v>
      </c>
      <c r="AK205" s="160">
        <v>1912.258165761654</v>
      </c>
      <c r="AL205" s="160">
        <v>2366.5239470203846</v>
      </c>
      <c r="AM205" s="160">
        <v>2569.9748132555183</v>
      </c>
      <c r="AN205" s="160">
        <v>4274.4703701894678</v>
      </c>
      <c r="AO205" s="160">
        <v>4983.7279919388884</v>
      </c>
      <c r="AP205" s="160">
        <v>6353.5284774222828</v>
      </c>
    </row>
    <row r="206" spans="1:42" s="160" customFormat="1">
      <c r="A206" s="171" t="s">
        <v>416</v>
      </c>
      <c r="AK206" s="160">
        <v>656.26840042332276</v>
      </c>
      <c r="AL206" s="160">
        <v>855.64826705163853</v>
      </c>
      <c r="AM206" s="160">
        <v>1128.9070824707649</v>
      </c>
      <c r="AN206" s="160">
        <v>1118.50113824908</v>
      </c>
      <c r="AO206" s="160">
        <v>1025.7383423121917</v>
      </c>
      <c r="AP206" s="181">
        <v>378.84474073738068</v>
      </c>
    </row>
    <row r="207" spans="1:42" s="160" customFormat="1">
      <c r="A207" s="171" t="s">
        <v>417</v>
      </c>
      <c r="AK207" s="160">
        <v>1056.633244897725</v>
      </c>
      <c r="AL207" s="160">
        <v>1277.1487139027872</v>
      </c>
      <c r="AM207" s="160">
        <v>1138.2759891124747</v>
      </c>
      <c r="AN207" s="160">
        <v>1037.0067202525427</v>
      </c>
      <c r="AO207" s="160">
        <v>1083.2850067272732</v>
      </c>
      <c r="AP207" s="160">
        <v>863.07483231048855</v>
      </c>
    </row>
    <row r="208" spans="1:42" s="160" customFormat="1">
      <c r="A208" s="171" t="s">
        <v>418</v>
      </c>
      <c r="X208" s="181">
        <v>414.83870967741939</v>
      </c>
      <c r="AC208" s="160">
        <v>857.87200628190033</v>
      </c>
      <c r="AK208" s="160">
        <v>2534.9459559812576</v>
      </c>
      <c r="AL208" s="160">
        <v>3041.4726678782977</v>
      </c>
      <c r="AM208" s="160">
        <v>4045.1475923000339</v>
      </c>
      <c r="AN208" s="160">
        <v>4390.0367161982049</v>
      </c>
      <c r="AO208" s="160">
        <v>3966.2066470320497</v>
      </c>
      <c r="AP208" s="160">
        <v>4139.3018332711745</v>
      </c>
    </row>
    <row r="209" spans="1:42" s="160" customFormat="1">
      <c r="A209" s="171" t="s">
        <v>419</v>
      </c>
      <c r="AK209" s="160">
        <v>820.83681391957202</v>
      </c>
      <c r="AL209" s="160">
        <v>1023.5380325371464</v>
      </c>
      <c r="AM209" s="160">
        <v>888.18119409859696</v>
      </c>
      <c r="AN209" s="160">
        <v>931.46945353054002</v>
      </c>
      <c r="AO209" s="160">
        <v>743.33300560032853</v>
      </c>
      <c r="AP209" s="160">
        <v>991.25383047926084</v>
      </c>
    </row>
    <row r="210" spans="1:42" s="160" customFormat="1">
      <c r="A210" s="171" t="s">
        <v>420</v>
      </c>
      <c r="AK210" s="160">
        <v>721.08907444747763</v>
      </c>
      <c r="AL210" s="160">
        <v>934.59715463995303</v>
      </c>
      <c r="AM210" s="160">
        <v>2035.5843186248981</v>
      </c>
      <c r="AN210" s="160">
        <v>2397.2380911292412</v>
      </c>
      <c r="AO210" s="160">
        <v>2434.1458453402042</v>
      </c>
      <c r="AP210" s="160">
        <v>2605.8242269343491</v>
      </c>
    </row>
    <row r="211" spans="1:42" s="160" customFormat="1">
      <c r="A211" s="171" t="s">
        <v>421</v>
      </c>
      <c r="AK211" s="160">
        <v>423.71368929684735</v>
      </c>
      <c r="AL211" s="160">
        <v>459.11420466018342</v>
      </c>
      <c r="AM211" s="160">
        <v>566.90560080577075</v>
      </c>
      <c r="AN211" s="160">
        <v>592.9719317950653</v>
      </c>
      <c r="AO211" s="160">
        <v>540.0146699047275</v>
      </c>
      <c r="AP211" s="160">
        <v>523.99392588752391</v>
      </c>
    </row>
    <row r="212" spans="1:42" s="160" customFormat="1">
      <c r="A212" s="171" t="s">
        <v>422</v>
      </c>
      <c r="AK212" s="160">
        <v>573.99402038199366</v>
      </c>
      <c r="AL212" s="160">
        <v>697.65741085269019</v>
      </c>
      <c r="AM212" s="160">
        <v>1075.366917726999</v>
      </c>
      <c r="AN212" s="160">
        <v>1048.2665190548942</v>
      </c>
      <c r="AO212" s="160">
        <v>757.1124029856951</v>
      </c>
      <c r="AP212" s="160">
        <v>575.02975987639434</v>
      </c>
    </row>
    <row r="213" spans="1:42" s="160" customFormat="1">
      <c r="A213" s="171" t="s">
        <v>423</v>
      </c>
      <c r="X213" s="181">
        <v>429.71428571428572</v>
      </c>
      <c r="AC213" s="160">
        <v>632.65306122448987</v>
      </c>
      <c r="AK213" s="160">
        <v>1114.5962594351395</v>
      </c>
      <c r="AL213" s="160">
        <v>1342.610656769464</v>
      </c>
      <c r="AM213" s="160">
        <v>1826.876020646996</v>
      </c>
      <c r="AN213" s="160">
        <v>2943.6168354175848</v>
      </c>
      <c r="AO213" s="160">
        <v>3337.0537618162184</v>
      </c>
      <c r="AP213" s="160">
        <v>4538.2232496876495</v>
      </c>
    </row>
    <row r="214" spans="1:42" s="160" customFormat="1">
      <c r="A214" s="171" t="s">
        <v>424</v>
      </c>
      <c r="AK214" s="160">
        <v>686.85410343376657</v>
      </c>
      <c r="AL214" s="160">
        <v>712.89657139437929</v>
      </c>
      <c r="AM214" s="160">
        <v>868.60706364717953</v>
      </c>
      <c r="AN214" s="181">
        <v>577.32461277698803</v>
      </c>
      <c r="AO214" s="160">
        <v>591.93012371026384</v>
      </c>
      <c r="AP214" s="160">
        <v>788.13673333880092</v>
      </c>
    </row>
    <row r="215" spans="1:42" s="160" customFormat="1">
      <c r="A215" s="171" t="s">
        <v>425</v>
      </c>
      <c r="AK215" s="160">
        <v>569.74207419447396</v>
      </c>
      <c r="AL215" s="160">
        <v>754.63894236892611</v>
      </c>
      <c r="AM215" s="160">
        <v>782.30049808864544</v>
      </c>
      <c r="AN215" s="160">
        <v>617.00369421187952</v>
      </c>
      <c r="AO215" s="160">
        <v>524.68461771766351</v>
      </c>
      <c r="AP215" s="181">
        <v>217.83811017917515</v>
      </c>
    </row>
    <row r="216" spans="1:42" s="160" customFormat="1">
      <c r="A216" s="171" t="s">
        <v>426</v>
      </c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AK216" s="160">
        <v>660.9100089642086</v>
      </c>
      <c r="AL216" s="160">
        <v>959.80280303973291</v>
      </c>
      <c r="AM216" s="160">
        <v>1073.1148552132056</v>
      </c>
      <c r="AN216" s="160">
        <v>910.58734506212807</v>
      </c>
      <c r="AO216" s="160">
        <v>816.69542834672131</v>
      </c>
      <c r="AP216" s="160">
        <v>666.32450646418454</v>
      </c>
    </row>
    <row r="217" spans="1:42" s="160" customFormat="1">
      <c r="A217" s="171" t="s">
        <v>427</v>
      </c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AK217" s="160">
        <v>700.97937333145012</v>
      </c>
      <c r="AL217" s="160">
        <v>937.93638537467473</v>
      </c>
      <c r="AM217" s="160">
        <v>1282.4288389811945</v>
      </c>
      <c r="AN217" s="160">
        <v>1295.4032709769417</v>
      </c>
      <c r="AO217" s="160">
        <v>1355.7148066885213</v>
      </c>
      <c r="AP217" s="160">
        <v>1280.4929487543504</v>
      </c>
    </row>
    <row r="218" spans="1:42" s="160" customFormat="1">
      <c r="A218" s="171" t="s">
        <v>428</v>
      </c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AK218" s="160">
        <v>800.68856057674839</v>
      </c>
      <c r="AL218" s="160">
        <v>1612.9534924882705</v>
      </c>
      <c r="AM218" s="160">
        <v>7652.0854526958292</v>
      </c>
      <c r="AN218" s="160">
        <v>6412.9257470148714</v>
      </c>
      <c r="AO218" s="160">
        <v>2831.4710160275054</v>
      </c>
      <c r="AP218" s="160">
        <v>2665.4809258068026</v>
      </c>
    </row>
    <row r="219" spans="1:42" s="180" customFormat="1" ht="13">
      <c r="A219" s="182" t="s">
        <v>230</v>
      </c>
      <c r="B219" s="200">
        <v>422</v>
      </c>
      <c r="C219" s="176">
        <f t="shared" ref="C219:K219" si="39">B219+(($L219-$B219)/($L$2-$B$2))</f>
        <v>421.9</v>
      </c>
      <c r="D219" s="176">
        <f t="shared" si="39"/>
        <v>421.79999999999995</v>
      </c>
      <c r="E219" s="176">
        <f t="shared" si="39"/>
        <v>421.69999999999993</v>
      </c>
      <c r="F219" s="176">
        <f t="shared" si="39"/>
        <v>421.59999999999991</v>
      </c>
      <c r="G219" s="176">
        <f t="shared" si="39"/>
        <v>421.49999999999989</v>
      </c>
      <c r="H219" s="176">
        <f t="shared" si="39"/>
        <v>421.39999999999986</v>
      </c>
      <c r="I219" s="176">
        <f t="shared" si="39"/>
        <v>421.29999999999984</v>
      </c>
      <c r="J219" s="176">
        <f t="shared" si="39"/>
        <v>421.19999999999982</v>
      </c>
      <c r="K219" s="176">
        <f t="shared" si="39"/>
        <v>421.0999999999998</v>
      </c>
      <c r="L219" s="202">
        <v>421</v>
      </c>
      <c r="M219" s="176">
        <f t="shared" ref="M219:W219" si="40">L219+(($X219-$L219)/($X$2-$L$2))</f>
        <v>420.89632613107744</v>
      </c>
      <c r="N219" s="176">
        <f t="shared" si="40"/>
        <v>420.79265226215489</v>
      </c>
      <c r="O219" s="176">
        <f t="shared" si="40"/>
        <v>420.68897839323233</v>
      </c>
      <c r="P219" s="176">
        <f t="shared" si="40"/>
        <v>420.58530452430978</v>
      </c>
      <c r="Q219" s="176">
        <f t="shared" si="40"/>
        <v>420.48163065538722</v>
      </c>
      <c r="R219" s="176">
        <f t="shared" si="40"/>
        <v>420.37795678646467</v>
      </c>
      <c r="S219" s="176">
        <f t="shared" si="40"/>
        <v>420.27428291754211</v>
      </c>
      <c r="T219" s="176">
        <f t="shared" si="40"/>
        <v>420.17060904861955</v>
      </c>
      <c r="U219" s="176">
        <f t="shared" si="40"/>
        <v>420.066935179697</v>
      </c>
      <c r="V219" s="176">
        <f t="shared" si="40"/>
        <v>419.96326131077444</v>
      </c>
      <c r="W219" s="176">
        <f t="shared" si="40"/>
        <v>419.85958744185189</v>
      </c>
      <c r="X219" s="203">
        <v>419.75591357292956</v>
      </c>
      <c r="Y219" s="176">
        <f>X219+ (($AC219-$X219)/($AC$2-$X$2))</f>
        <v>435.80473085834365</v>
      </c>
      <c r="Z219" s="194">
        <f>Y219+ (($AC219-$X219)/($AC$2-$X$2))</f>
        <v>451.85354814375773</v>
      </c>
      <c r="AA219" s="176">
        <f>Z219+ (($AC219-$X219)/($AC$2-$X$2))</f>
        <v>467.90236542917182</v>
      </c>
      <c r="AB219" s="194">
        <f>AA219+ (($AC219-$X219)/($AC$2-$X$2))</f>
        <v>483.95118271458591</v>
      </c>
      <c r="AC219" s="200">
        <v>500</v>
      </c>
      <c r="AD219" s="194">
        <f>AC219+(($AF219-$AC219)/($AF$2-$AC$2))</f>
        <v>533.66666666666663</v>
      </c>
      <c r="AE219" s="176">
        <f>AD219+(($AF219-$AC219)/($AF$2-$AC$2))</f>
        <v>567.33333333333326</v>
      </c>
      <c r="AF219" s="198">
        <v>601</v>
      </c>
      <c r="AG219" s="176">
        <f>AF219+(($AK219-$AF219)/($AK$2-$AF$2))</f>
        <v>659.50747063606275</v>
      </c>
      <c r="AH219" s="194">
        <f>AG219+(($AK219-$AF219)/($AK$2-$AF$2))</f>
        <v>718.0149412721255</v>
      </c>
      <c r="AI219" s="176">
        <f>AH219+(($AK219-$AF219)/($AK$2-$AF$2))</f>
        <v>776.52241190818825</v>
      </c>
      <c r="AJ219" s="194">
        <f>AI219+(($AK219-$AF219)/($AK$2-$AF$2))</f>
        <v>835.029882544251</v>
      </c>
      <c r="AK219" s="180">
        <v>893.53735318031352</v>
      </c>
      <c r="AL219" s="180">
        <v>1065.949905114185</v>
      </c>
      <c r="AM219" s="180">
        <v>1356.9908360419292</v>
      </c>
      <c r="AN219" s="180">
        <v>1535.5886371738329</v>
      </c>
      <c r="AO219" s="180">
        <v>1443.6473077947514</v>
      </c>
      <c r="AP219" s="180">
        <v>1463.8047832105344</v>
      </c>
    </row>
    <row r="220" spans="1:42" s="160" customFormat="1">
      <c r="A220" s="171" t="s">
        <v>429</v>
      </c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AC220" s="189"/>
      <c r="AK220" s="160">
        <v>539.76250449802092</v>
      </c>
      <c r="AL220" s="160">
        <v>746.30843861613096</v>
      </c>
      <c r="AM220" s="160">
        <v>1309.0021631815409</v>
      </c>
      <c r="AN220" s="160">
        <v>1476.5105914245203</v>
      </c>
      <c r="AO220" s="160">
        <v>1564.0188768389442</v>
      </c>
      <c r="AP220" s="160">
        <v>7956.3235163871168</v>
      </c>
    </row>
    <row r="221" spans="1:42" s="160" customFormat="1">
      <c r="A221" s="171" t="s">
        <v>430</v>
      </c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AK221" s="160">
        <v>857.16812041963794</v>
      </c>
      <c r="AL221" s="160">
        <v>1829.6688882295041</v>
      </c>
      <c r="AM221" s="160">
        <v>9114.8191092067573</v>
      </c>
      <c r="AN221" s="160">
        <v>7271.5647239398895</v>
      </c>
      <c r="AO221" s="160">
        <v>3087.0870145477165</v>
      </c>
      <c r="AP221" s="160">
        <v>2322.1808443049977</v>
      </c>
    </row>
    <row r="222" spans="1:42" s="160" customFormat="1">
      <c r="A222" s="171" t="s">
        <v>431</v>
      </c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AK222" s="160">
        <v>820.35827892181487</v>
      </c>
      <c r="AL222" s="160">
        <v>867.46683910855961</v>
      </c>
      <c r="AM222" s="160">
        <v>1439.6110333962597</v>
      </c>
      <c r="AN222" s="160">
        <v>2009.1207704818701</v>
      </c>
      <c r="AO222" s="160">
        <v>1389.6679028571905</v>
      </c>
      <c r="AP222" s="160">
        <v>1225.8964367693877</v>
      </c>
    </row>
    <row r="223" spans="1:42" s="160" customFormat="1">
      <c r="A223" s="171" t="s">
        <v>432</v>
      </c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AK223" s="160">
        <v>790.14368909309064</v>
      </c>
      <c r="AL223" s="160">
        <v>1047.1204188481674</v>
      </c>
      <c r="AM223" s="160">
        <v>1076.3791654998599</v>
      </c>
      <c r="AN223" s="160">
        <v>1237.0060114151781</v>
      </c>
      <c r="AO223" s="160">
        <v>1373.6598122780842</v>
      </c>
      <c r="AP223" s="160">
        <v>1384.5799454009891</v>
      </c>
    </row>
    <row r="224" spans="1:42" s="184" customFormat="1" ht="13">
      <c r="A224" s="183" t="s">
        <v>433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AK224" s="184">
        <v>800.68856057674839</v>
      </c>
      <c r="AL224" s="184">
        <v>1612.9534924882705</v>
      </c>
      <c r="AM224" s="184">
        <v>7652.0854526958292</v>
      </c>
      <c r="AN224" s="184">
        <v>6412.9257470148714</v>
      </c>
      <c r="AO224" s="184">
        <v>2831.4710160275054</v>
      </c>
      <c r="AP224" s="184">
        <v>2665.4809258068026</v>
      </c>
    </row>
    <row r="225" spans="1:42" s="160" customFormat="1">
      <c r="A225" s="171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AC225" s="201"/>
    </row>
    <row r="226" spans="1:42" s="176" customFormat="1" ht="18">
      <c r="A226" s="205" t="s">
        <v>224</v>
      </c>
      <c r="B226" s="180">
        <v>595.13295022188345</v>
      </c>
      <c r="C226" s="176">
        <f>B226+(($L226-$B226)/($L$2-$B$2))</f>
        <v>597.13997865161639</v>
      </c>
      <c r="D226" s="176">
        <f t="shared" ref="D226:K226" si="41">C226+(($L226-$B226)/($L$2-$B$2))</f>
        <v>599.14700708134933</v>
      </c>
      <c r="E226" s="176">
        <f t="shared" si="41"/>
        <v>601.15403551108227</v>
      </c>
      <c r="F226" s="176">
        <f t="shared" si="41"/>
        <v>603.16106394081521</v>
      </c>
      <c r="G226" s="176">
        <f t="shared" si="41"/>
        <v>605.16809237054815</v>
      </c>
      <c r="H226" s="176">
        <f t="shared" si="41"/>
        <v>607.17512080028109</v>
      </c>
      <c r="I226" s="176">
        <f t="shared" si="41"/>
        <v>609.18214923001403</v>
      </c>
      <c r="J226" s="176">
        <f t="shared" si="41"/>
        <v>611.18917765974697</v>
      </c>
      <c r="K226" s="176">
        <f t="shared" si="41"/>
        <v>613.19620608947992</v>
      </c>
      <c r="L226" s="180">
        <v>615.2032345192132</v>
      </c>
      <c r="M226" s="176">
        <f t="shared" ref="M226:W226" si="42">L226+(($X226-$L226)/($X$2-$L$2))</f>
        <v>619.51963164261213</v>
      </c>
      <c r="N226" s="176">
        <f t="shared" si="42"/>
        <v>623.83602876601105</v>
      </c>
      <c r="O226" s="176">
        <f t="shared" si="42"/>
        <v>628.15242588940998</v>
      </c>
      <c r="P226" s="176">
        <f t="shared" si="42"/>
        <v>632.46882301280891</v>
      </c>
      <c r="Q226" s="176">
        <f t="shared" si="42"/>
        <v>636.78522013620784</v>
      </c>
      <c r="R226" s="176">
        <f t="shared" si="42"/>
        <v>641.10161725960677</v>
      </c>
      <c r="S226" s="176">
        <f t="shared" si="42"/>
        <v>645.4180143830057</v>
      </c>
      <c r="T226" s="176">
        <f t="shared" si="42"/>
        <v>649.73441150640463</v>
      </c>
      <c r="U226" s="176">
        <f t="shared" si="42"/>
        <v>654.05080862980356</v>
      </c>
      <c r="V226" s="176">
        <f t="shared" si="42"/>
        <v>658.36720575320248</v>
      </c>
      <c r="W226" s="176">
        <f t="shared" si="42"/>
        <v>662.68360287660141</v>
      </c>
      <c r="X226" s="180">
        <v>667</v>
      </c>
      <c r="Y226" s="176">
        <f>X226+ (($AC226-$X226)/($AC$2-$X$2))</f>
        <v>708.6</v>
      </c>
      <c r="Z226" s="176">
        <f>Y226+ (($AC226-$X226)/($AC$2-$X$2))</f>
        <v>750.2</v>
      </c>
      <c r="AA226" s="176">
        <f>Z226+ (($AC226-$X226)/($AC$2-$X$2))</f>
        <v>791.80000000000007</v>
      </c>
      <c r="AB226" s="176">
        <f>AA226+ (($AC226-$X226)/($AC$2-$X$2))</f>
        <v>833.40000000000009</v>
      </c>
      <c r="AC226" s="180">
        <v>875</v>
      </c>
      <c r="AD226" s="176">
        <f>AC226+(($AF226-$AC226)/($AF$2-$AC$2))</f>
        <v>1004.0906092819534</v>
      </c>
      <c r="AE226" s="176">
        <f>AD226+(($AF226-$AC226)/($AF$2-$AC$2))</f>
        <v>1133.1812185639069</v>
      </c>
      <c r="AF226" s="180">
        <v>1262.2718278458603</v>
      </c>
      <c r="AG226" s="176">
        <f>AF226+(($AK226-$AF226)/($AK$2-$AF$2))</f>
        <v>1432.0865033551431</v>
      </c>
      <c r="AH226" s="176">
        <f>AG226+(($AK226-$AF226)/($AK$2-$AF$2))</f>
        <v>1601.9011788644259</v>
      </c>
      <c r="AI226" s="176">
        <f>AH226+(($AK226-$AF226)/($AK$2-$AF$2))</f>
        <v>1771.7158543737087</v>
      </c>
      <c r="AJ226" s="176">
        <f>AI226+(($AK226-$AF226)/($AK$2-$AF$2))</f>
        <v>1941.5305298829915</v>
      </c>
      <c r="AK226" s="180">
        <v>2111.3452053922747</v>
      </c>
      <c r="AL226" s="180">
        <v>2777.3342563359629</v>
      </c>
      <c r="AM226" s="180">
        <v>3736.3842384528762</v>
      </c>
      <c r="AN226" s="180">
        <v>4519.7544082053555</v>
      </c>
      <c r="AO226" s="180">
        <v>5156.6677295068703</v>
      </c>
      <c r="AP226" s="180">
        <v>6012.3547717936763</v>
      </c>
    </row>
    <row r="227" spans="1:42" s="160" customFormat="1">
      <c r="A227" s="206"/>
    </row>
    <row r="228" spans="1:42" s="160" customFormat="1" ht="13">
      <c r="A228" s="207" t="s">
        <v>434</v>
      </c>
      <c r="B228" s="208">
        <v>100</v>
      </c>
      <c r="C228" s="209">
        <f t="shared" ref="C228:K228" si="43">B228+(($L228-$B228)/($L$2-$B$2))</f>
        <v>110</v>
      </c>
      <c r="D228" s="209">
        <f t="shared" si="43"/>
        <v>120</v>
      </c>
      <c r="E228" s="209">
        <f t="shared" si="43"/>
        <v>130</v>
      </c>
      <c r="F228" s="209">
        <f t="shared" si="43"/>
        <v>140</v>
      </c>
      <c r="G228" s="209">
        <f t="shared" si="43"/>
        <v>150</v>
      </c>
      <c r="H228" s="209">
        <f t="shared" si="43"/>
        <v>160</v>
      </c>
      <c r="I228" s="209">
        <f t="shared" si="43"/>
        <v>170</v>
      </c>
      <c r="J228" s="209">
        <f t="shared" si="43"/>
        <v>180</v>
      </c>
      <c r="K228" s="209">
        <f t="shared" si="43"/>
        <v>190</v>
      </c>
      <c r="L228" s="208">
        <v>200</v>
      </c>
      <c r="M228" s="209">
        <f>L228+(($X228-$L228)/($X$2-$L$2))</f>
        <v>210</v>
      </c>
      <c r="N228" s="209">
        <f t="shared" ref="N228:W228" si="44">M228+(($X228-$L228)/($X$3-$L$3))</f>
        <v>211</v>
      </c>
      <c r="O228" s="209">
        <f t="shared" si="44"/>
        <v>212</v>
      </c>
      <c r="P228" s="209">
        <f t="shared" si="44"/>
        <v>213</v>
      </c>
      <c r="Q228" s="209">
        <f t="shared" si="44"/>
        <v>214</v>
      </c>
      <c r="R228" s="209">
        <f t="shared" si="44"/>
        <v>215</v>
      </c>
      <c r="S228" s="209">
        <f t="shared" si="44"/>
        <v>216</v>
      </c>
      <c r="T228" s="209">
        <f t="shared" si="44"/>
        <v>217</v>
      </c>
      <c r="U228" s="209">
        <f t="shared" si="44"/>
        <v>218</v>
      </c>
      <c r="V228" s="209">
        <f t="shared" si="44"/>
        <v>219</v>
      </c>
      <c r="W228" s="209">
        <f t="shared" si="44"/>
        <v>220</v>
      </c>
      <c r="X228" s="208">
        <v>320</v>
      </c>
      <c r="Y228" s="209">
        <f>X228+ (($AC228-$X228)/($AC$2-$X$2))</f>
        <v>330</v>
      </c>
      <c r="Z228" s="209">
        <f>Y228+ (($AC228-$X228)/($AC$2-$X$2))</f>
        <v>340</v>
      </c>
      <c r="AA228" s="209">
        <f>Z228+ (($AC228-$X228)/($AC$2-$X$2))</f>
        <v>350</v>
      </c>
      <c r="AB228" s="209">
        <f>AA228+ (($AC228-$X228)/($AC$2-$X$2))</f>
        <v>360</v>
      </c>
      <c r="AC228" s="208">
        <v>370</v>
      </c>
      <c r="AD228" s="209">
        <f>AC228+(($AF228-$AC228)/($AF$2-$AC$2))</f>
        <v>380</v>
      </c>
      <c r="AE228" s="209">
        <f>AD228+(($AF$228-$AC$228)/($AF$2-$AC$2))</f>
        <v>390</v>
      </c>
      <c r="AF228" s="208">
        <v>400</v>
      </c>
      <c r="AG228" s="209">
        <f>AF228+(($AK228-$AF228)/($AK$2-$AF$2))</f>
        <v>410</v>
      </c>
      <c r="AH228" s="209">
        <f>AG228+(($AK228-$AF228)/($AK$2-$AF$2))</f>
        <v>420</v>
      </c>
      <c r="AI228" s="209">
        <f>AH228+(($AK228-$AF228)/($AK$2-$AF$2))</f>
        <v>430</v>
      </c>
      <c r="AJ228" s="209">
        <f>AI228+(($AK228-$AF228)/($AK$2-$AF$2))</f>
        <v>440</v>
      </c>
      <c r="AK228" s="208">
        <v>450</v>
      </c>
    </row>
    <row r="229" spans="1:42">
      <c r="A229" s="210"/>
    </row>
    <row r="231" spans="1:42">
      <c r="A231" s="210"/>
    </row>
    <row r="232" spans="1:42">
      <c r="A232" s="210"/>
    </row>
    <row r="234" spans="1:42">
      <c r="A234" s="210"/>
    </row>
    <row r="235" spans="1:42">
      <c r="A235" s="210"/>
    </row>
    <row r="236" spans="1:42">
      <c r="A236" s="210"/>
    </row>
    <row r="237" spans="1:42">
      <c r="A237" s="210"/>
    </row>
    <row r="238" spans="1:42">
      <c r="A238" s="210"/>
    </row>
    <row r="239" spans="1:42">
      <c r="A239" s="210"/>
    </row>
    <row r="240" spans="1:42">
      <c r="A240" s="210"/>
    </row>
    <row r="241" spans="1:1">
      <c r="A241" s="210"/>
    </row>
    <row r="242" spans="1:1">
      <c r="A242" s="210"/>
    </row>
    <row r="243" spans="1:1">
      <c r="A243" s="210"/>
    </row>
    <row r="244" spans="1:1">
      <c r="A244" s="210"/>
    </row>
    <row r="245" spans="1:1">
      <c r="A245" s="210"/>
    </row>
    <row r="246" spans="1:1">
      <c r="A246" s="210"/>
    </row>
    <row r="247" spans="1:1">
      <c r="A247" s="210"/>
    </row>
    <row r="248" spans="1:1">
      <c r="A248" s="210"/>
    </row>
    <row r="249" spans="1:1">
      <c r="A249" s="210"/>
    </row>
    <row r="250" spans="1:1">
      <c r="A250" s="210"/>
    </row>
    <row r="251" spans="1:1">
      <c r="A251" s="210"/>
    </row>
    <row r="252" spans="1:1">
      <c r="A252" s="210"/>
    </row>
    <row r="253" spans="1:1">
      <c r="A253" s="210"/>
    </row>
    <row r="254" spans="1:1">
      <c r="A254" s="210"/>
    </row>
    <row r="255" spans="1:1">
      <c r="A255" s="210"/>
    </row>
    <row r="256" spans="1:1">
      <c r="A256" s="210"/>
    </row>
    <row r="257" spans="1:1">
      <c r="A257" s="210"/>
    </row>
    <row r="258" spans="1:1">
      <c r="A258" s="210"/>
    </row>
    <row r="259" spans="1:1">
      <c r="A259" s="210"/>
    </row>
    <row r="260" spans="1:1">
      <c r="A260" s="210"/>
    </row>
    <row r="261" spans="1:1">
      <c r="A261" s="210"/>
    </row>
    <row r="262" spans="1:1">
      <c r="A262" s="210"/>
    </row>
    <row r="263" spans="1:1">
      <c r="A263" s="210"/>
    </row>
    <row r="264" spans="1:1">
      <c r="A264" s="210"/>
    </row>
    <row r="265" spans="1:1">
      <c r="A265" s="210"/>
    </row>
    <row r="266" spans="1:1">
      <c r="A266" s="210"/>
    </row>
    <row r="267" spans="1:1">
      <c r="A267" s="210"/>
    </row>
    <row r="268" spans="1:1">
      <c r="A268" s="210"/>
    </row>
    <row r="269" spans="1:1">
      <c r="A269" s="210"/>
    </row>
    <row r="270" spans="1:1">
      <c r="A270" s="210"/>
    </row>
    <row r="271" spans="1:1">
      <c r="A271" s="210"/>
    </row>
    <row r="272" spans="1:1">
      <c r="A272" s="210"/>
    </row>
    <row r="273" spans="1:1">
      <c r="A273" s="210"/>
    </row>
    <row r="274" spans="1:1">
      <c r="A274" s="210"/>
    </row>
    <row r="275" spans="1:1">
      <c r="A275" s="210"/>
    </row>
    <row r="276" spans="1:1">
      <c r="A276" s="210"/>
    </row>
    <row r="277" spans="1:1">
      <c r="A277" s="210"/>
    </row>
    <row r="278" spans="1:1">
      <c r="A278" s="210"/>
    </row>
    <row r="279" spans="1:1">
      <c r="A279" s="210"/>
    </row>
    <row r="280" spans="1:1">
      <c r="A280" s="210"/>
    </row>
    <row r="281" spans="1:1">
      <c r="A281" s="210"/>
    </row>
    <row r="282" spans="1:1">
      <c r="A282" s="210"/>
    </row>
    <row r="283" spans="1:1">
      <c r="A283" s="210"/>
    </row>
    <row r="284" spans="1:1">
      <c r="A284" s="210"/>
    </row>
    <row r="285" spans="1:1">
      <c r="A285" s="210"/>
    </row>
    <row r="286" spans="1:1">
      <c r="A286" s="210"/>
    </row>
    <row r="287" spans="1:1">
      <c r="A287" s="210"/>
    </row>
    <row r="288" spans="1:1">
      <c r="A288" s="210"/>
    </row>
    <row r="289" spans="1:1">
      <c r="A289" s="210"/>
    </row>
    <row r="290" spans="1:1">
      <c r="A290" s="210"/>
    </row>
  </sheetData>
  <printOptions gridLines="1"/>
  <pageMargins left="0.47244094488188981" right="0.19685039370078741" top="0.35433070866141736" bottom="0.43307086614173229" header="0.23622047244094491" footer="0.19685039370078741"/>
  <pageSetup paperSize="9" scale="75" orientation="landscape" r:id="rId1"/>
  <headerFooter alignWithMargins="0">
    <oddHeader>&amp;L&amp;"Arial,Bold"The World Economy: Historical Statistics&amp;R&amp;"Arial,Bold"L'économie mondiale : statistiques historiques</oddHead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E13"/>
  <sheetViews>
    <sheetView workbookViewId="0">
      <selection activeCell="B19" sqref="B19"/>
    </sheetView>
  </sheetViews>
  <sheetFormatPr defaultRowHeight="12.5"/>
  <cols>
    <col min="1" max="1" width="11.453125" customWidth="1"/>
    <col min="2" max="2" width="17.26953125" customWidth="1"/>
    <col min="3" max="3" width="11" bestFit="1" customWidth="1"/>
    <col min="4" max="4" width="15.90625" bestFit="1" customWidth="1"/>
  </cols>
  <sheetData>
    <row r="2" spans="1:5">
      <c r="A2" t="s">
        <v>196</v>
      </c>
    </row>
    <row r="4" spans="1:5">
      <c r="A4" s="119" t="s">
        <v>197</v>
      </c>
      <c r="B4" s="119" t="s">
        <v>198</v>
      </c>
      <c r="C4" s="120" t="s">
        <v>199</v>
      </c>
      <c r="D4" s="120" t="s">
        <v>208</v>
      </c>
    </row>
    <row r="5" spans="1:5">
      <c r="A5" s="121" t="s">
        <v>200</v>
      </c>
      <c r="B5" s="120" t="s">
        <v>203</v>
      </c>
      <c r="C5">
        <v>189</v>
      </c>
    </row>
    <row r="6" spans="1:5">
      <c r="A6" s="121" t="s">
        <v>201</v>
      </c>
      <c r="B6" s="120" t="s">
        <v>204</v>
      </c>
      <c r="C6">
        <v>188</v>
      </c>
    </row>
    <row r="7" spans="1:5">
      <c r="A7" s="121" t="s">
        <v>202</v>
      </c>
      <c r="B7" s="120" t="s">
        <v>205</v>
      </c>
      <c r="C7">
        <v>727</v>
      </c>
    </row>
    <row r="8" spans="1:5">
      <c r="A8" s="120" t="s">
        <v>206</v>
      </c>
      <c r="B8" s="120" t="s">
        <v>207</v>
      </c>
      <c r="C8" s="120">
        <v>246</v>
      </c>
      <c r="D8" s="120" t="s">
        <v>209</v>
      </c>
    </row>
    <row r="9" spans="1:5">
      <c r="B9" s="120" t="s">
        <v>212</v>
      </c>
      <c r="C9" s="122" t="s">
        <v>213</v>
      </c>
      <c r="D9" s="120" t="s">
        <v>214</v>
      </c>
    </row>
    <row r="10" spans="1:5">
      <c r="B10" s="120" t="s">
        <v>210</v>
      </c>
      <c r="C10" s="122" t="s">
        <v>211</v>
      </c>
      <c r="D10" s="120" t="s">
        <v>215</v>
      </c>
    </row>
    <row r="11" spans="1:5">
      <c r="A11" s="120" t="s">
        <v>216</v>
      </c>
      <c r="B11" s="120" t="s">
        <v>217</v>
      </c>
      <c r="C11" s="120">
        <v>304</v>
      </c>
      <c r="D11" s="120" t="s">
        <v>218</v>
      </c>
    </row>
    <row r="12" spans="1:5">
      <c r="A12" s="120" t="s">
        <v>219</v>
      </c>
      <c r="B12" s="120" t="s">
        <v>217</v>
      </c>
      <c r="C12" s="120">
        <v>304</v>
      </c>
      <c r="D12" s="120" t="s">
        <v>220</v>
      </c>
    </row>
    <row r="13" spans="1:5" ht="13">
      <c r="A13" s="120" t="s">
        <v>435</v>
      </c>
      <c r="B13" s="120" t="s">
        <v>436</v>
      </c>
      <c r="C13" s="120">
        <v>396</v>
      </c>
      <c r="D13" s="120" t="s">
        <v>437</v>
      </c>
      <c r="E13" s="120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App2DataFig2.1-2.9</vt:lpstr>
      <vt:lpstr>App2DataFigs2.14-2.16</vt:lpstr>
      <vt:lpstr>Figs 2.8-2.14</vt:lpstr>
      <vt:lpstr>Fig2.1 IndProdUS</vt:lpstr>
      <vt:lpstr>Fig2.2 InvestUS</vt:lpstr>
      <vt:lpstr>Fig2.3 GdPpercap</vt:lpstr>
      <vt:lpstr>Fig2.4A BusCycle1</vt:lpstr>
      <vt:lpstr>Fig2.4B BusCycle2</vt:lpstr>
      <vt:lpstr>Fig2.4C BusCycle3</vt:lpstr>
      <vt:lpstr>Fig2.5 Mfgprodvty&amp;ec</vt:lpstr>
      <vt:lpstr>Fig2.6 MfgRULC</vt:lpstr>
      <vt:lpstr>Fig 2.7 unempl</vt:lpstr>
      <vt:lpstr>Fig2.15GDPpc</vt:lpstr>
      <vt:lpstr>Fig2.16rich4&amp;poor4</vt:lpstr>
      <vt:lpstr>Fig2.17Chartrich4poor4 Ratio</vt:lpstr>
      <vt:lpstr>'App2DataFigs2.14-2.16'!Print_Area</vt:lpstr>
      <vt:lpstr>'App2DataFigs2.14-2.16'!Print_Titles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shaikh@newschool.edu</dc:creator>
  <cp:lastModifiedBy>shaikh@newschool.edu</cp:lastModifiedBy>
  <dcterms:created xsi:type="dcterms:W3CDTF">2014-07-27T15:00:08Z</dcterms:created>
  <dcterms:modified xsi:type="dcterms:W3CDTF">2017-01-15T17:16:54Z</dcterms:modified>
</cp:coreProperties>
</file>