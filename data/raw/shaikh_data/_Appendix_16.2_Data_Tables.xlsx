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1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" yWindow="-10" windowWidth="17300" windowHeight="3740" firstSheet="9" activeTab="13"/>
  </bookViews>
  <sheets>
    <sheet name="Documentation" sheetId="24" r:id="rId1"/>
    <sheet name="Fig16.1Longwaves" sheetId="15" r:id="rId2"/>
    <sheet name="Fig16.2Aropnf" sheetId="29" r:id="rId3"/>
    <sheet name="Fig16.2ropsnorm" sheetId="16" r:id="rId4"/>
    <sheet name="Fig16.3 wr yr" sheetId="22" r:id="rId5"/>
    <sheet name="Fig16.4rop&amp;alt" sheetId="17" r:id="rId6"/>
    <sheet name="Fig16.5ropiropreal" sheetId="3" r:id="rId7"/>
    <sheet name="Fig16.6USintrate" sheetId="7" r:id="rId8"/>
    <sheet name="Fig16.7USOECDint" sheetId="8" r:id="rId9"/>
    <sheet name="Fig16.8netropiropreal" sheetId="27" r:id="rId10"/>
    <sheet name="Fig16.9HHDebInc" sheetId="18" r:id="rId11"/>
    <sheet name="Fig16.10DebServ" sheetId="19" r:id="rId12"/>
    <sheet name="Ch 16 data" sheetId="1" r:id="rId13"/>
    <sheet name="WageprodData" sheetId="23" r:id="rId14"/>
    <sheet name="DebtInRatio" sheetId="20" r:id="rId15"/>
    <sheet name="DebtServRatio" sheetId="21" r:id="rId16"/>
    <sheet name="Int US OECD data" sheetId="5" r:id="rId17"/>
    <sheet name="Sheet1" sheetId="28" r:id="rId18"/>
  </sheets>
  <calcPr calcId="145621"/>
</workbook>
</file>

<file path=xl/calcChain.xml><?xml version="1.0" encoding="utf-8"?>
<calcChain xmlns="http://schemas.openxmlformats.org/spreadsheetml/2006/main">
  <c r="I23" i="1" l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H23" i="1"/>
  <c r="G28" i="1"/>
  <c r="G25" i="1"/>
  <c r="G35" i="1"/>
  <c r="G37" i="1" s="1"/>
  <c r="G38" i="1" s="1"/>
  <c r="E21" i="1" l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H27" i="1"/>
  <c r="E14" i="23"/>
  <c r="J14" i="23"/>
  <c r="F14" i="23"/>
  <c r="K14" i="23"/>
  <c r="G14" i="23"/>
  <c r="M14" i="23"/>
  <c r="E15" i="23"/>
  <c r="J15" i="23"/>
  <c r="F15" i="23"/>
  <c r="G15" i="23"/>
  <c r="H15" i="23"/>
  <c r="I15" i="23"/>
  <c r="E16" i="23"/>
  <c r="H16" i="23"/>
  <c r="F16" i="23"/>
  <c r="M16" i="23"/>
  <c r="G16" i="23"/>
  <c r="E17" i="23"/>
  <c r="J17" i="23"/>
  <c r="F17" i="23"/>
  <c r="G17" i="23"/>
  <c r="H17" i="23"/>
  <c r="I17" i="23"/>
  <c r="M17" i="23"/>
  <c r="E18" i="23"/>
  <c r="H18" i="23"/>
  <c r="F18" i="23"/>
  <c r="M18" i="23"/>
  <c r="G18" i="23"/>
  <c r="E19" i="23"/>
  <c r="J19" i="23"/>
  <c r="F19" i="23"/>
  <c r="G19" i="23"/>
  <c r="H19" i="23"/>
  <c r="I19" i="23"/>
  <c r="M19" i="23"/>
  <c r="E20" i="23"/>
  <c r="H20" i="23"/>
  <c r="F20" i="23"/>
  <c r="M20" i="23"/>
  <c r="G20" i="23"/>
  <c r="J20" i="23"/>
  <c r="E21" i="23"/>
  <c r="J21" i="23"/>
  <c r="F21" i="23"/>
  <c r="G21" i="23"/>
  <c r="H21" i="23"/>
  <c r="I21" i="23"/>
  <c r="L21" i="23"/>
  <c r="K21" i="23"/>
  <c r="M21" i="23"/>
  <c r="E22" i="23"/>
  <c r="H22" i="23"/>
  <c r="F22" i="23"/>
  <c r="M22" i="23"/>
  <c r="G22" i="23"/>
  <c r="J22" i="23"/>
  <c r="E23" i="23"/>
  <c r="J23" i="23"/>
  <c r="F23" i="23"/>
  <c r="G23" i="23"/>
  <c r="H23" i="23"/>
  <c r="I23" i="23"/>
  <c r="L23" i="23"/>
  <c r="K23" i="23"/>
  <c r="M23" i="23"/>
  <c r="E24" i="23"/>
  <c r="H24" i="23"/>
  <c r="F24" i="23"/>
  <c r="M24" i="23"/>
  <c r="G24" i="23"/>
  <c r="J24" i="23"/>
  <c r="E25" i="23"/>
  <c r="J16" i="23"/>
  <c r="F25" i="23"/>
  <c r="K15" i="23"/>
  <c r="L15" i="23"/>
  <c r="G25" i="23"/>
  <c r="H25" i="23"/>
  <c r="I25" i="23"/>
  <c r="L25" i="23"/>
  <c r="K25" i="23"/>
  <c r="M25" i="23"/>
  <c r="E26" i="23"/>
  <c r="H26" i="23"/>
  <c r="F26" i="23"/>
  <c r="M26" i="23"/>
  <c r="G26" i="23"/>
  <c r="J26" i="23"/>
  <c r="E27" i="23"/>
  <c r="F27" i="23"/>
  <c r="G27" i="23"/>
  <c r="H27" i="23"/>
  <c r="I27" i="23"/>
  <c r="L27" i="23"/>
  <c r="J27" i="23"/>
  <c r="K27" i="23"/>
  <c r="M27" i="23"/>
  <c r="E28" i="23"/>
  <c r="F28" i="23"/>
  <c r="M28" i="23"/>
  <c r="G28" i="23"/>
  <c r="H28" i="23"/>
  <c r="J28" i="23"/>
  <c r="E29" i="23"/>
  <c r="F29" i="23"/>
  <c r="G29" i="23"/>
  <c r="H29" i="23"/>
  <c r="J29" i="23"/>
  <c r="E30" i="23"/>
  <c r="F30" i="23"/>
  <c r="M30" i="23"/>
  <c r="G30" i="23"/>
  <c r="H30" i="23"/>
  <c r="J30" i="23"/>
  <c r="E31" i="23"/>
  <c r="F31" i="23"/>
  <c r="G31" i="23"/>
  <c r="H31" i="23"/>
  <c r="J31" i="23"/>
  <c r="E32" i="23"/>
  <c r="F32" i="23"/>
  <c r="M32" i="23"/>
  <c r="G32" i="23"/>
  <c r="H32" i="23"/>
  <c r="J32" i="23"/>
  <c r="E33" i="23"/>
  <c r="F33" i="23"/>
  <c r="G33" i="23"/>
  <c r="H33" i="23"/>
  <c r="J33" i="23"/>
  <c r="E34" i="23"/>
  <c r="F34" i="23"/>
  <c r="M34" i="23"/>
  <c r="G34" i="23"/>
  <c r="H34" i="23"/>
  <c r="J34" i="23"/>
  <c r="E35" i="23"/>
  <c r="F35" i="23"/>
  <c r="G35" i="23"/>
  <c r="H35" i="23"/>
  <c r="J35" i="23"/>
  <c r="E36" i="23"/>
  <c r="F36" i="23"/>
  <c r="M36" i="23"/>
  <c r="G36" i="23"/>
  <c r="H36" i="23"/>
  <c r="J36" i="23"/>
  <c r="E37" i="23"/>
  <c r="F37" i="23"/>
  <c r="G37" i="23"/>
  <c r="H37" i="23"/>
  <c r="J37" i="23"/>
  <c r="E38" i="23"/>
  <c r="F38" i="23"/>
  <c r="M38" i="23"/>
  <c r="G38" i="23"/>
  <c r="H38" i="23"/>
  <c r="J38" i="23"/>
  <c r="E39" i="23"/>
  <c r="F39" i="23"/>
  <c r="G39" i="23"/>
  <c r="H39" i="23"/>
  <c r="J39" i="23"/>
  <c r="E40" i="23"/>
  <c r="F40" i="23"/>
  <c r="M40" i="23"/>
  <c r="G40" i="23"/>
  <c r="H40" i="23"/>
  <c r="J40" i="23"/>
  <c r="E41" i="23"/>
  <c r="F41" i="23"/>
  <c r="G41" i="23"/>
  <c r="H41" i="23"/>
  <c r="J41" i="23"/>
  <c r="E42" i="23"/>
  <c r="F42" i="23"/>
  <c r="M42" i="23"/>
  <c r="G42" i="23"/>
  <c r="H42" i="23"/>
  <c r="J42" i="23"/>
  <c r="E43" i="23"/>
  <c r="F43" i="23"/>
  <c r="G43" i="23"/>
  <c r="H43" i="23"/>
  <c r="J43" i="23"/>
  <c r="E44" i="23"/>
  <c r="F44" i="23"/>
  <c r="M44" i="23"/>
  <c r="G44" i="23"/>
  <c r="H44" i="23"/>
  <c r="J44" i="23"/>
  <c r="E45" i="23"/>
  <c r="F45" i="23"/>
  <c r="G45" i="23"/>
  <c r="H45" i="23"/>
  <c r="J45" i="23"/>
  <c r="E46" i="23"/>
  <c r="F46" i="23"/>
  <c r="M46" i="23"/>
  <c r="G46" i="23"/>
  <c r="H46" i="23"/>
  <c r="J46" i="23"/>
  <c r="E47" i="23"/>
  <c r="F47" i="23"/>
  <c r="G47" i="23"/>
  <c r="H47" i="23"/>
  <c r="J47" i="23"/>
  <c r="E48" i="23"/>
  <c r="F48" i="23"/>
  <c r="M48" i="23"/>
  <c r="G48" i="23"/>
  <c r="H48" i="23"/>
  <c r="J48" i="23"/>
  <c r="E49" i="23"/>
  <c r="F49" i="23"/>
  <c r="G49" i="23"/>
  <c r="H49" i="23"/>
  <c r="J49" i="23"/>
  <c r="E50" i="23"/>
  <c r="F50" i="23"/>
  <c r="M50" i="23"/>
  <c r="G50" i="23"/>
  <c r="H50" i="23"/>
  <c r="J50" i="23"/>
  <c r="E51" i="23"/>
  <c r="F51" i="23"/>
  <c r="G51" i="23"/>
  <c r="H51" i="23"/>
  <c r="J51" i="23"/>
  <c r="E52" i="23"/>
  <c r="F52" i="23"/>
  <c r="M52" i="23"/>
  <c r="G52" i="23"/>
  <c r="H52" i="23"/>
  <c r="J52" i="23"/>
  <c r="E53" i="23"/>
  <c r="F53" i="23"/>
  <c r="G53" i="23"/>
  <c r="H53" i="23"/>
  <c r="J53" i="23"/>
  <c r="E54" i="23"/>
  <c r="F54" i="23"/>
  <c r="M54" i="23"/>
  <c r="G54" i="23"/>
  <c r="H54" i="23"/>
  <c r="J54" i="23"/>
  <c r="E55" i="23"/>
  <c r="F55" i="23"/>
  <c r="G55" i="23"/>
  <c r="H55" i="23"/>
  <c r="J55" i="23"/>
  <c r="E56" i="23"/>
  <c r="F56" i="23"/>
  <c r="M56" i="23"/>
  <c r="G56" i="23"/>
  <c r="H56" i="23"/>
  <c r="J56" i="23"/>
  <c r="E57" i="23"/>
  <c r="F57" i="23"/>
  <c r="G57" i="23"/>
  <c r="H57" i="23"/>
  <c r="J57" i="23"/>
  <c r="E58" i="23"/>
  <c r="F58" i="23"/>
  <c r="M58" i="23"/>
  <c r="G58" i="23"/>
  <c r="H58" i="23"/>
  <c r="J58" i="23"/>
  <c r="E59" i="23"/>
  <c r="F59" i="23"/>
  <c r="G59" i="23"/>
  <c r="H59" i="23"/>
  <c r="J59" i="23"/>
  <c r="E60" i="23"/>
  <c r="F60" i="23"/>
  <c r="M60" i="23"/>
  <c r="G60" i="23"/>
  <c r="H60" i="23"/>
  <c r="J60" i="23"/>
  <c r="E61" i="23"/>
  <c r="F61" i="23"/>
  <c r="G61" i="23"/>
  <c r="H61" i="23"/>
  <c r="J61" i="23"/>
  <c r="E62" i="23"/>
  <c r="F62" i="23"/>
  <c r="M62" i="23"/>
  <c r="G62" i="23"/>
  <c r="H62" i="23"/>
  <c r="J62" i="23"/>
  <c r="E63" i="23"/>
  <c r="F63" i="23"/>
  <c r="G63" i="23"/>
  <c r="H63" i="23"/>
  <c r="J63" i="23"/>
  <c r="E64" i="23"/>
  <c r="F64" i="23"/>
  <c r="M64" i="23"/>
  <c r="G64" i="23"/>
  <c r="H64" i="23"/>
  <c r="J64" i="23"/>
  <c r="E65" i="23"/>
  <c r="F65" i="23"/>
  <c r="G65" i="23"/>
  <c r="H65" i="23"/>
  <c r="J65" i="23"/>
  <c r="E66" i="23"/>
  <c r="F66" i="23"/>
  <c r="G66" i="23"/>
  <c r="H66" i="23"/>
  <c r="J66" i="23"/>
  <c r="E67" i="23"/>
  <c r="F67" i="23"/>
  <c r="G67" i="23"/>
  <c r="H67" i="23"/>
  <c r="I67" i="23"/>
  <c r="J67" i="23"/>
  <c r="E68" i="23"/>
  <c r="F68" i="23"/>
  <c r="G68" i="23"/>
  <c r="H68" i="23"/>
  <c r="I68" i="23"/>
  <c r="J68" i="23"/>
  <c r="E69" i="23"/>
  <c r="F69" i="23"/>
  <c r="G69" i="23"/>
  <c r="H69" i="23"/>
  <c r="J69" i="23"/>
  <c r="E70" i="23"/>
  <c r="F70" i="23"/>
  <c r="G70" i="23"/>
  <c r="H70" i="23"/>
  <c r="J70" i="23"/>
  <c r="E71" i="23"/>
  <c r="F71" i="23"/>
  <c r="G71" i="23"/>
  <c r="H71" i="23"/>
  <c r="I71" i="23"/>
  <c r="J71" i="23"/>
  <c r="E72" i="23"/>
  <c r="H72" i="23"/>
  <c r="F72" i="23"/>
  <c r="K72" i="23"/>
  <c r="G72" i="23"/>
  <c r="E73" i="23"/>
  <c r="F73" i="23"/>
  <c r="M73" i="23"/>
  <c r="G73" i="23"/>
  <c r="H73" i="23"/>
  <c r="I73" i="23"/>
  <c r="J73" i="23"/>
  <c r="E74" i="23"/>
  <c r="F74" i="23"/>
  <c r="K74" i="23"/>
  <c r="G74" i="23"/>
  <c r="H74" i="23"/>
  <c r="I74" i="23"/>
  <c r="J74" i="23"/>
  <c r="M74" i="23"/>
  <c r="E75" i="23"/>
  <c r="J75" i="23"/>
  <c r="F75" i="23"/>
  <c r="G75" i="23"/>
  <c r="K75" i="23"/>
  <c r="M75" i="23"/>
  <c r="E76" i="23"/>
  <c r="H76" i="23"/>
  <c r="F76" i="23"/>
  <c r="G76" i="23"/>
  <c r="K76" i="23"/>
  <c r="M76" i="23"/>
  <c r="B77" i="23"/>
  <c r="C77" i="23"/>
  <c r="F77" i="23"/>
  <c r="E77" i="23"/>
  <c r="H77" i="23"/>
  <c r="G77" i="23"/>
  <c r="B78" i="23"/>
  <c r="C78" i="23"/>
  <c r="F78" i="23"/>
  <c r="E78" i="23"/>
  <c r="H78" i="23"/>
  <c r="G78" i="23"/>
  <c r="B79" i="23"/>
  <c r="C79" i="23"/>
  <c r="F79" i="23"/>
  <c r="E79" i="23"/>
  <c r="H79" i="23"/>
  <c r="G79" i="23"/>
  <c r="I78" i="23"/>
  <c r="I77" i="23"/>
  <c r="K78" i="23"/>
  <c r="L78" i="23"/>
  <c r="M78" i="23"/>
  <c r="I79" i="23"/>
  <c r="M79" i="23"/>
  <c r="K79" i="23"/>
  <c r="L79" i="23"/>
  <c r="K77" i="23"/>
  <c r="M77" i="23"/>
  <c r="L74" i="23"/>
  <c r="I72" i="23"/>
  <c r="L72" i="23"/>
  <c r="I76" i="23"/>
  <c r="L76" i="23"/>
  <c r="K73" i="23"/>
  <c r="L73" i="23"/>
  <c r="I69" i="23"/>
  <c r="I65" i="23"/>
  <c r="I59" i="23"/>
  <c r="I57" i="23"/>
  <c r="I55" i="23"/>
  <c r="I53" i="23"/>
  <c r="I51" i="23"/>
  <c r="I49" i="23"/>
  <c r="I47" i="23"/>
  <c r="I45" i="23"/>
  <c r="I43" i="23"/>
  <c r="I41" i="23"/>
  <c r="I39" i="23"/>
  <c r="I37" i="23"/>
  <c r="I35" i="23"/>
  <c r="I33" i="23"/>
  <c r="I31" i="23"/>
  <c r="I29" i="23"/>
  <c r="K71" i="23"/>
  <c r="L71" i="23"/>
  <c r="M71" i="23"/>
  <c r="K67" i="23"/>
  <c r="L67" i="23"/>
  <c r="M67" i="23"/>
  <c r="I63" i="23"/>
  <c r="I61" i="23"/>
  <c r="J79" i="23"/>
  <c r="J78" i="23"/>
  <c r="J77" i="23"/>
  <c r="J76" i="23"/>
  <c r="H75" i="23"/>
  <c r="J72" i="23"/>
  <c r="I70" i="23"/>
  <c r="M68" i="23"/>
  <c r="K68" i="23"/>
  <c r="L68" i="23"/>
  <c r="I66" i="23"/>
  <c r="I26" i="23"/>
  <c r="I22" i="23"/>
  <c r="I64" i="23"/>
  <c r="I62" i="23"/>
  <c r="I60" i="23"/>
  <c r="I58" i="23"/>
  <c r="I56" i="23"/>
  <c r="K55" i="23"/>
  <c r="L55" i="23"/>
  <c r="M55" i="23"/>
  <c r="I54" i="23"/>
  <c r="K53" i="23"/>
  <c r="L53" i="23"/>
  <c r="M53" i="23"/>
  <c r="I52" i="23"/>
  <c r="K51" i="23"/>
  <c r="L51" i="23"/>
  <c r="M51" i="23"/>
  <c r="I50" i="23"/>
  <c r="K49" i="23"/>
  <c r="L49" i="23"/>
  <c r="M49" i="23"/>
  <c r="I48" i="23"/>
  <c r="K47" i="23"/>
  <c r="L47" i="23"/>
  <c r="M47" i="23"/>
  <c r="I46" i="23"/>
  <c r="K45" i="23"/>
  <c r="L45" i="23"/>
  <c r="M45" i="23"/>
  <c r="I44" i="23"/>
  <c r="K43" i="23"/>
  <c r="L43" i="23"/>
  <c r="M43" i="23"/>
  <c r="I42" i="23"/>
  <c r="K41" i="23"/>
  <c r="L41" i="23"/>
  <c r="M41" i="23"/>
  <c r="I40" i="23"/>
  <c r="K39" i="23"/>
  <c r="L39" i="23"/>
  <c r="M39" i="23"/>
  <c r="I38" i="23"/>
  <c r="K37" i="23"/>
  <c r="L37" i="23"/>
  <c r="M37" i="23"/>
  <c r="I36" i="23"/>
  <c r="K35" i="23"/>
  <c r="L35" i="23"/>
  <c r="M35" i="23"/>
  <c r="I34" i="23"/>
  <c r="K33" i="23"/>
  <c r="L33" i="23"/>
  <c r="M33" i="23"/>
  <c r="I32" i="23"/>
  <c r="K31" i="23"/>
  <c r="L31" i="23"/>
  <c r="M31" i="23"/>
  <c r="I30" i="23"/>
  <c r="K29" i="23"/>
  <c r="L29" i="23"/>
  <c r="M29" i="23"/>
  <c r="I28" i="23"/>
  <c r="K69" i="23"/>
  <c r="L69" i="23"/>
  <c r="M69" i="23"/>
  <c r="K65" i="23"/>
  <c r="L65" i="23"/>
  <c r="M65" i="23"/>
  <c r="K63" i="23"/>
  <c r="L63" i="23"/>
  <c r="M63" i="23"/>
  <c r="K61" i="23"/>
  <c r="L61" i="23"/>
  <c r="M61" i="23"/>
  <c r="K59" i="23"/>
  <c r="L59" i="23"/>
  <c r="M59" i="23"/>
  <c r="K57" i="23"/>
  <c r="L57" i="23"/>
  <c r="M57" i="23"/>
  <c r="M72" i="23"/>
  <c r="M70" i="23"/>
  <c r="K70" i="23"/>
  <c r="L70" i="23"/>
  <c r="M66" i="23"/>
  <c r="K66" i="23"/>
  <c r="L66" i="23"/>
  <c r="I24" i="23"/>
  <c r="I20" i="23"/>
  <c r="I18" i="23"/>
  <c r="I16" i="23"/>
  <c r="J25" i="23"/>
  <c r="N19" i="23"/>
  <c r="H14" i="23"/>
  <c r="N77" i="23"/>
  <c r="K64" i="23"/>
  <c r="L64" i="23"/>
  <c r="K62" i="23"/>
  <c r="L62" i="23"/>
  <c r="K60" i="23"/>
  <c r="L60" i="23"/>
  <c r="K58" i="23"/>
  <c r="L58" i="23"/>
  <c r="K56" i="23"/>
  <c r="L56" i="23"/>
  <c r="K54" i="23"/>
  <c r="L54" i="23"/>
  <c r="K52" i="23"/>
  <c r="L52" i="23"/>
  <c r="K50" i="23"/>
  <c r="L50" i="23"/>
  <c r="K48" i="23"/>
  <c r="L48" i="23"/>
  <c r="K46" i="23"/>
  <c r="L46" i="23"/>
  <c r="K44" i="23"/>
  <c r="L44" i="23"/>
  <c r="K42" i="23"/>
  <c r="L42" i="23"/>
  <c r="K40" i="23"/>
  <c r="L40" i="23"/>
  <c r="K38" i="23"/>
  <c r="L38" i="23"/>
  <c r="K36" i="23"/>
  <c r="L36" i="23"/>
  <c r="K34" i="23"/>
  <c r="L34" i="23"/>
  <c r="K32" i="23"/>
  <c r="L32" i="23"/>
  <c r="K30" i="23"/>
  <c r="L30" i="23"/>
  <c r="K28" i="23"/>
  <c r="L28" i="23"/>
  <c r="K26" i="23"/>
  <c r="L26" i="23"/>
  <c r="K24" i="23"/>
  <c r="L24" i="23"/>
  <c r="K22" i="23"/>
  <c r="L22" i="23"/>
  <c r="K20" i="23"/>
  <c r="L20" i="23"/>
  <c r="K18" i="23"/>
  <c r="L18" i="23"/>
  <c r="K16" i="23"/>
  <c r="L16" i="23"/>
  <c r="M15" i="23"/>
  <c r="J18" i="23"/>
  <c r="K19" i="23"/>
  <c r="L19" i="23"/>
  <c r="K17" i="23"/>
  <c r="L17" i="23"/>
  <c r="N25" i="23"/>
  <c r="N73" i="23"/>
  <c r="N58" i="23"/>
  <c r="N62" i="23"/>
  <c r="N22" i="23"/>
  <c r="N72" i="23"/>
  <c r="I14" i="23"/>
  <c r="L14" i="23"/>
  <c r="N14" i="23"/>
  <c r="N53" i="23"/>
  <c r="N55" i="23"/>
  <c r="N57" i="23"/>
  <c r="N59" i="23"/>
  <c r="N61" i="23"/>
  <c r="N63" i="23"/>
  <c r="N66" i="23"/>
  <c r="N70" i="23"/>
  <c r="N27" i="23"/>
  <c r="N29" i="23"/>
  <c r="N31" i="23"/>
  <c r="N33" i="23"/>
  <c r="N35" i="23"/>
  <c r="N37" i="23"/>
  <c r="N39" i="23"/>
  <c r="N41" i="23"/>
  <c r="N43" i="23"/>
  <c r="N45" i="23"/>
  <c r="N47" i="23"/>
  <c r="N49" i="23"/>
  <c r="N51" i="23"/>
  <c r="N65" i="23"/>
  <c r="N68" i="23"/>
  <c r="N20" i="23"/>
  <c r="N16" i="23"/>
  <c r="N15" i="23"/>
  <c r="N23" i="23"/>
  <c r="N71" i="23"/>
  <c r="N28" i="23"/>
  <c r="N30" i="23"/>
  <c r="N32" i="23"/>
  <c r="N34" i="23"/>
  <c r="N36" i="23"/>
  <c r="N38" i="23"/>
  <c r="N40" i="23"/>
  <c r="N42" i="23"/>
  <c r="N44" i="23"/>
  <c r="N46" i="23"/>
  <c r="N48" i="23"/>
  <c r="N50" i="23"/>
  <c r="N52" i="23"/>
  <c r="N54" i="23"/>
  <c r="N56" i="23"/>
  <c r="N60" i="23"/>
  <c r="N64" i="23"/>
  <c r="N26" i="23"/>
  <c r="N74" i="23"/>
  <c r="N76" i="23"/>
  <c r="N21" i="23"/>
  <c r="N17" i="23"/>
  <c r="N18" i="23"/>
  <c r="N24" i="23"/>
  <c r="N67" i="23"/>
  <c r="N69" i="23"/>
  <c r="N75" i="23"/>
  <c r="I75" i="23"/>
  <c r="L75" i="23"/>
  <c r="L77" i="23"/>
  <c r="N79" i="23"/>
  <c r="N78" i="23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G12" i="1"/>
  <c r="H12" i="1"/>
  <c r="I12" i="1"/>
  <c r="J12" i="1"/>
  <c r="K12" i="1"/>
  <c r="L12" i="1"/>
  <c r="M12" i="1"/>
  <c r="N12" i="1"/>
  <c r="N14" i="1" s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D14" i="1" s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T14" i="1" s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J14" i="1" s="1"/>
  <c r="BK12" i="1"/>
  <c r="BL12" i="1"/>
  <c r="BM12" i="1"/>
  <c r="BN12" i="1"/>
  <c r="BO12" i="1"/>
  <c r="BP12" i="1"/>
  <c r="BQ12" i="1"/>
  <c r="BR12" i="1"/>
  <c r="F12" i="1"/>
  <c r="AM40" i="1"/>
  <c r="AN40" i="1"/>
  <c r="AL40" i="1"/>
  <c r="F25" i="1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38" i="5"/>
  <c r="E55" i="5"/>
  <c r="H35" i="1"/>
  <c r="H37" i="1" s="1"/>
  <c r="H38" i="1" s="1"/>
  <c r="I35" i="1"/>
  <c r="I37" i="1" s="1"/>
  <c r="I38" i="1" s="1"/>
  <c r="J35" i="1"/>
  <c r="J37" i="1" s="1"/>
  <c r="J38" i="1" s="1"/>
  <c r="K35" i="1"/>
  <c r="K37" i="1" s="1"/>
  <c r="K38" i="1" s="1"/>
  <c r="L35" i="1"/>
  <c r="L37" i="1" s="1"/>
  <c r="L38" i="1" s="1"/>
  <c r="M35" i="1"/>
  <c r="M37" i="1" s="1"/>
  <c r="M38" i="1" s="1"/>
  <c r="N35" i="1"/>
  <c r="N37" i="1" s="1"/>
  <c r="N38" i="1" s="1"/>
  <c r="O35" i="1"/>
  <c r="O37" i="1" s="1"/>
  <c r="O38" i="1" s="1"/>
  <c r="P35" i="1"/>
  <c r="P37" i="1" s="1"/>
  <c r="P38" i="1" s="1"/>
  <c r="Q35" i="1"/>
  <c r="Q37" i="1" s="1"/>
  <c r="Q38" i="1" s="1"/>
  <c r="R35" i="1"/>
  <c r="R37" i="1" s="1"/>
  <c r="R38" i="1" s="1"/>
  <c r="S35" i="1"/>
  <c r="S37" i="1" s="1"/>
  <c r="S38" i="1" s="1"/>
  <c r="T35" i="1"/>
  <c r="T37" i="1" s="1"/>
  <c r="T38" i="1" s="1"/>
  <c r="U35" i="1"/>
  <c r="U37" i="1" s="1"/>
  <c r="U38" i="1" s="1"/>
  <c r="V35" i="1"/>
  <c r="V37" i="1" s="1"/>
  <c r="V38" i="1" s="1"/>
  <c r="W35" i="1"/>
  <c r="W37" i="1" s="1"/>
  <c r="W38" i="1" s="1"/>
  <c r="X35" i="1"/>
  <c r="X37" i="1" s="1"/>
  <c r="X38" i="1" s="1"/>
  <c r="Y35" i="1"/>
  <c r="Y37" i="1" s="1"/>
  <c r="Y38" i="1" s="1"/>
  <c r="Z35" i="1"/>
  <c r="Z37" i="1" s="1"/>
  <c r="Z38" i="1" s="1"/>
  <c r="AA35" i="1"/>
  <c r="AA37" i="1" s="1"/>
  <c r="AA38" i="1" s="1"/>
  <c r="AB35" i="1"/>
  <c r="AB37" i="1" s="1"/>
  <c r="AB38" i="1" s="1"/>
  <c r="AC35" i="1"/>
  <c r="AC37" i="1" s="1"/>
  <c r="AC38" i="1" s="1"/>
  <c r="AD35" i="1"/>
  <c r="AD37" i="1" s="1"/>
  <c r="AD38" i="1" s="1"/>
  <c r="AE35" i="1"/>
  <c r="AE37" i="1" s="1"/>
  <c r="AE38" i="1" s="1"/>
  <c r="AF35" i="1"/>
  <c r="AF37" i="1" s="1"/>
  <c r="AF38" i="1" s="1"/>
  <c r="AG35" i="1"/>
  <c r="AG37" i="1" s="1"/>
  <c r="AG38" i="1" s="1"/>
  <c r="AH35" i="1"/>
  <c r="AH37" i="1" s="1"/>
  <c r="AH38" i="1" s="1"/>
  <c r="AI35" i="1"/>
  <c r="AI37" i="1" s="1"/>
  <c r="AI38" i="1" s="1"/>
  <c r="AJ35" i="1"/>
  <c r="AJ37" i="1" s="1"/>
  <c r="AJ38" i="1" s="1"/>
  <c r="AK35" i="1"/>
  <c r="AK37" i="1" s="1"/>
  <c r="AK38" i="1" s="1"/>
  <c r="AL35" i="1"/>
  <c r="AL37" i="1" s="1"/>
  <c r="AL38" i="1" s="1"/>
  <c r="AM35" i="1"/>
  <c r="AM37" i="1" s="1"/>
  <c r="AM38" i="1" s="1"/>
  <c r="AN35" i="1"/>
  <c r="AN37" i="1" s="1"/>
  <c r="AN38" i="1" s="1"/>
  <c r="AO35" i="1"/>
  <c r="AO37" i="1" s="1"/>
  <c r="AO38" i="1" s="1"/>
  <c r="AP35" i="1"/>
  <c r="AP37" i="1" s="1"/>
  <c r="AP38" i="1" s="1"/>
  <c r="AQ35" i="1"/>
  <c r="AQ37" i="1" s="1"/>
  <c r="AQ38" i="1" s="1"/>
  <c r="AR35" i="1"/>
  <c r="AR37" i="1" s="1"/>
  <c r="AR38" i="1" s="1"/>
  <c r="AS35" i="1"/>
  <c r="AS37" i="1" s="1"/>
  <c r="AS38" i="1" s="1"/>
  <c r="AT35" i="1"/>
  <c r="AT37" i="1" s="1"/>
  <c r="AT38" i="1" s="1"/>
  <c r="AU35" i="1"/>
  <c r="AU37" i="1" s="1"/>
  <c r="AU38" i="1" s="1"/>
  <c r="AV35" i="1"/>
  <c r="AV37" i="1" s="1"/>
  <c r="AV38" i="1" s="1"/>
  <c r="AW35" i="1"/>
  <c r="AW37" i="1" s="1"/>
  <c r="AW38" i="1" s="1"/>
  <c r="AX35" i="1"/>
  <c r="AX37" i="1" s="1"/>
  <c r="AX38" i="1" s="1"/>
  <c r="AY35" i="1"/>
  <c r="AY37" i="1" s="1"/>
  <c r="AY38" i="1" s="1"/>
  <c r="AZ35" i="1"/>
  <c r="AZ37" i="1" s="1"/>
  <c r="AZ38" i="1" s="1"/>
  <c r="BA35" i="1"/>
  <c r="BA37" i="1" s="1"/>
  <c r="BA38" i="1" s="1"/>
  <c r="BB35" i="1"/>
  <c r="BB37" i="1" s="1"/>
  <c r="BB38" i="1" s="1"/>
  <c r="BC35" i="1"/>
  <c r="BC37" i="1" s="1"/>
  <c r="BC38" i="1" s="1"/>
  <c r="BD35" i="1"/>
  <c r="BD37" i="1" s="1"/>
  <c r="BD38" i="1" s="1"/>
  <c r="BE35" i="1"/>
  <c r="BE37" i="1" s="1"/>
  <c r="BE38" i="1" s="1"/>
  <c r="BF35" i="1"/>
  <c r="BF37" i="1" s="1"/>
  <c r="BF38" i="1" s="1"/>
  <c r="BG35" i="1"/>
  <c r="BG37" i="1" s="1"/>
  <c r="BG38" i="1" s="1"/>
  <c r="BH35" i="1"/>
  <c r="BH37" i="1" s="1"/>
  <c r="BH38" i="1" s="1"/>
  <c r="BI35" i="1"/>
  <c r="BI37" i="1" s="1"/>
  <c r="BI38" i="1" s="1"/>
  <c r="BJ35" i="1"/>
  <c r="BJ37" i="1" s="1"/>
  <c r="BJ38" i="1" s="1"/>
  <c r="BK35" i="1"/>
  <c r="BK37" i="1" s="1"/>
  <c r="BK38" i="1" s="1"/>
  <c r="BL35" i="1"/>
  <c r="BL37" i="1" s="1"/>
  <c r="BL38" i="1" s="1"/>
  <c r="BM35" i="1"/>
  <c r="BM37" i="1" s="1"/>
  <c r="BM38" i="1" s="1"/>
  <c r="BN35" i="1"/>
  <c r="BN37" i="1" s="1"/>
  <c r="BN38" i="1" s="1"/>
  <c r="BO35" i="1"/>
  <c r="BO37" i="1" s="1"/>
  <c r="BO38" i="1" s="1"/>
  <c r="BP35" i="1"/>
  <c r="BP37" i="1" s="1"/>
  <c r="BP38" i="1" s="1"/>
  <c r="BQ35" i="1"/>
  <c r="BQ37" i="1" s="1"/>
  <c r="BQ38" i="1" s="1"/>
  <c r="BR35" i="1"/>
  <c r="BR37" i="1" s="1"/>
  <c r="BR38" i="1" s="1"/>
  <c r="E54" i="5"/>
  <c r="E56" i="5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I30" i="1"/>
  <c r="J30" i="1"/>
  <c r="K30" i="1"/>
  <c r="L30" i="1"/>
  <c r="M30" i="1"/>
  <c r="N30" i="1"/>
  <c r="O30" i="1"/>
  <c r="P30" i="1"/>
  <c r="Q30" i="1"/>
  <c r="R30" i="1"/>
  <c r="S30" i="1"/>
  <c r="T30" i="1"/>
  <c r="H30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J17" i="1"/>
  <c r="L17" i="1"/>
  <c r="O17" i="1"/>
  <c r="R17" i="1"/>
  <c r="T17" i="1"/>
  <c r="W17" i="1"/>
  <c r="Z17" i="1"/>
  <c r="AB17" i="1"/>
  <c r="AE17" i="1"/>
  <c r="AH17" i="1"/>
  <c r="AJ17" i="1"/>
  <c r="AM17" i="1"/>
  <c r="AP17" i="1"/>
  <c r="AR17" i="1"/>
  <c r="AU17" i="1"/>
  <c r="AX17" i="1"/>
  <c r="AZ17" i="1"/>
  <c r="BC17" i="1"/>
  <c r="BF17" i="1"/>
  <c r="BH17" i="1"/>
  <c r="BK17" i="1"/>
  <c r="BN17" i="1"/>
  <c r="BP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G18" i="1"/>
  <c r="G17" i="1"/>
  <c r="BQ14" i="1"/>
  <c r="BO14" i="1"/>
  <c r="BN14" i="1"/>
  <c r="BM14" i="1"/>
  <c r="BK14" i="1"/>
  <c r="BI14" i="1"/>
  <c r="BG14" i="1"/>
  <c r="BF14" i="1"/>
  <c r="BE14" i="1"/>
  <c r="BC14" i="1"/>
  <c r="BA14" i="1"/>
  <c r="AY14" i="1"/>
  <c r="AX14" i="1"/>
  <c r="AW14" i="1"/>
  <c r="AU14" i="1"/>
  <c r="AS14" i="1"/>
  <c r="AQ14" i="1"/>
  <c r="AP14" i="1"/>
  <c r="AO14" i="1"/>
  <c r="AM14" i="1"/>
  <c r="AK14" i="1"/>
  <c r="AI14" i="1"/>
  <c r="AH14" i="1"/>
  <c r="AG14" i="1"/>
  <c r="AE14" i="1"/>
  <c r="AC14" i="1"/>
  <c r="AA14" i="1"/>
  <c r="Z14" i="1"/>
  <c r="Y14" i="1"/>
  <c r="W14" i="1"/>
  <c r="U14" i="1"/>
  <c r="S14" i="1"/>
  <c r="R14" i="1"/>
  <c r="Q14" i="1"/>
  <c r="O14" i="1"/>
  <c r="M14" i="1"/>
  <c r="K14" i="1"/>
  <c r="J14" i="1"/>
  <c r="I14" i="1"/>
  <c r="G14" i="1"/>
  <c r="F14" i="1"/>
  <c r="BG19" i="1" l="1"/>
  <c r="BR17" i="1"/>
  <c r="BO17" i="1"/>
  <c r="BG17" i="1"/>
  <c r="BB17" i="1"/>
  <c r="AY17" i="1"/>
  <c r="AQ17" i="1"/>
  <c r="AI17" i="1"/>
  <c r="AL17" i="1"/>
  <c r="AA17" i="1"/>
  <c r="V17" i="1"/>
  <c r="S17" i="1"/>
  <c r="K17" i="1"/>
  <c r="BL17" i="1"/>
  <c r="BD17" i="1"/>
  <c r="AV17" i="1"/>
  <c r="AN17" i="1"/>
  <c r="AF17" i="1"/>
  <c r="X17" i="1"/>
  <c r="P17" i="1"/>
  <c r="H17" i="1"/>
  <c r="V14" i="1"/>
  <c r="V19" i="1" s="1"/>
  <c r="AL14" i="1"/>
  <c r="AL19" i="1" s="1"/>
  <c r="BB14" i="1"/>
  <c r="BB19" i="1" s="1"/>
  <c r="BR14" i="1"/>
  <c r="BJ17" i="1"/>
  <c r="AT17" i="1"/>
  <c r="AD17" i="1"/>
  <c r="N17" i="1"/>
  <c r="N19" i="1"/>
  <c r="AD19" i="1"/>
  <c r="AT19" i="1"/>
  <c r="BJ19" i="1"/>
  <c r="BQ17" i="1"/>
  <c r="BM17" i="1"/>
  <c r="BI17" i="1"/>
  <c r="BE17" i="1"/>
  <c r="BA17" i="1"/>
  <c r="AW17" i="1"/>
  <c r="AS17" i="1"/>
  <c r="AO17" i="1"/>
  <c r="AK17" i="1"/>
  <c r="AG17" i="1"/>
  <c r="D17" i="1" s="1"/>
  <c r="AC17" i="1"/>
  <c r="Y17" i="1"/>
  <c r="U17" i="1"/>
  <c r="Q17" i="1"/>
  <c r="M17" i="1"/>
  <c r="I17" i="1"/>
  <c r="J19" i="1"/>
  <c r="Z19" i="1"/>
  <c r="AP19" i="1"/>
  <c r="BF19" i="1"/>
  <c r="BR19" i="1"/>
  <c r="R19" i="1"/>
  <c r="AH19" i="1"/>
  <c r="AX19" i="1"/>
  <c r="BN19" i="1"/>
  <c r="G19" i="1"/>
  <c r="BK19" i="1"/>
  <c r="O19" i="1"/>
  <c r="AQ19" i="1"/>
  <c r="H14" i="1"/>
  <c r="H19" i="1" s="1"/>
  <c r="L14" i="1"/>
  <c r="L19" i="1" s="1"/>
  <c r="P14" i="1"/>
  <c r="T14" i="1"/>
  <c r="U19" i="1" s="1"/>
  <c r="X14" i="1"/>
  <c r="AB14" i="1"/>
  <c r="AC19" i="1" s="1"/>
  <c r="AF14" i="1"/>
  <c r="AG19" i="1" s="1"/>
  <c r="AJ14" i="1"/>
  <c r="AK19" i="1" s="1"/>
  <c r="AN14" i="1"/>
  <c r="AO19" i="1" s="1"/>
  <c r="AR14" i="1"/>
  <c r="AS19" i="1" s="1"/>
  <c r="AV14" i="1"/>
  <c r="AW19" i="1" s="1"/>
  <c r="AZ14" i="1"/>
  <c r="BA19" i="1" s="1"/>
  <c r="BD14" i="1"/>
  <c r="BE19" i="1" s="1"/>
  <c r="BH14" i="1"/>
  <c r="BI19" i="1" s="1"/>
  <c r="BL14" i="1"/>
  <c r="BM19" i="1" s="1"/>
  <c r="BP14" i="1"/>
  <c r="BQ19" i="1" s="1"/>
  <c r="BO19" i="1"/>
  <c r="K19" i="1"/>
  <c r="AN19" i="1"/>
  <c r="AU19" i="1"/>
  <c r="BC19" i="1"/>
  <c r="AY19" i="1"/>
  <c r="AI19" i="1"/>
  <c r="AM19" i="1"/>
  <c r="AE19" i="1"/>
  <c r="AA19" i="1"/>
  <c r="S19" i="1"/>
  <c r="D18" i="1"/>
  <c r="AV19" i="1"/>
  <c r="C18" i="1"/>
  <c r="E18" i="1"/>
  <c r="BL19" i="1" l="1"/>
  <c r="M19" i="1"/>
  <c r="BH19" i="1"/>
  <c r="W19" i="1"/>
  <c r="C17" i="1"/>
  <c r="E17" i="1"/>
  <c r="I19" i="1"/>
  <c r="AF19" i="1"/>
  <c r="BD19" i="1"/>
  <c r="AR19" i="1"/>
  <c r="AZ19" i="1"/>
  <c r="E19" i="1" s="1"/>
  <c r="Q19" i="1"/>
  <c r="P19" i="1"/>
  <c r="AJ19" i="1"/>
  <c r="AB19" i="1"/>
  <c r="T19" i="1"/>
  <c r="BP19" i="1"/>
  <c r="X19" i="1"/>
  <c r="Y19" i="1"/>
  <c r="D19" i="1" l="1"/>
  <c r="C19" i="1"/>
</calcChain>
</file>

<file path=xl/comments1.xml><?xml version="1.0" encoding="utf-8"?>
<comments xmlns="http://schemas.openxmlformats.org/spreadsheetml/2006/main">
  <authors>
    <author>Anwar Shaikh</author>
  </authors>
  <commentList>
    <comment ref="A37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P = Y - IBT - EC
P' = Y - IBT - EC'
EC' = EC*z, so 
P' = P + EC - EC'
     = P + EC(1-z)</t>
        </r>
      </text>
    </comment>
  </commentList>
</comments>
</file>

<file path=xl/comments2.xml><?xml version="1.0" encoding="utf-8"?>
<comments xmlns="http://schemas.openxmlformats.org/spreadsheetml/2006/main">
  <authors>
    <author>Anwar Shaikh</author>
  </authors>
  <commentList>
    <comment ref="B77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new data is in 2005 =100 so this is rebased to 1992</t>
        </r>
      </text>
    </comment>
    <comment ref="C77" authorId="0">
      <text>
        <r>
          <rPr>
            <b/>
            <sz val="8"/>
            <color indexed="81"/>
            <rFont val="Tahoma"/>
            <family val="2"/>
          </rPr>
          <t>Anwar Shaikh:
new data is in 2005 =100 so this is rebased to 1992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Anwar Shaikh</author>
  </authors>
  <commentList>
    <comment ref="D3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OECD.Stat, Monthly Monetary and Financial Statistics, Short Term Interest Rates (MEI) (downloaded 6/9/13)
</t>
        </r>
      </text>
    </comment>
    <comment ref="F3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OECD.Stat, Monthly Monetary and Financial Statistics, Short Term Interest Rates (MEI) (downloaded 6/9/13)</t>
        </r>
      </text>
    </comment>
    <comment ref="C54" authorId="0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EU rates track my OECD average rates quite well (since EU countries are  a big part of that). So I use the 2009 ratio of OECD/EU to fill in 2010-2011 OECD rates</t>
        </r>
      </text>
    </comment>
  </commentList>
</comments>
</file>

<file path=xl/sharedStrings.xml><?xml version="1.0" encoding="utf-8"?>
<sst xmlns="http://schemas.openxmlformats.org/spreadsheetml/2006/main" count="481" uniqueCount="305">
  <si>
    <t>Description</t>
  </si>
  <si>
    <t>Source</t>
  </si>
  <si>
    <t>Variable</t>
  </si>
  <si>
    <t>Corporate Maximum Rate of Profit</t>
  </si>
  <si>
    <t>Rcorp</t>
  </si>
  <si>
    <t>Corporate Average Rate of Profit</t>
  </si>
  <si>
    <t>rcorp</t>
  </si>
  <si>
    <t>Corporate Profit Share</t>
  </si>
  <si>
    <t>Profshcorp</t>
  </si>
  <si>
    <t>Corp Capacity Utilization</t>
  </si>
  <si>
    <t>Normal Corp Max Rate of Profit</t>
  </si>
  <si>
    <t>Normal Profit Share (HP100)</t>
  </si>
  <si>
    <t>Normal Corp  Rate of Profit</t>
  </si>
  <si>
    <t>Avg 69-82</t>
  </si>
  <si>
    <t>Avg 83-2007</t>
  </si>
  <si>
    <t>Average Profit Rate Data</t>
  </si>
  <si>
    <t>Incremental Profit Rate Data</t>
  </si>
  <si>
    <t>i</t>
  </si>
  <si>
    <t>NetIropcorp</t>
  </si>
  <si>
    <t>Netrcorp</t>
  </si>
  <si>
    <t>Avg 48-68</t>
  </si>
  <si>
    <t>Corporate Employee Compensation</t>
  </si>
  <si>
    <t>ECcorp</t>
  </si>
  <si>
    <t>wages and productivity business new.xlsx</t>
  </si>
  <si>
    <t>Counterfactual EC</t>
  </si>
  <si>
    <t>Eccorpalt</t>
  </si>
  <si>
    <t>Counterfactual Corp Profits</t>
  </si>
  <si>
    <t>Counterfactual Rate of Profit</t>
  </si>
  <si>
    <t>rcorpalt = rcorp*(Pcorpalt/Pcorp)</t>
  </si>
  <si>
    <t>rcorpalt</t>
  </si>
  <si>
    <t>Year</t>
  </si>
  <si>
    <t>OECD</t>
  </si>
  <si>
    <t>US</t>
  </si>
  <si>
    <t>DATA from File = RXRRULC OECD.xlsx</t>
  </si>
  <si>
    <t>EU</t>
  </si>
  <si>
    <t>OECD/EU</t>
  </si>
  <si>
    <t>Volcker Shock Int Rate Range 1979-81 only (for Graph)</t>
  </si>
  <si>
    <t>ioecd</t>
  </si>
  <si>
    <t>HH Debt Ratio</t>
  </si>
  <si>
    <t>HH Debt Service Ratio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</si>
  <si>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</si>
  <si>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</si>
  <si>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</si>
  <si>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</si>
  <si>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</si>
  <si>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</si>
  <si>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</si>
  <si>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</si>
  <si>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</si>
  <si>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</si>
  <si>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</si>
  <si>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</si>
  <si>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</si>
  <si>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</si>
  <si>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</si>
  <si>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</si>
  <si>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</si>
  <si>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</si>
  <si>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</si>
  <si>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</si>
  <si>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</si>
  <si>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</si>
  <si>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</si>
  <si>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</si>
  <si>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</si>
  <si>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</si>
  <si>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</si>
  <si>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</si>
  <si>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</si>
  <si>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</si>
  <si>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</si>
  <si>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</si>
  <si>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</si>
  <si>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</si>
  <si>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</si>
  <si>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</si>
  <si>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</si>
  <si>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</si>
  <si>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</si>
  <si>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</si>
  <si>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</si>
  <si>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</si>
  <si>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</si>
  <si>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</si>
  <si>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</si>
  <si>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</si>
  <si>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</si>
  <si>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</si>
  <si>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</si>
  <si>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</si>
  <si>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</si>
  <si>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</si>
  <si>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</si>
  <si>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</si>
  <si>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</si>
  <si>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</si>
  <si>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</si>
  <si>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</si>
  <si>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</si>
  <si>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</si>
  <si>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</si>
  <si>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</si>
  <si>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</si>
  <si>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</si>
  <si>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</si>
  <si>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</si>
  <si>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</si>
  <si>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</si>
  <si>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</si>
  <si>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</si>
  <si>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</si>
  <si>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</si>
  <si>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</si>
  <si>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</si>
  <si>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</si>
  <si>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</si>
  <si>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</si>
  <si>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</si>
  <si>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</si>
  <si>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</si>
  <si>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</si>
  <si>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</si>
  <si>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</si>
  <si>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</si>
  <si>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</si>
  <si>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</si>
  <si>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</si>
  <si>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</si>
  <si>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</si>
  <si>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</si>
  <si>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</si>
  <si>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</si>
  <si>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</si>
  <si>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</si>
  <si>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</si>
  <si>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</si>
  <si>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</si>
  <si>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</si>
  <si>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</si>
  <si>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</si>
  <si>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</si>
  <si>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</si>
  <si>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</si>
  <si>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</si>
  <si>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</si>
  <si>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</si>
  <si>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</si>
  <si>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</si>
  <si>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</si>
  <si>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</si>
  <si>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</si>
  <si>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</si>
  <si>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</si>
  <si>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</si>
  <si>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</si>
  <si>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</si>
  <si>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</si>
  <si>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</si>
  <si>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</si>
  <si>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</si>
  <si>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</si>
  <si>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</si>
  <si>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</si>
  <si>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</si>
  <si>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</si>
  <si>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</si>
  <si>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</si>
  <si>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</si>
  <si>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</si>
  <si>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</si>
  <si>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</si>
  <si>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</si>
  <si>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Date (Quarterly)</t>
  </si>
  <si>
    <t>zero line</t>
  </si>
  <si>
    <t>HHDebtIncRatio</t>
  </si>
  <si>
    <t>HHDispPersInc</t>
  </si>
  <si>
    <t>HHDebt</t>
  </si>
  <si>
    <t>Date</t>
  </si>
  <si>
    <t>2.1, line 27</t>
  </si>
  <si>
    <t>D3, line 2</t>
  </si>
  <si>
    <t xml:space="preserve">NIPA </t>
  </si>
  <si>
    <t>FOF</t>
  </si>
  <si>
    <t>DTFD%YPD.Q</t>
  </si>
  <si>
    <t>DTF%YPD.Q</t>
  </si>
  <si>
    <t>Time Period</t>
  </si>
  <si>
    <t>FOR/FOR/DTFD%YPD.Q</t>
  </si>
  <si>
    <t>FOR/FOR/DTF%YPD.Q</t>
  </si>
  <si>
    <t>Unique Identifier:</t>
  </si>
  <si>
    <t>NA</t>
  </si>
  <si>
    <t>Currency:</t>
  </si>
  <si>
    <t>Multiplier:</t>
  </si>
  <si>
    <t>Percentage</t>
  </si>
  <si>
    <t>Unit:</t>
  </si>
  <si>
    <t>Debt service ratio, seasonally adjusted</t>
  </si>
  <si>
    <t>Financial obligations ratio, seasonally adjusted</t>
  </si>
  <si>
    <t>Series Description</t>
  </si>
  <si>
    <t>Household Debt Service and Financial Obligations Ratios for Mar 13, 2013</t>
  </si>
  <si>
    <t>Download Page</t>
  </si>
  <si>
    <t xml:space="preserve">    Prob(F-statistic)</t>
  </si>
  <si>
    <t>Durbin-Watson stat</t>
  </si>
  <si>
    <t xml:space="preserve">    F-statistic</t>
  </si>
  <si>
    <t>Log likelihood</t>
  </si>
  <si>
    <t>Sum squared resid</t>
  </si>
  <si>
    <t>S.E. of regression</t>
  </si>
  <si>
    <t xml:space="preserve">    S.D. dependent var</t>
  </si>
  <si>
    <t xml:space="preserve">    Mean dependent var</t>
  </si>
  <si>
    <t>Trend Real Wage Relative to Productivity (index to 100 in 1947)</t>
  </si>
  <si>
    <t>Actual Real Wage Relative to Productivity (index to 100 in 1947)</t>
  </si>
  <si>
    <t>Adj Real Hrly EC</t>
  </si>
  <si>
    <t>Real Hrly EC 1958=100</t>
  </si>
  <si>
    <t>Productivity 1958=100</t>
  </si>
  <si>
    <t>Z = ECTREND/EC</t>
  </si>
  <si>
    <t>REALECF6081 (TREND)</t>
  </si>
  <si>
    <t>Ratio of Producivity to Real EC</t>
  </si>
  <si>
    <t>Real Hrly EC 1982=100</t>
  </si>
  <si>
    <t>Productivity 1982=100</t>
  </si>
  <si>
    <t>Real Hrly EC</t>
  </si>
  <si>
    <t>Productivity</t>
  </si>
  <si>
    <t>BLS DATA</t>
  </si>
  <si>
    <t>See Productivity and Wages.xls, and Corp Rop.xls</t>
  </si>
  <si>
    <t xml:space="preserve">    Schwarz criterion</t>
  </si>
  <si>
    <t>Adjusted R-squared</t>
  </si>
  <si>
    <t xml:space="preserve">what they would have been if real wages had stayed on their golden age path. </t>
  </si>
  <si>
    <t xml:space="preserve">    Akaike info criterion</t>
  </si>
  <si>
    <t>R-squared</t>
  </si>
  <si>
    <t xml:space="preserve">The ratio of realec to realecf is then used to adjust profit to show </t>
  </si>
  <si>
    <t>LOG(PRODUCTIVITY)</t>
  </si>
  <si>
    <t xml:space="preserve">(time trend is not statistically significant). The trend is projected into 1982-2012. </t>
  </si>
  <si>
    <t>C</t>
  </si>
  <si>
    <t xml:space="preserve">modest counterfactual wage path than using the whole period from 1947-1981, </t>
  </si>
  <si>
    <t xml:space="preserve">Prob.  </t>
  </si>
  <si>
    <t>t-Statistic</t>
  </si>
  <si>
    <t>Std. Error</t>
  </si>
  <si>
    <t>Coefficient</t>
  </si>
  <si>
    <t xml:space="preserve">See eqlneclnyt, realecf, and graphecforecast. This gives a more </t>
  </si>
  <si>
    <t>Sample: 1960 1981</t>
  </si>
  <si>
    <t xml:space="preserve">This trend was captured by regressing lnec on lny over 1960-1981 </t>
  </si>
  <si>
    <t>Date: 06/21/10   Time: 17:02</t>
  </si>
  <si>
    <r>
      <t>Sector:     </t>
    </r>
    <r>
      <rPr>
        <sz val="10"/>
        <color theme="1"/>
        <rFont val="Arial Unicode MS"/>
        <family val="2"/>
      </rPr>
      <t>Business</t>
    </r>
  </si>
  <si>
    <t>shows that if follows a steady trend in the "golden age" 1958-1981.</t>
  </si>
  <si>
    <t>Method: Least Squares</t>
  </si>
  <si>
    <r>
      <t>Measure:    </t>
    </r>
    <r>
      <rPr>
        <sz val="10"/>
        <color theme="1"/>
        <rFont val="Arial Unicode MS"/>
        <family val="2"/>
      </rPr>
      <t>Real Hourly Compensation</t>
    </r>
  </si>
  <si>
    <r>
      <t>Measure:    </t>
    </r>
    <r>
      <rPr>
        <sz val="10"/>
        <color theme="1"/>
        <rFont val="Arial Unicode MS"/>
        <family val="2"/>
      </rPr>
      <t>Output Per Hour</t>
    </r>
  </si>
  <si>
    <t xml:space="preserve">Ratio of productivity (y) to real employee compensation (ec) </t>
  </si>
  <si>
    <t>Dependent Variable: LOG(REALEC)</t>
  </si>
  <si>
    <r>
      <t>Duration:   </t>
    </r>
    <r>
      <rPr>
        <sz val="10"/>
        <color theme="1"/>
        <rFont val="Arial Unicode MS"/>
        <family val="2"/>
      </rPr>
      <t>index, 1992 = 100</t>
    </r>
  </si>
  <si>
    <t>EVIEWS FILE: prodwage.wf1, eqlneclnyt6081 [Rate of Profit Aggregate Folder]</t>
  </si>
  <si>
    <r>
      <t>Series Id:  </t>
    </r>
    <r>
      <rPr>
        <sz val="10"/>
        <color theme="1"/>
        <rFont val="Arial Unicode MS"/>
        <family val="2"/>
      </rPr>
      <t>PRS84006153</t>
    </r>
  </si>
  <si>
    <r>
      <t>Series Id:  </t>
    </r>
    <r>
      <rPr>
        <sz val="10"/>
        <color theme="1"/>
        <rFont val="Arial Unicode MS"/>
        <family val="2"/>
      </rPr>
      <t>PRS84006093</t>
    </r>
  </si>
  <si>
    <t>www.bls.org</t>
  </si>
  <si>
    <t>BLS, Major Sector Productivity and Costs Index</t>
  </si>
  <si>
    <t>Appendix Table 6.8A.3</t>
  </si>
  <si>
    <t>Rcorpn</t>
  </si>
  <si>
    <t>Profshcorpn</t>
  </si>
  <si>
    <t>rcorpn</t>
  </si>
  <si>
    <t>gRcorpn</t>
  </si>
  <si>
    <t>gprofshcorpn</t>
  </si>
  <si>
    <t>grcorpn</t>
  </si>
  <si>
    <t>Growth rates of normal values for Table 16.1</t>
  </si>
  <si>
    <t>Interest Rate (3-mo. T-Bill)</t>
  </si>
  <si>
    <t>Net Corporate Rate of Profit</t>
  </si>
  <si>
    <t>rcorp - I</t>
  </si>
  <si>
    <t>Net Incremental Real Corporate Rate of Profit</t>
  </si>
  <si>
    <t>lagged value</t>
  </si>
  <si>
    <t xml:space="preserve">HP 100 filtered </t>
  </si>
  <si>
    <t>ec' = Ectrend/EC (Set = 1 until 1982)</t>
  </si>
  <si>
    <t>ec'</t>
  </si>
  <si>
    <t>Eccorp*ec'</t>
  </si>
  <si>
    <r>
      <rPr>
        <i/>
        <sz val="9"/>
        <color theme="1"/>
        <rFont val="Calibri"/>
        <family val="2"/>
        <scheme val="minor"/>
      </rPr>
      <t>Eco. Report President</t>
    </r>
    <r>
      <rPr>
        <sz val="9"/>
        <color theme="1"/>
        <rFont val="Calibri"/>
        <family val="2"/>
        <scheme val="minor"/>
      </rPr>
      <t>, T73</t>
    </r>
  </si>
  <si>
    <t xml:space="preserve">Figure </t>
  </si>
  <si>
    <t>Fig16.1Longwaves</t>
  </si>
  <si>
    <t>Appendices 5.2 Sources and Methods, and 5.3 Data Tables</t>
  </si>
  <si>
    <t>Fig16.2ropsnorm</t>
  </si>
  <si>
    <t>Sheet = Ch 16 data</t>
  </si>
  <si>
    <t>Fig16.3 wr yr</t>
  </si>
  <si>
    <t>Sheet = WageprodData</t>
  </si>
  <si>
    <t>Fig16.4rop&amp;alt</t>
  </si>
  <si>
    <t>Fig16.5ropirop</t>
  </si>
  <si>
    <t>Fig16.6USintrate</t>
  </si>
  <si>
    <t>Fig16.7USOECDint</t>
  </si>
  <si>
    <t>Fig16.8netropirop</t>
  </si>
  <si>
    <t>Fig16.9HHDebInc</t>
  </si>
  <si>
    <t>Fig16.10DebServ</t>
  </si>
  <si>
    <t>Sheet = DebtInRatio</t>
  </si>
  <si>
    <t>Sheet = DebtServRatio</t>
  </si>
  <si>
    <t>OECD Int Rate</t>
  </si>
  <si>
    <t>NetiropcorpHP100</t>
  </si>
  <si>
    <t>NetiropcorpHP100(-1)</t>
  </si>
  <si>
    <t>Appendix 6.8.II.7</t>
  </si>
  <si>
    <r>
      <t>u</t>
    </r>
    <r>
      <rPr>
        <vertAlign val="subscript"/>
        <sz val="9"/>
        <color theme="1"/>
        <rFont val="Calibri"/>
        <family val="2"/>
        <scheme val="minor"/>
      </rPr>
      <t>K</t>
    </r>
  </si>
  <si>
    <t>Current (Real) Incremental Profit Rate</t>
  </si>
  <si>
    <t>iroprcorp</t>
  </si>
  <si>
    <t xml:space="preserve">Adjusted NOS </t>
  </si>
  <si>
    <t>NOScorp</t>
  </si>
  <si>
    <t>NOScorpalt</t>
  </si>
  <si>
    <t>NOScorp +(ECcorp-ECcorpalt)</t>
  </si>
  <si>
    <t>ECcorpalt</t>
  </si>
  <si>
    <t>NetIropcorpHP100</t>
  </si>
  <si>
    <t>NetIropcorpHP100(-1)</t>
  </si>
  <si>
    <t>Iroprcorp - i</t>
  </si>
  <si>
    <t>iroprcorpHP100</t>
  </si>
  <si>
    <t>iroprcorpHP100(-1)</t>
  </si>
  <si>
    <t>Tables are designated by "T"</t>
  </si>
  <si>
    <t xml:space="preserve">Fig 16.1: US and UK WPI in Gold oz., as in Figures 5.5-5.6 previously, de-trended by removing a fitted cubic time trend.  </t>
  </si>
  <si>
    <t>See Appendices 5.2 Sources and Methods, and 5.3 Data Tables for the chart and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</si>
</sst>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#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sz val="9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name val="Times New Roman"/>
      <family val="1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u/>
      <sz val="11"/>
      <color theme="10"/>
      <name val="Calibri"/>
      <family val="2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vertAlign val="subscript"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AE9F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4" fillId="0" borderId="0" xfId="0" applyFont="1" applyFill="1"/>
    <xf numFmtId="0" fontId="8" fillId="0" borderId="0" xfId="0" applyFont="1" applyFill="1" applyBorder="1"/>
    <xf numFmtId="0" fontId="3" fillId="0" borderId="0" xfId="0" applyFont="1" applyFill="1"/>
    <xf numFmtId="0" fontId="5" fillId="0" borderId="0" xfId="0" applyFont="1" applyFill="1"/>
    <xf numFmtId="0" fontId="0" fillId="0" borderId="0" xfId="0" applyFill="1"/>
    <xf numFmtId="10" fontId="4" fillId="0" borderId="0" xfId="1" applyNumberFormat="1" applyFont="1" applyFill="1"/>
    <xf numFmtId="0" fontId="9" fillId="0" borderId="0" xfId="0" applyFont="1" applyFill="1"/>
    <xf numFmtId="0" fontId="10" fillId="0" borderId="0" xfId="0" applyFont="1" applyFill="1" applyBorder="1"/>
    <xf numFmtId="0" fontId="8" fillId="0" borderId="0" xfId="0" applyFont="1" applyFill="1" applyBorder="1" applyAlignment="1">
      <alignment vertical="top" wrapText="1"/>
    </xf>
    <xf numFmtId="10" fontId="10" fillId="0" borderId="0" xfId="0" applyNumberFormat="1" applyFont="1" applyFill="1" applyBorder="1"/>
    <xf numFmtId="10" fontId="0" fillId="0" borderId="0" xfId="1" applyNumberFormat="1" applyFont="1"/>
    <xf numFmtId="10" fontId="4" fillId="0" borderId="0" xfId="0" applyNumberFormat="1" applyFont="1" applyFill="1"/>
    <xf numFmtId="0" fontId="3" fillId="0" borderId="0" xfId="0" applyFont="1" applyFill="1" applyAlignment="1">
      <alignment wrapText="1"/>
    </xf>
    <xf numFmtId="2" fontId="0" fillId="0" borderId="0" xfId="0" applyNumberFormat="1"/>
    <xf numFmtId="10" fontId="14" fillId="0" borderId="0" xfId="1" applyNumberFormat="1" applyFont="1" applyFill="1" applyBorder="1" applyAlignment="1">
      <alignment horizontal="center"/>
    </xf>
    <xf numFmtId="10" fontId="14" fillId="4" borderId="0" xfId="1" applyNumberFormat="1" applyFont="1" applyFill="1" applyBorder="1"/>
    <xf numFmtId="10" fontId="14" fillId="5" borderId="0" xfId="1" applyNumberFormat="1" applyFont="1" applyFill="1" applyBorder="1"/>
    <xf numFmtId="10" fontId="14" fillId="0" borderId="0" xfId="1" applyNumberFormat="1" applyFont="1" applyFill="1" applyBorder="1"/>
    <xf numFmtId="0" fontId="11" fillId="0" borderId="0" xfId="0" applyFont="1" applyFill="1" applyAlignment="1">
      <alignment horizontal="left"/>
    </xf>
    <xf numFmtId="0" fontId="4" fillId="0" borderId="0" xfId="0" applyFont="1" applyFill="1" applyAlignment="1">
      <alignment wrapText="1"/>
    </xf>
    <xf numFmtId="0" fontId="15" fillId="0" borderId="0" xfId="0" applyFont="1" applyFill="1"/>
    <xf numFmtId="0" fontId="2" fillId="0" borderId="0" xfId="0" applyFont="1" applyFill="1"/>
    <xf numFmtId="165" fontId="4" fillId="0" borderId="0" xfId="0" applyNumberFormat="1" applyFont="1" applyFill="1"/>
    <xf numFmtId="0" fontId="16" fillId="0" borderId="0" xfId="0" applyFont="1" applyAlignment="1">
      <alignment vertical="center"/>
    </xf>
    <xf numFmtId="0" fontId="7" fillId="0" borderId="0" xfId="2"/>
    <xf numFmtId="0" fontId="7" fillId="0" borderId="1" xfId="2" applyBorder="1" applyAlignment="1">
      <alignment vertical="center" wrapText="1"/>
    </xf>
    <xf numFmtId="0" fontId="7" fillId="2" borderId="0" xfId="2" applyFill="1"/>
    <xf numFmtId="0" fontId="7" fillId="6" borderId="2" xfId="2" applyFill="1" applyBorder="1"/>
    <xf numFmtId="0" fontId="7" fillId="7" borderId="3" xfId="2" applyFill="1" applyBorder="1"/>
    <xf numFmtId="0" fontId="17" fillId="7" borderId="0" xfId="2" applyFont="1" applyFill="1"/>
    <xf numFmtId="0" fontId="18" fillId="7" borderId="0" xfId="2" applyFont="1" applyFill="1"/>
    <xf numFmtId="164" fontId="0" fillId="0" borderId="0" xfId="0" applyNumberFormat="1"/>
    <xf numFmtId="0" fontId="2" fillId="8" borderId="4" xfId="0" applyFont="1" applyFill="1" applyBorder="1" applyAlignment="1">
      <alignment horizontal="center" vertical="center" wrapText="1"/>
    </xf>
    <xf numFmtId="166" fontId="19" fillId="0" borderId="0" xfId="0" applyNumberFormat="1" applyFont="1" applyAlignment="1">
      <alignment horizontal="right"/>
    </xf>
    <xf numFmtId="0" fontId="2" fillId="9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0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/>
    </xf>
    <xf numFmtId="0" fontId="0" fillId="0" borderId="8" xfId="0" applyBorder="1"/>
    <xf numFmtId="0" fontId="21" fillId="0" borderId="5" xfId="0" applyFont="1" applyBorder="1" applyAlignment="1">
      <alignment horizontal="left" vertical="top"/>
    </xf>
    <xf numFmtId="0" fontId="0" fillId="2" borderId="0" xfId="0" applyNumberFormat="1" applyFill="1"/>
    <xf numFmtId="0" fontId="0" fillId="3" borderId="0" xfId="0" applyFill="1"/>
    <xf numFmtId="0" fontId="21" fillId="0" borderId="9" xfId="0" applyFont="1" applyBorder="1" applyAlignment="1">
      <alignment horizontal="left" vertical="top"/>
    </xf>
    <xf numFmtId="0" fontId="0" fillId="0" borderId="10" xfId="0" applyBorder="1"/>
    <xf numFmtId="0" fontId="22" fillId="2" borderId="0" xfId="4" applyFill="1" applyAlignment="1" applyProtection="1"/>
    <xf numFmtId="0" fontId="23" fillId="0" borderId="0" xfId="0" applyFont="1" applyFill="1" applyBorder="1"/>
    <xf numFmtId="0" fontId="14" fillId="0" borderId="0" xfId="0" applyFont="1" applyFill="1" applyBorder="1"/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wrapText="1"/>
    </xf>
    <xf numFmtId="0" fontId="23" fillId="0" borderId="0" xfId="0" applyFont="1" applyFill="1" applyBorder="1" applyAlignment="1">
      <alignment vertical="top" wrapText="1"/>
    </xf>
    <xf numFmtId="0" fontId="24" fillId="0" borderId="0" xfId="0" applyFont="1" applyFill="1" applyBorder="1" applyAlignment="1">
      <alignment horizontal="center"/>
    </xf>
    <xf numFmtId="10" fontId="8" fillId="0" borderId="0" xfId="1" applyNumberFormat="1" applyFont="1" applyFill="1" applyBorder="1"/>
    <xf numFmtId="10" fontId="8" fillId="0" borderId="0" xfId="0" applyNumberFormat="1" applyFont="1" applyFill="1" applyBorder="1"/>
    <xf numFmtId="0" fontId="8" fillId="0" borderId="0" xfId="0" applyFont="1" applyFill="1" applyBorder="1" applyAlignment="1"/>
    <xf numFmtId="0" fontId="26" fillId="0" borderId="0" xfId="0" applyFont="1" applyFill="1" applyAlignment="1">
      <alignment horizontal="left"/>
    </xf>
    <xf numFmtId="0" fontId="5" fillId="0" borderId="0" xfId="0" applyFont="1" applyFill="1" applyAlignment="1">
      <alignment vertical="top" wrapText="1"/>
    </xf>
    <xf numFmtId="0" fontId="27" fillId="0" borderId="0" xfId="0" applyFont="1"/>
    <xf numFmtId="0" fontId="28" fillId="0" borderId="0" xfId="0" applyFont="1" applyFill="1" applyBorder="1"/>
    <xf numFmtId="10" fontId="10" fillId="0" borderId="0" xfId="1" applyNumberFormat="1" applyFont="1" applyFill="1" applyBorder="1" applyAlignment="1">
      <alignment vertical="top" wrapText="1"/>
    </xf>
    <xf numFmtId="10" fontId="10" fillId="0" borderId="0" xfId="1" applyNumberFormat="1" applyFont="1" applyFill="1" applyBorder="1"/>
    <xf numFmtId="10" fontId="10" fillId="0" borderId="0" xfId="1" applyNumberFormat="1" applyFont="1" applyFill="1" applyBorder="1" applyAlignment="1"/>
    <xf numFmtId="10" fontId="29" fillId="0" borderId="0" xfId="0" applyNumberFormat="1" applyFont="1" applyFill="1"/>
    <xf numFmtId="0" fontId="5" fillId="0" borderId="0" xfId="0" applyFont="1" applyFill="1" applyAlignment="1">
      <alignment horizontal="left" vertical="center" wrapText="1"/>
    </xf>
    <xf numFmtId="0" fontId="10" fillId="0" borderId="0" xfId="0" applyFont="1" applyFill="1" applyBorder="1" applyAlignment="1">
      <alignment vertical="top" wrapText="1"/>
    </xf>
    <xf numFmtId="10" fontId="0" fillId="0" borderId="0" xfId="1" applyNumberFormat="1" applyFont="1" applyFill="1"/>
    <xf numFmtId="0" fontId="8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/>
    </xf>
    <xf numFmtId="0" fontId="0" fillId="0" borderId="0" xfId="0" applyFont="1" applyFill="1"/>
    <xf numFmtId="10" fontId="0" fillId="0" borderId="0" xfId="0" applyNumberFormat="1" applyFill="1"/>
    <xf numFmtId="0" fontId="6" fillId="0" borderId="0" xfId="0" applyFont="1" applyFill="1" applyAlignment="1">
      <alignment horizontal="center"/>
    </xf>
    <xf numFmtId="0" fontId="4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4" fontId="10" fillId="0" borderId="0" xfId="0" applyNumberFormat="1" applyFont="1" applyFill="1" applyBorder="1"/>
    <xf numFmtId="0" fontId="4" fillId="0" borderId="0" xfId="0" applyFont="1" applyFill="1" applyAlignment="1">
      <alignment horizontal="center" vertical="center" wrapText="1"/>
    </xf>
    <xf numFmtId="0" fontId="30" fillId="0" borderId="0" xfId="0" applyFont="1" applyFill="1" applyBorder="1" applyAlignment="1">
      <alignment vertical="top" wrapText="1"/>
    </xf>
    <xf numFmtId="0" fontId="30" fillId="0" borderId="0" xfId="0" applyFont="1" applyFill="1" applyBorder="1" applyAlignment="1">
      <alignment horizontal="center" vertical="center" wrapText="1"/>
    </xf>
    <xf numFmtId="2" fontId="0" fillId="0" borderId="0" xfId="0" applyNumberFormat="1" applyFill="1"/>
    <xf numFmtId="2" fontId="4" fillId="0" borderId="0" xfId="0" applyNumberFormat="1" applyFont="1" applyFill="1"/>
    <xf numFmtId="11" fontId="4" fillId="0" borderId="0" xfId="0" applyNumberFormat="1" applyFont="1" applyFill="1"/>
    <xf numFmtId="0" fontId="32" fillId="0" borderId="0" xfId="0" applyFont="1"/>
    <xf numFmtId="0" fontId="20" fillId="2" borderId="7" xfId="0" applyFont="1" applyFill="1" applyBorder="1" applyAlignment="1">
      <alignment horizontal="left" vertical="top" wrapText="1"/>
    </xf>
    <xf numFmtId="0" fontId="20" fillId="2" borderId="6" xfId="0" applyFont="1" applyFill="1" applyBorder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3.xml"/><Relationship Id="rId18" Type="http://schemas.openxmlformats.org/officeDocument/2006/relationships/worksheet" Target="worksheets/sheet8.xml"/><Relationship Id="rId3" Type="http://schemas.openxmlformats.org/officeDocument/2006/relationships/chartsheet" Target="chartsheets/sheet1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worksheet" Target="worksheets/sheet5.xml"/><Relationship Id="rId10" Type="http://schemas.openxmlformats.org/officeDocument/2006/relationships/chartsheet" Target="chartsheets/sheet8.xml"/><Relationship Id="rId19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 Corporat</a:t>
            </a:r>
            <a:r>
              <a:rPr lang="en-US" baseline="0"/>
              <a:t>e Rate of Profit, 1947-2011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7572258915647577E-2"/>
          <c:y val="7.993414703594777E-2"/>
          <c:w val="0.89906703852664616"/>
          <c:h val="0.86273959923840393"/>
        </c:manualLayout>
      </c:layout>
      <c:lineChart>
        <c:grouping val="standard"/>
        <c:varyColors val="0"/>
        <c:ser>
          <c:idx val="1"/>
          <c:order val="0"/>
          <c:tx>
            <c:strRef>
              <c:f>'Ch 16 data'!$D$7</c:f>
              <c:strCache>
                <c:ptCount val="1"/>
                <c:pt idx="0">
                  <c:v>rcorp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data'!$F$7:$BR$7</c:f>
              <c:numCache>
                <c:formatCode>0.00%</c:formatCode>
                <c:ptCount val="65"/>
                <c:pt idx="0">
                  <c:v>0.14374603640540254</c:v>
                </c:pt>
                <c:pt idx="1">
                  <c:v>0.16396352075207296</c:v>
                </c:pt>
                <c:pt idx="2">
                  <c:v>0.13697282511983766</c:v>
                </c:pt>
                <c:pt idx="3">
                  <c:v>0.16228416548642546</c:v>
                </c:pt>
                <c:pt idx="4">
                  <c:v>0.15983193761787534</c:v>
                </c:pt>
                <c:pt idx="5">
                  <c:v>0.13620216468779806</c:v>
                </c:pt>
                <c:pt idx="6">
                  <c:v>0.12804516198321894</c:v>
                </c:pt>
                <c:pt idx="7">
                  <c:v>0.11761730156428303</c:v>
                </c:pt>
                <c:pt idx="8">
                  <c:v>0.1435878447213399</c:v>
                </c:pt>
                <c:pt idx="9">
                  <c:v>0.12550926044329552</c:v>
                </c:pt>
                <c:pt idx="10">
                  <c:v>0.112054004990328</c:v>
                </c:pt>
                <c:pt idx="11">
                  <c:v>9.5054317592488641E-2</c:v>
                </c:pt>
                <c:pt idx="12">
                  <c:v>0.11381225569497803</c:v>
                </c:pt>
                <c:pt idx="13">
                  <c:v>0.10570307830889546</c:v>
                </c:pt>
                <c:pt idx="14">
                  <c:v>0.10516657955813914</c:v>
                </c:pt>
                <c:pt idx="15">
                  <c:v>0.11607789249317023</c:v>
                </c:pt>
                <c:pt idx="16">
                  <c:v>0.12143069203177961</c:v>
                </c:pt>
                <c:pt idx="17">
                  <c:v>0.12813738591915966</c:v>
                </c:pt>
                <c:pt idx="18">
                  <c:v>0.13818209006945084</c:v>
                </c:pt>
                <c:pt idx="19">
                  <c:v>0.13780250259730348</c:v>
                </c:pt>
                <c:pt idx="20">
                  <c:v>0.12474159436916939</c:v>
                </c:pt>
                <c:pt idx="21">
                  <c:v>0.12385229726692695</c:v>
                </c:pt>
                <c:pt idx="22">
                  <c:v>0.11249342865334706</c:v>
                </c:pt>
                <c:pt idx="23">
                  <c:v>9.3316823727352866E-2</c:v>
                </c:pt>
                <c:pt idx="24">
                  <c:v>9.5633540573712553E-2</c:v>
                </c:pt>
                <c:pt idx="25">
                  <c:v>9.8414551200063552E-2</c:v>
                </c:pt>
                <c:pt idx="26">
                  <c:v>9.8506632073837239E-2</c:v>
                </c:pt>
                <c:pt idx="27">
                  <c:v>8.4508135966831432E-2</c:v>
                </c:pt>
                <c:pt idx="28">
                  <c:v>8.0262903524936688E-2</c:v>
                </c:pt>
                <c:pt idx="29">
                  <c:v>8.2822473401140337E-2</c:v>
                </c:pt>
                <c:pt idx="30">
                  <c:v>8.6158852860037966E-2</c:v>
                </c:pt>
                <c:pt idx="31">
                  <c:v>8.7859246888513418E-2</c:v>
                </c:pt>
                <c:pt idx="32">
                  <c:v>8.0104596994168886E-2</c:v>
                </c:pt>
                <c:pt idx="33">
                  <c:v>6.7360883638409169E-2</c:v>
                </c:pt>
                <c:pt idx="34">
                  <c:v>6.9632314572834308E-2</c:v>
                </c:pt>
                <c:pt idx="35">
                  <c:v>5.9876020520342882E-2</c:v>
                </c:pt>
                <c:pt idx="36">
                  <c:v>6.5276485109428808E-2</c:v>
                </c:pt>
                <c:pt idx="37">
                  <c:v>7.7092955645063702E-2</c:v>
                </c:pt>
                <c:pt idx="38">
                  <c:v>7.5699648677669762E-2</c:v>
                </c:pt>
                <c:pt idx="39">
                  <c:v>6.8992551069955221E-2</c:v>
                </c:pt>
                <c:pt idx="40">
                  <c:v>7.2522722925103644E-2</c:v>
                </c:pt>
                <c:pt idx="41">
                  <c:v>7.7326709710848124E-2</c:v>
                </c:pt>
                <c:pt idx="42">
                  <c:v>7.5936949248287811E-2</c:v>
                </c:pt>
                <c:pt idx="43">
                  <c:v>7.2000735105366379E-2</c:v>
                </c:pt>
                <c:pt idx="44">
                  <c:v>6.9375725449514633E-2</c:v>
                </c:pt>
                <c:pt idx="45">
                  <c:v>6.9100711485927363E-2</c:v>
                </c:pt>
                <c:pt idx="46">
                  <c:v>6.9618153175052405E-2</c:v>
                </c:pt>
                <c:pt idx="47">
                  <c:v>7.5209740086175092E-2</c:v>
                </c:pt>
                <c:pt idx="48">
                  <c:v>7.8777192542609828E-2</c:v>
                </c:pt>
                <c:pt idx="49">
                  <c:v>8.2997810858158494E-2</c:v>
                </c:pt>
                <c:pt idx="50">
                  <c:v>8.6039875264558766E-2</c:v>
                </c:pt>
                <c:pt idx="51">
                  <c:v>7.9379445982251703E-2</c:v>
                </c:pt>
                <c:pt idx="52">
                  <c:v>7.8757840598749601E-2</c:v>
                </c:pt>
                <c:pt idx="53">
                  <c:v>7.3755049062107308E-2</c:v>
                </c:pt>
                <c:pt idx="54">
                  <c:v>6.5929291387084796E-2</c:v>
                </c:pt>
                <c:pt idx="55">
                  <c:v>6.5520678888437919E-2</c:v>
                </c:pt>
                <c:pt idx="56">
                  <c:v>6.7129641638587478E-2</c:v>
                </c:pt>
                <c:pt idx="57">
                  <c:v>7.75171954142376E-2</c:v>
                </c:pt>
                <c:pt idx="58">
                  <c:v>8.2195330303336089E-2</c:v>
                </c:pt>
                <c:pt idx="59">
                  <c:v>8.2221749948446471E-2</c:v>
                </c:pt>
                <c:pt idx="60">
                  <c:v>7.1024219335660638E-2</c:v>
                </c:pt>
                <c:pt idx="61">
                  <c:v>5.5949314688168855E-2</c:v>
                </c:pt>
                <c:pt idx="62">
                  <c:v>5.7940245117883211E-2</c:v>
                </c:pt>
                <c:pt idx="63">
                  <c:v>7.2876547747278655E-2</c:v>
                </c:pt>
                <c:pt idx="64">
                  <c:v>7.5373104079366454E-2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73856"/>
        <c:axId val="188075392"/>
      </c:lineChart>
      <c:catAx>
        <c:axId val="1880738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18807539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88075392"/>
        <c:scaling>
          <c:orientation val="minMax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88073856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572258915647577E-2"/>
          <c:y val="3.1394893820090669E-2"/>
          <c:w val="0.89906703852664616"/>
          <c:h val="0.91127888225553788"/>
        </c:manualLayout>
      </c:layout>
      <c:lineChart>
        <c:grouping val="standard"/>
        <c:varyColors val="0"/>
        <c:ser>
          <c:idx val="0"/>
          <c:order val="0"/>
          <c:tx>
            <c:strRef>
              <c:f>'Ch 16 data'!$D$5</c:f>
              <c:strCache>
                <c:ptCount val="1"/>
                <c:pt idx="0">
                  <c:v>Rcorp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data'!$F$5:$BR$5</c:f>
              <c:numCache>
                <c:formatCode>0.00%</c:formatCode>
                <c:ptCount val="65"/>
                <c:pt idx="0">
                  <c:v>0.68466987621207798</c:v>
                </c:pt>
                <c:pt idx="1">
                  <c:v>0.69467410661314399</c:v>
                </c:pt>
                <c:pt idx="2">
                  <c:v>0.60050337900220219</c:v>
                </c:pt>
                <c:pt idx="3">
                  <c:v>0.65698912156601263</c:v>
                </c:pt>
                <c:pt idx="4">
                  <c:v>0.65023392974425054</c:v>
                </c:pt>
                <c:pt idx="5">
                  <c:v>0.60687122147839079</c:v>
                </c:pt>
                <c:pt idx="6">
                  <c:v>0.60315190656815554</c:v>
                </c:pt>
                <c:pt idx="7">
                  <c:v>0.55569067538063255</c:v>
                </c:pt>
                <c:pt idx="8">
                  <c:v>0.6037407038283239</c:v>
                </c:pt>
                <c:pt idx="9">
                  <c:v>0.57389920282222595</c:v>
                </c:pt>
                <c:pt idx="10">
                  <c:v>0.53186821774617066</c:v>
                </c:pt>
                <c:pt idx="11">
                  <c:v>0.47834446460875218</c:v>
                </c:pt>
                <c:pt idx="12">
                  <c:v>0.51974920928295865</c:v>
                </c:pt>
                <c:pt idx="13">
                  <c:v>0.50966624121666726</c:v>
                </c:pt>
                <c:pt idx="14">
                  <c:v>0.50601372914731124</c:v>
                </c:pt>
                <c:pt idx="15">
                  <c:v>0.53135212531216325</c:v>
                </c:pt>
                <c:pt idx="16">
                  <c:v>0.54005563841627058</c:v>
                </c:pt>
                <c:pt idx="17">
                  <c:v>0.55703085303956246</c:v>
                </c:pt>
                <c:pt idx="18">
                  <c:v>0.57395336351940329</c:v>
                </c:pt>
                <c:pt idx="19">
                  <c:v>0.58012151583609928</c:v>
                </c:pt>
                <c:pt idx="20">
                  <c:v>0.55463922698331181</c:v>
                </c:pt>
                <c:pt idx="21">
                  <c:v>0.56076008390846166</c:v>
                </c:pt>
                <c:pt idx="22">
                  <c:v>0.5499003097955506</c:v>
                </c:pt>
                <c:pt idx="23">
                  <c:v>0.50914968735450417</c:v>
                </c:pt>
                <c:pt idx="24">
                  <c:v>0.49803639534982541</c:v>
                </c:pt>
                <c:pt idx="25">
                  <c:v>0.50178717639212356</c:v>
                </c:pt>
                <c:pt idx="26">
                  <c:v>0.51105403540786232</c:v>
                </c:pt>
                <c:pt idx="27">
                  <c:v>0.47980918489594954</c:v>
                </c:pt>
                <c:pt idx="28">
                  <c:v>0.41817890855195788</c:v>
                </c:pt>
                <c:pt idx="29">
                  <c:v>0.4244923204104592</c:v>
                </c:pt>
                <c:pt idx="30">
                  <c:v>0.43157504230526489</c:v>
                </c:pt>
                <c:pt idx="31">
                  <c:v>0.43867139586335191</c:v>
                </c:pt>
                <c:pt idx="32">
                  <c:v>0.42628067750488735</c:v>
                </c:pt>
                <c:pt idx="33">
                  <c:v>0.39631487424960021</c:v>
                </c:pt>
                <c:pt idx="34">
                  <c:v>0.38978484563718474</c:v>
                </c:pt>
                <c:pt idx="35">
                  <c:v>0.35411984848100114</c:v>
                </c:pt>
                <c:pt idx="36">
                  <c:v>0.35829031510077947</c:v>
                </c:pt>
                <c:pt idx="37">
                  <c:v>0.38813946892152446</c:v>
                </c:pt>
                <c:pt idx="38">
                  <c:v>0.38704909074628013</c:v>
                </c:pt>
                <c:pt idx="39">
                  <c:v>0.37853359888612809</c:v>
                </c:pt>
                <c:pt idx="40">
                  <c:v>0.38651022284765507</c:v>
                </c:pt>
                <c:pt idx="41">
                  <c:v>0.39204712312652235</c:v>
                </c:pt>
                <c:pt idx="42">
                  <c:v>0.38739213506660475</c:v>
                </c:pt>
                <c:pt idx="43">
                  <c:v>0.3806054726188986</c:v>
                </c:pt>
                <c:pt idx="44">
                  <c:v>0.36901183876152915</c:v>
                </c:pt>
                <c:pt idx="45">
                  <c:v>0.37581885477886884</c:v>
                </c:pt>
                <c:pt idx="46">
                  <c:v>0.37690651424185428</c:v>
                </c:pt>
                <c:pt idx="47">
                  <c:v>0.38506480161944967</c:v>
                </c:pt>
                <c:pt idx="48">
                  <c:v>0.37997680498951752</c:v>
                </c:pt>
                <c:pt idx="49">
                  <c:v>0.38545350876657952</c:v>
                </c:pt>
                <c:pt idx="50">
                  <c:v>0.39264159871689791</c:v>
                </c:pt>
                <c:pt idx="51">
                  <c:v>0.39276562174392898</c:v>
                </c:pt>
                <c:pt idx="52">
                  <c:v>0.39532142643814377</c:v>
                </c:pt>
                <c:pt idx="53">
                  <c:v>0.39718481449161236</c:v>
                </c:pt>
                <c:pt idx="54">
                  <c:v>0.36945784214122335</c:v>
                </c:pt>
                <c:pt idx="55">
                  <c:v>0.35583018319759485</c:v>
                </c:pt>
                <c:pt idx="56">
                  <c:v>0.35327708964860338</c:v>
                </c:pt>
                <c:pt idx="57">
                  <c:v>0.36318922096742573</c:v>
                </c:pt>
                <c:pt idx="58">
                  <c:v>0.35930883983920453</c:v>
                </c:pt>
                <c:pt idx="59">
                  <c:v>0.34950581478599657</c:v>
                </c:pt>
                <c:pt idx="60">
                  <c:v>0.32719943149020247</c:v>
                </c:pt>
                <c:pt idx="61">
                  <c:v>0.30288184303017796</c:v>
                </c:pt>
                <c:pt idx="62">
                  <c:v>0.27656979369546331</c:v>
                </c:pt>
                <c:pt idx="63">
                  <c:v>0.30203149936329021</c:v>
                </c:pt>
                <c:pt idx="64">
                  <c:v>0.30815798238376291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 16 data'!$D$7</c:f>
              <c:strCache>
                <c:ptCount val="1"/>
                <c:pt idx="0">
                  <c:v>rcorp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data'!$F$7:$BR$7</c:f>
              <c:numCache>
                <c:formatCode>0.00%</c:formatCode>
                <c:ptCount val="65"/>
                <c:pt idx="0">
                  <c:v>0.14374603640540254</c:v>
                </c:pt>
                <c:pt idx="1">
                  <c:v>0.16396352075207296</c:v>
                </c:pt>
                <c:pt idx="2">
                  <c:v>0.13697282511983766</c:v>
                </c:pt>
                <c:pt idx="3">
                  <c:v>0.16228416548642546</c:v>
                </c:pt>
                <c:pt idx="4">
                  <c:v>0.15983193761787534</c:v>
                </c:pt>
                <c:pt idx="5">
                  <c:v>0.13620216468779806</c:v>
                </c:pt>
                <c:pt idx="6">
                  <c:v>0.12804516198321894</c:v>
                </c:pt>
                <c:pt idx="7">
                  <c:v>0.11761730156428303</c:v>
                </c:pt>
                <c:pt idx="8">
                  <c:v>0.1435878447213399</c:v>
                </c:pt>
                <c:pt idx="9">
                  <c:v>0.12550926044329552</c:v>
                </c:pt>
                <c:pt idx="10">
                  <c:v>0.112054004990328</c:v>
                </c:pt>
                <c:pt idx="11">
                  <c:v>9.5054317592488641E-2</c:v>
                </c:pt>
                <c:pt idx="12">
                  <c:v>0.11381225569497803</c:v>
                </c:pt>
                <c:pt idx="13">
                  <c:v>0.10570307830889546</c:v>
                </c:pt>
                <c:pt idx="14">
                  <c:v>0.10516657955813914</c:v>
                </c:pt>
                <c:pt idx="15">
                  <c:v>0.11607789249317023</c:v>
                </c:pt>
                <c:pt idx="16">
                  <c:v>0.12143069203177961</c:v>
                </c:pt>
                <c:pt idx="17">
                  <c:v>0.12813738591915966</c:v>
                </c:pt>
                <c:pt idx="18">
                  <c:v>0.13818209006945084</c:v>
                </c:pt>
                <c:pt idx="19">
                  <c:v>0.13780250259730348</c:v>
                </c:pt>
                <c:pt idx="20">
                  <c:v>0.12474159436916939</c:v>
                </c:pt>
                <c:pt idx="21">
                  <c:v>0.12385229726692695</c:v>
                </c:pt>
                <c:pt idx="22">
                  <c:v>0.11249342865334706</c:v>
                </c:pt>
                <c:pt idx="23">
                  <c:v>9.3316823727352866E-2</c:v>
                </c:pt>
                <c:pt idx="24">
                  <c:v>9.5633540573712553E-2</c:v>
                </c:pt>
                <c:pt idx="25">
                  <c:v>9.8414551200063552E-2</c:v>
                </c:pt>
                <c:pt idx="26">
                  <c:v>9.8506632073837239E-2</c:v>
                </c:pt>
                <c:pt idx="27">
                  <c:v>8.4508135966831432E-2</c:v>
                </c:pt>
                <c:pt idx="28">
                  <c:v>8.0262903524936688E-2</c:v>
                </c:pt>
                <c:pt idx="29">
                  <c:v>8.2822473401140337E-2</c:v>
                </c:pt>
                <c:pt idx="30">
                  <c:v>8.6158852860037966E-2</c:v>
                </c:pt>
                <c:pt idx="31">
                  <c:v>8.7859246888513418E-2</c:v>
                </c:pt>
                <c:pt idx="32">
                  <c:v>8.0104596994168886E-2</c:v>
                </c:pt>
                <c:pt idx="33">
                  <c:v>6.7360883638409169E-2</c:v>
                </c:pt>
                <c:pt idx="34">
                  <c:v>6.9632314572834308E-2</c:v>
                </c:pt>
                <c:pt idx="35">
                  <c:v>5.9876020520342882E-2</c:v>
                </c:pt>
                <c:pt idx="36">
                  <c:v>6.5276485109428808E-2</c:v>
                </c:pt>
                <c:pt idx="37">
                  <c:v>7.7092955645063702E-2</c:v>
                </c:pt>
                <c:pt idx="38">
                  <c:v>7.5699648677669762E-2</c:v>
                </c:pt>
                <c:pt idx="39">
                  <c:v>6.8992551069955221E-2</c:v>
                </c:pt>
                <c:pt idx="40">
                  <c:v>7.2522722925103644E-2</c:v>
                </c:pt>
                <c:pt idx="41">
                  <c:v>7.7326709710848124E-2</c:v>
                </c:pt>
                <c:pt idx="42">
                  <c:v>7.5936949248287811E-2</c:v>
                </c:pt>
                <c:pt idx="43">
                  <c:v>7.2000735105366379E-2</c:v>
                </c:pt>
                <c:pt idx="44">
                  <c:v>6.9375725449514633E-2</c:v>
                </c:pt>
                <c:pt idx="45">
                  <c:v>6.9100711485927363E-2</c:v>
                </c:pt>
                <c:pt idx="46">
                  <c:v>6.9618153175052405E-2</c:v>
                </c:pt>
                <c:pt idx="47">
                  <c:v>7.5209740086175092E-2</c:v>
                </c:pt>
                <c:pt idx="48">
                  <c:v>7.8777192542609828E-2</c:v>
                </c:pt>
                <c:pt idx="49">
                  <c:v>8.2997810858158494E-2</c:v>
                </c:pt>
                <c:pt idx="50">
                  <c:v>8.6039875264558766E-2</c:v>
                </c:pt>
                <c:pt idx="51">
                  <c:v>7.9379445982251703E-2</c:v>
                </c:pt>
                <c:pt idx="52">
                  <c:v>7.8757840598749601E-2</c:v>
                </c:pt>
                <c:pt idx="53">
                  <c:v>7.3755049062107308E-2</c:v>
                </c:pt>
                <c:pt idx="54">
                  <c:v>6.5929291387084796E-2</c:v>
                </c:pt>
                <c:pt idx="55">
                  <c:v>6.5520678888437919E-2</c:v>
                </c:pt>
                <c:pt idx="56">
                  <c:v>6.7129641638587478E-2</c:v>
                </c:pt>
                <c:pt idx="57">
                  <c:v>7.75171954142376E-2</c:v>
                </c:pt>
                <c:pt idx="58">
                  <c:v>8.2195330303336089E-2</c:v>
                </c:pt>
                <c:pt idx="59">
                  <c:v>8.2221749948446471E-2</c:v>
                </c:pt>
                <c:pt idx="60">
                  <c:v>7.1024219335660638E-2</c:v>
                </c:pt>
                <c:pt idx="61">
                  <c:v>5.5949314688168855E-2</c:v>
                </c:pt>
                <c:pt idx="62">
                  <c:v>5.7940245117883211E-2</c:v>
                </c:pt>
                <c:pt idx="63">
                  <c:v>7.2876547747278655E-2</c:v>
                </c:pt>
                <c:pt idx="64">
                  <c:v>7.5373104079366454E-2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'Ch 16 data'!$D$6</c:f>
              <c:strCache>
                <c:ptCount val="1"/>
                <c:pt idx="0">
                  <c:v>Profshcorp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data'!$F$6:$BR$6</c:f>
              <c:numCache>
                <c:formatCode>0.00%</c:formatCode>
                <c:ptCount val="65"/>
                <c:pt idx="0">
                  <c:v>0.20994940978077573</c:v>
                </c:pt>
                <c:pt idx="1">
                  <c:v>0.2360294117647059</c:v>
                </c:pt>
                <c:pt idx="2">
                  <c:v>0.22809667673716011</c:v>
                </c:pt>
                <c:pt idx="3">
                  <c:v>0.24701195219123509</c:v>
                </c:pt>
                <c:pt idx="4">
                  <c:v>0.24580682475419316</c:v>
                </c:pt>
                <c:pt idx="5">
                  <c:v>0.2244333886124931</c:v>
                </c:pt>
                <c:pt idx="6">
                  <c:v>0.21229338842975204</c:v>
                </c:pt>
                <c:pt idx="7">
                  <c:v>0.21165966386554619</c:v>
                </c:pt>
                <c:pt idx="8">
                  <c:v>0.23783031988873435</c:v>
                </c:pt>
                <c:pt idx="9">
                  <c:v>0.21869565217391307</c:v>
                </c:pt>
                <c:pt idx="10">
                  <c:v>0.21068001668752612</c:v>
                </c:pt>
                <c:pt idx="11">
                  <c:v>0.19871520342612417</c:v>
                </c:pt>
                <c:pt idx="12">
                  <c:v>0.21897533206831118</c:v>
                </c:pt>
                <c:pt idx="13">
                  <c:v>0.20739666424945616</c:v>
                </c:pt>
                <c:pt idx="14">
                  <c:v>0.20783345095271699</c:v>
                </c:pt>
                <c:pt idx="15">
                  <c:v>0.21845756695708296</c:v>
                </c:pt>
                <c:pt idx="16">
                  <c:v>0.22484848484848485</c:v>
                </c:pt>
                <c:pt idx="17">
                  <c:v>0.23003642476884281</c:v>
                </c:pt>
                <c:pt idx="18">
                  <c:v>0.24075490946187197</c:v>
                </c:pt>
                <c:pt idx="19">
                  <c:v>0.23754075454122028</c:v>
                </c:pt>
                <c:pt idx="20">
                  <c:v>0.22490582760912917</c:v>
                </c:pt>
                <c:pt idx="21">
                  <c:v>0.2208650380456548</c:v>
                </c:pt>
                <c:pt idx="22">
                  <c:v>0.20457058606708439</c:v>
                </c:pt>
                <c:pt idx="23">
                  <c:v>0.18327974276527334</c:v>
                </c:pt>
                <c:pt idx="24">
                  <c:v>0.19202118854494291</c:v>
                </c:pt>
                <c:pt idx="25">
                  <c:v>0.19612807148175723</c:v>
                </c:pt>
                <c:pt idx="26">
                  <c:v>0.19275189167662282</c:v>
                </c:pt>
                <c:pt idx="27">
                  <c:v>0.17612863327149042</c:v>
                </c:pt>
                <c:pt idx="28">
                  <c:v>0.19193436561127805</c:v>
                </c:pt>
                <c:pt idx="29">
                  <c:v>0.19510947411499899</c:v>
                </c:pt>
                <c:pt idx="30">
                  <c:v>0.19963817277250115</c:v>
                </c:pt>
                <c:pt idx="31">
                  <c:v>0.20028487773996997</c:v>
                </c:pt>
                <c:pt idx="32">
                  <c:v>0.18791514891793443</c:v>
                </c:pt>
                <c:pt idx="33">
                  <c:v>0.16996809359212975</c:v>
                </c:pt>
                <c:pt idx="34">
                  <c:v>0.1786429496996112</c:v>
                </c:pt>
                <c:pt idx="35">
                  <c:v>0.16908405664687073</c:v>
                </c:pt>
                <c:pt idx="36">
                  <c:v>0.18218880711600571</c:v>
                </c:pt>
                <c:pt idx="37">
                  <c:v>0.19862178886180384</c:v>
                </c:pt>
                <c:pt idx="38">
                  <c:v>0.19558151791988754</c:v>
                </c:pt>
                <c:pt idx="39">
                  <c:v>0.18226268757376496</c:v>
                </c:pt>
                <c:pt idx="40">
                  <c:v>0.18763468244328646</c:v>
                </c:pt>
                <c:pt idx="41">
                  <c:v>0.19723830414613977</c:v>
                </c:pt>
                <c:pt idx="42">
                  <c:v>0.19602088523359384</c:v>
                </c:pt>
                <c:pt idx="43">
                  <c:v>0.18917419817938594</c:v>
                </c:pt>
                <c:pt idx="44">
                  <c:v>0.18800406426620944</c:v>
                </c:pt>
                <c:pt idx="45">
                  <c:v>0.18386706948640483</c:v>
                </c:pt>
                <c:pt idx="46">
                  <c:v>0.1847093391715158</c:v>
                </c:pt>
                <c:pt idx="47">
                  <c:v>0.19531709927749535</c:v>
                </c:pt>
                <c:pt idx="48">
                  <c:v>0.20732105620179386</c:v>
                </c:pt>
                <c:pt idx="49">
                  <c:v>0.21532508842310155</c:v>
                </c:pt>
                <c:pt idx="50">
                  <c:v>0.21913081941833465</c:v>
                </c:pt>
                <c:pt idx="51">
                  <c:v>0.20210385427776734</c:v>
                </c:pt>
                <c:pt idx="52">
                  <c:v>0.19922482145316472</c:v>
                </c:pt>
                <c:pt idx="53">
                  <c:v>0.18569453405843855</c:v>
                </c:pt>
                <c:pt idx="54">
                  <c:v>0.17844875346260389</c:v>
                </c:pt>
                <c:pt idx="55">
                  <c:v>0.18413468553917992</c:v>
                </c:pt>
                <c:pt idx="56">
                  <c:v>0.19001979920452752</c:v>
                </c:pt>
                <c:pt idx="57">
                  <c:v>0.2134347357770017</c:v>
                </c:pt>
                <c:pt idx="58">
                  <c:v>0.22875955498372819</c:v>
                </c:pt>
                <c:pt idx="59">
                  <c:v>0.23525145067698255</c:v>
                </c:pt>
                <c:pt idx="60">
                  <c:v>0.21706706216507396</c:v>
                </c:pt>
                <c:pt idx="61">
                  <c:v>0.18472323771020596</c:v>
                </c:pt>
                <c:pt idx="62">
                  <c:v>0.20949592630380459</c:v>
                </c:pt>
                <c:pt idx="63">
                  <c:v>0.24128790507251405</c:v>
                </c:pt>
                <c:pt idx="64">
                  <c:v>0.24459241164650722</c:v>
                </c:pt>
              </c:numCache>
            </c:numRef>
          </c:val>
          <c:smooth val="0"/>
        </c:ser>
        <c:ser>
          <c:idx val="6"/>
          <c:order val="3"/>
          <c:tx>
            <c:strRef>
              <c:f>'Ch 16 data'!$D$12</c:f>
              <c:strCache>
                <c:ptCount val="1"/>
                <c:pt idx="0">
                  <c:v>Rcorpn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data'!$F$12:$BR$12</c:f>
              <c:numCache>
                <c:formatCode>0.00%</c:formatCode>
                <c:ptCount val="65"/>
                <c:pt idx="0">
                  <c:v>0.77354529128408678</c:v>
                </c:pt>
                <c:pt idx="1">
                  <c:v>0.75189870066569708</c:v>
                </c:pt>
                <c:pt idx="2">
                  <c:v>0.69039217126780617</c:v>
                </c:pt>
                <c:pt idx="3">
                  <c:v>0.74742130151955632</c:v>
                </c:pt>
                <c:pt idx="4">
                  <c:v>0.70231558840556796</c:v>
                </c:pt>
                <c:pt idx="5">
                  <c:v>0.66672077079378633</c:v>
                </c:pt>
                <c:pt idx="6">
                  <c:v>0.65221711304525576</c:v>
                </c:pt>
                <c:pt idx="7">
                  <c:v>0.63382843301638681</c:v>
                </c:pt>
                <c:pt idx="8">
                  <c:v>0.66850981201500215</c:v>
                </c:pt>
                <c:pt idx="9">
                  <c:v>0.66018864779876218</c:v>
                </c:pt>
                <c:pt idx="10">
                  <c:v>0.63021203336630149</c:v>
                </c:pt>
                <c:pt idx="11">
                  <c:v>0.59935015639268507</c:v>
                </c:pt>
                <c:pt idx="12">
                  <c:v>0.60362410385788201</c:v>
                </c:pt>
                <c:pt idx="13">
                  <c:v>0.57855396883253207</c:v>
                </c:pt>
                <c:pt idx="14">
                  <c:v>0.57320660421858483</c:v>
                </c:pt>
                <c:pt idx="15">
                  <c:v>0.5658123770531498</c:v>
                </c:pt>
                <c:pt idx="16">
                  <c:v>0.55593556760495844</c:v>
                </c:pt>
                <c:pt idx="17">
                  <c:v>0.55611817730754431</c:v>
                </c:pt>
                <c:pt idx="18">
                  <c:v>0.55067479466322189</c:v>
                </c:pt>
                <c:pt idx="19">
                  <c:v>0.5448440562069824</c:v>
                </c:pt>
                <c:pt idx="20">
                  <c:v>0.53190802120818204</c:v>
                </c:pt>
                <c:pt idx="21">
                  <c:v>0.53047337520759164</c:v>
                </c:pt>
                <c:pt idx="22">
                  <c:v>0.52398819801596119</c:v>
                </c:pt>
                <c:pt idx="23">
                  <c:v>0.51721176099583943</c:v>
                </c:pt>
                <c:pt idx="24">
                  <c:v>0.51157040982841295</c:v>
                </c:pt>
                <c:pt idx="25">
                  <c:v>0.49983232299418379</c:v>
                </c:pt>
                <c:pt idx="26">
                  <c:v>0.50857952790536864</c:v>
                </c:pt>
                <c:pt idx="27">
                  <c:v>0.54256895857892262</c:v>
                </c:pt>
                <c:pt idx="28">
                  <c:v>0.48993078178632776</c:v>
                </c:pt>
                <c:pt idx="29">
                  <c:v>0.48237992654149747</c:v>
                </c:pt>
                <c:pt idx="30">
                  <c:v>0.47894670658190797</c:v>
                </c:pt>
                <c:pt idx="31">
                  <c:v>0.4812678263203285</c:v>
                </c:pt>
                <c:pt idx="32">
                  <c:v>0.48148727404084879</c:v>
                </c:pt>
                <c:pt idx="33">
                  <c:v>0.47516006934304039</c:v>
                </c:pt>
                <c:pt idx="34">
                  <c:v>0.46219061794914756</c:v>
                </c:pt>
                <c:pt idx="35">
                  <c:v>0.43182428603389855</c:v>
                </c:pt>
                <c:pt idx="36">
                  <c:v>0.41726826204045908</c:v>
                </c:pt>
                <c:pt idx="37">
                  <c:v>0.41966883212470674</c:v>
                </c:pt>
                <c:pt idx="38">
                  <c:v>0.41369162776975305</c:v>
                </c:pt>
                <c:pt idx="39">
                  <c:v>0.40736948499742737</c:v>
                </c:pt>
                <c:pt idx="40">
                  <c:v>0.40753403985197334</c:v>
                </c:pt>
                <c:pt idx="41">
                  <c:v>0.40359267922048186</c:v>
                </c:pt>
                <c:pt idx="42">
                  <c:v>0.40029121439613274</c:v>
                </c:pt>
                <c:pt idx="43">
                  <c:v>0.39619984609349601</c:v>
                </c:pt>
                <c:pt idx="44">
                  <c:v>0.38479628799157589</c:v>
                </c:pt>
                <c:pt idx="45">
                  <c:v>0.38519996140773916</c:v>
                </c:pt>
                <c:pt idx="46">
                  <c:v>0.3849301757127962</c:v>
                </c:pt>
                <c:pt idx="47">
                  <c:v>0.38070790007923083</c:v>
                </c:pt>
                <c:pt idx="48">
                  <c:v>0.37275251566238649</c:v>
                </c:pt>
                <c:pt idx="49">
                  <c:v>0.36984627198100412</c:v>
                </c:pt>
                <c:pt idx="50">
                  <c:v>0.36632859613548407</c:v>
                </c:pt>
                <c:pt idx="51">
                  <c:v>0.35882857909580546</c:v>
                </c:pt>
                <c:pt idx="52">
                  <c:v>0.3566520189589123</c:v>
                </c:pt>
                <c:pt idx="53">
                  <c:v>0.35618803000118437</c:v>
                </c:pt>
                <c:pt idx="54">
                  <c:v>0.34747890875173065</c:v>
                </c:pt>
                <c:pt idx="55">
                  <c:v>0.34245059417205886</c:v>
                </c:pt>
                <c:pt idx="56">
                  <c:v>0.3371974195796637</c:v>
                </c:pt>
                <c:pt idx="57">
                  <c:v>0.34993680484425704</c:v>
                </c:pt>
                <c:pt idx="58">
                  <c:v>0.34857272214329238</c:v>
                </c:pt>
                <c:pt idx="59">
                  <c:v>0.34142841085017422</c:v>
                </c:pt>
                <c:pt idx="60">
                  <c:v>0.33177667245697345</c:v>
                </c:pt>
                <c:pt idx="61">
                  <c:v>0.32730975784203975</c:v>
                </c:pt>
                <c:pt idx="62">
                  <c:v>0.3074919372678504</c:v>
                </c:pt>
                <c:pt idx="63">
                  <c:v>0.32501141067310318</c:v>
                </c:pt>
                <c:pt idx="64">
                  <c:v>0.32729624594089318</c:v>
                </c:pt>
              </c:numCache>
            </c:numRef>
          </c:val>
          <c:smooth val="0"/>
        </c:ser>
        <c:ser>
          <c:idx val="7"/>
          <c:order val="4"/>
          <c:tx>
            <c:strRef>
              <c:f>'Ch 16 data'!$D$13</c:f>
              <c:strCache>
                <c:ptCount val="1"/>
                <c:pt idx="0">
                  <c:v>Profshcorpn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data'!$F$13:$BR$13</c:f>
              <c:numCache>
                <c:formatCode>0.00%</c:formatCode>
                <c:ptCount val="65"/>
                <c:pt idx="0">
                  <c:v>0.22944928491167099</c:v>
                </c:pt>
                <c:pt idx="1">
                  <c:v>0.22932417478327899</c:v>
                </c:pt>
                <c:pt idx="2">
                  <c:v>0.22900357180577</c:v>
                </c:pt>
                <c:pt idx="3">
                  <c:v>0.228358741382195</c:v>
                </c:pt>
                <c:pt idx="4">
                  <c:v>0.22725191319754801</c:v>
                </c:pt>
                <c:pt idx="5">
                  <c:v>0.225731729522999</c:v>
                </c:pt>
                <c:pt idx="6">
                  <c:v>0.224032313497744</c:v>
                </c:pt>
                <c:pt idx="7">
                  <c:v>0.222374470965749</c:v>
                </c:pt>
                <c:pt idx="8">
                  <c:v>0.220861684636002</c:v>
                </c:pt>
                <c:pt idx="9">
                  <c:v>0.21949069250783301</c:v>
                </c:pt>
                <c:pt idx="10">
                  <c:v>0.21842761573421501</c:v>
                </c:pt>
                <c:pt idx="11">
                  <c:v>0.21783066854303801</c:v>
                </c:pt>
                <c:pt idx="12">
                  <c:v>0.21778078900485401</c:v>
                </c:pt>
                <c:pt idx="13">
                  <c:v>0.21816760850478301</c:v>
                </c:pt>
                <c:pt idx="14">
                  <c:v>0.21889295053789601</c:v>
                </c:pt>
                <c:pt idx="15">
                  <c:v>0.219750962514216</c:v>
                </c:pt>
                <c:pt idx="16">
                  <c:v>0.22042486233839001</c:v>
                </c:pt>
                <c:pt idx="17">
                  <c:v>0.22058535828991899</c:v>
                </c:pt>
                <c:pt idx="18">
                  <c:v>0.219946910024922</c:v>
                </c:pt>
                <c:pt idx="19">
                  <c:v>0.21831812361661701</c:v>
                </c:pt>
                <c:pt idx="20">
                  <c:v>0.21571613603797599</c:v>
                </c:pt>
                <c:pt idx="21">
                  <c:v>0.21234990302580201</c:v>
                </c:pt>
                <c:pt idx="22">
                  <c:v>0.20852021895652001</c:v>
                </c:pt>
                <c:pt idx="23">
                  <c:v>0.20461337917629499</c:v>
                </c:pt>
                <c:pt idx="24">
                  <c:v>0.20097647684172801</c:v>
                </c:pt>
                <c:pt idx="25">
                  <c:v>0.19774347131765699</c:v>
                </c:pt>
                <c:pt idx="26">
                  <c:v>0.19495855720050201</c:v>
                </c:pt>
                <c:pt idx="27">
                  <c:v>0.19264949437350801</c:v>
                </c:pt>
                <c:pt idx="28">
                  <c:v>0.19082245714791299</c:v>
                </c:pt>
                <c:pt idx="29">
                  <c:v>0.18931812489122199</c:v>
                </c:pt>
                <c:pt idx="30">
                  <c:v>0.18798795239945801</c:v>
                </c:pt>
                <c:pt idx="31">
                  <c:v>0.186741213219735</c:v>
                </c:pt>
                <c:pt idx="32">
                  <c:v>0.18560330137517</c:v>
                </c:pt>
                <c:pt idx="33">
                  <c:v>0.18473519875668401</c:v>
                </c:pt>
                <c:pt idx="34">
                  <c:v>0.18432085424144701</c:v>
                </c:pt>
                <c:pt idx="35">
                  <c:v>0.184396864719059</c:v>
                </c:pt>
                <c:pt idx="36">
                  <c:v>0.18494261853671001</c:v>
                </c:pt>
                <c:pt idx="37">
                  <c:v>0.18578453539439499</c:v>
                </c:pt>
                <c:pt idx="38">
                  <c:v>0.18672160880674599</c:v>
                </c:pt>
                <c:pt idx="39">
                  <c:v>0.18768098693444801</c:v>
                </c:pt>
                <c:pt idx="40">
                  <c:v>0.188678601850119</c:v>
                </c:pt>
                <c:pt idx="41">
                  <c:v>0.189676575757035</c:v>
                </c:pt>
                <c:pt idx="42">
                  <c:v>0.19062624483996701</c:v>
                </c:pt>
                <c:pt idx="43">
                  <c:v>0.191554179526118</c:v>
                </c:pt>
                <c:pt idx="44">
                  <c:v>0.19254068779429001</c:v>
                </c:pt>
                <c:pt idx="45">
                  <c:v>0.19364253582802601</c:v>
                </c:pt>
                <c:pt idx="46">
                  <c:v>0.19487108293292299</c:v>
                </c:pt>
                <c:pt idx="47">
                  <c:v>0.1961402630563</c:v>
                </c:pt>
                <c:pt idx="48">
                  <c:v>0.197262299316146</c:v>
                </c:pt>
                <c:pt idx="49">
                  <c:v>0.19804101219988701</c:v>
                </c:pt>
                <c:pt idx="50">
                  <c:v>0.19838059920178799</c:v>
                </c:pt>
                <c:pt idx="51">
                  <c:v>0.19835784769411399</c:v>
                </c:pt>
                <c:pt idx="52">
                  <c:v>0.198256739057113</c:v>
                </c:pt>
                <c:pt idx="53">
                  <c:v>0.19839867619409299</c:v>
                </c:pt>
                <c:pt idx="54">
                  <c:v>0.19911449461778899</c:v>
                </c:pt>
                <c:pt idx="55">
                  <c:v>0.20060804307899699</c:v>
                </c:pt>
                <c:pt idx="56">
                  <c:v>0.20287602538233199</c:v>
                </c:pt>
                <c:pt idx="57">
                  <c:v>0.20575006490162301</c:v>
                </c:pt>
                <c:pt idx="58">
                  <c:v>0.208933024756873</c:v>
                </c:pt>
                <c:pt idx="59">
                  <c:v>0.212204267419069</c:v>
                </c:pt>
                <c:pt idx="60">
                  <c:v>0.215541825111632</c:v>
                </c:pt>
                <c:pt idx="61">
                  <c:v>0.21915468738378799</c:v>
                </c:pt>
                <c:pt idx="62">
                  <c:v>0.22326742553365</c:v>
                </c:pt>
                <c:pt idx="63">
                  <c:v>0.22776006398549201</c:v>
                </c:pt>
                <c:pt idx="64">
                  <c:v>0.232374952908252</c:v>
                </c:pt>
              </c:numCache>
            </c:numRef>
          </c:val>
          <c:smooth val="0"/>
        </c:ser>
        <c:ser>
          <c:idx val="8"/>
          <c:order val="5"/>
          <c:tx>
            <c:strRef>
              <c:f>'Ch 16 data'!$D$14</c:f>
              <c:strCache>
                <c:ptCount val="1"/>
                <c:pt idx="0">
                  <c:v>rcorpn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data'!$F$14:$BR$14</c:f>
              <c:numCache>
                <c:formatCode>0.00%</c:formatCode>
                <c:ptCount val="65"/>
                <c:pt idx="0">
                  <c:v>0.17748941393192397</c:v>
                </c:pt>
                <c:pt idx="1">
                  <c:v>0.1724285490507807</c:v>
                </c:pt>
                <c:pt idx="2">
                  <c:v>0.15810227316706851</c:v>
                </c:pt>
                <c:pt idx="3">
                  <c:v>0.17068018769724796</c:v>
                </c:pt>
                <c:pt idx="4">
                  <c:v>0.15960256113362697</c:v>
                </c:pt>
                <c:pt idx="5">
                  <c:v>0.15050003270018839</c:v>
                </c:pt>
                <c:pt idx="6">
                  <c:v>0.14611770873834828</c:v>
                </c:pt>
                <c:pt idx="7">
                  <c:v>0.1409472624750687</c:v>
                </c:pt>
                <c:pt idx="8">
                  <c:v>0.14764820327733039</c:v>
                </c:pt>
                <c:pt idx="9">
                  <c:v>0.14490526349116017</c:v>
                </c:pt>
                <c:pt idx="10">
                  <c:v>0.1376557118552128</c:v>
                </c:pt>
                <c:pt idx="11">
                  <c:v>0.13055684525839298</c:v>
                </c:pt>
                <c:pt idx="12">
                  <c:v>0.13145773360051749</c:v>
                </c:pt>
                <c:pt idx="13">
                  <c:v>0.12622173577114429</c:v>
                </c:pt>
                <c:pt idx="14">
                  <c:v>0.12547088486521402</c:v>
                </c:pt>
                <c:pt idx="15">
                  <c:v>0.12433781445988616</c:v>
                </c:pt>
                <c:pt idx="16">
                  <c:v>0.12254202095833767</c:v>
                </c:pt>
                <c:pt idx="17">
                  <c:v>0.12267152739292135</c:v>
                </c:pt>
                <c:pt idx="18">
                  <c:v>0.12111921951478406</c:v>
                </c:pt>
                <c:pt idx="19">
                  <c:v>0.11894933201477501</c:v>
                </c:pt>
                <c:pt idx="20">
                  <c:v>0.11474114306263482</c:v>
                </c:pt>
                <c:pt idx="21">
                  <c:v>0.11264596978310197</c:v>
                </c:pt>
                <c:pt idx="22">
                  <c:v>0.10926213378092059</c:v>
                </c:pt>
                <c:pt idx="23">
                  <c:v>0.10582844616708095</c:v>
                </c:pt>
                <c:pt idx="24">
                  <c:v>0.10281361862379335</c:v>
                </c:pt>
                <c:pt idx="25">
                  <c:v>9.8838578625638246E-2</c:v>
                </c:pt>
                <c:pt idx="26">
                  <c:v>9.9151930982143116E-2</c:v>
                </c:pt>
                <c:pt idx="27">
                  <c:v>0.10452563553299025</c:v>
                </c:pt>
                <c:pt idx="28">
                  <c:v>9.3489795612865037E-2</c:v>
                </c:pt>
                <c:pt idx="29">
                  <c:v>9.1323263178001712E-2</c:v>
                </c:pt>
                <c:pt idx="30">
                  <c:v>9.0036210678796899E-2</c:v>
                </c:pt>
                <c:pt idx="31">
                  <c:v>8.9872537770682853E-2</c:v>
                </c:pt>
                <c:pt idx="32">
                  <c:v>8.9365627632112726E-2</c:v>
                </c:pt>
                <c:pt idx="33">
                  <c:v>8.7778789851326325E-2</c:v>
                </c:pt>
                <c:pt idx="34">
                  <c:v>8.519136952276915E-2</c:v>
                </c:pt>
                <c:pt idx="35">
                  <c:v>7.9627044454197035E-2</c:v>
                </c:pt>
                <c:pt idx="36">
                  <c:v>7.7170685014024576E-2</c:v>
                </c:pt>
                <c:pt idx="37">
                  <c:v>7.7967978995796994E-2</c:v>
                </c:pt>
                <c:pt idx="38">
                  <c:v>7.7245166287049805E-2</c:v>
                </c:pt>
                <c:pt idx="39">
                  <c:v>7.6455506991294983E-2</c:v>
                </c:pt>
                <c:pt idx="40">
                  <c:v>7.6892952845601006E-2</c:v>
                </c:pt>
                <c:pt idx="41">
                  <c:v>7.6552077395148452E-2</c:v>
                </c:pt>
                <c:pt idx="42">
                  <c:v>7.6306011042764924E-2</c:v>
                </c:pt>
                <c:pt idx="43">
                  <c:v>7.5893736446813853E-2</c:v>
                </c:pt>
                <c:pt idx="44">
                  <c:v>7.4088941950587725E-2</c:v>
                </c:pt>
                <c:pt idx="45">
                  <c:v>7.4591097327852365E-2</c:v>
                </c:pt>
                <c:pt idx="46">
                  <c:v>7.5011760194712923E-2</c:v>
                </c:pt>
                <c:pt idx="47">
                  <c:v>7.4672147669151909E-2</c:v>
                </c:pt>
                <c:pt idx="48">
                  <c:v>7.3530018315440079E-2</c:v>
                </c:pt>
                <c:pt idx="49">
                  <c:v>7.3244730061472765E-2</c:v>
                </c:pt>
                <c:pt idx="50">
                  <c:v>7.2672486406107129E-2</c:v>
                </c:pt>
                <c:pt idx="51">
                  <c:v>7.1176464640581111E-2</c:v>
                </c:pt>
                <c:pt idx="52">
                  <c:v>7.0708666256929592E-2</c:v>
                </c:pt>
                <c:pt idx="53">
                  <c:v>7.0667233628416856E-2</c:v>
                </c:pt>
                <c:pt idx="54">
                  <c:v>6.9188087306441659E-2</c:v>
                </c:pt>
                <c:pt idx="55">
                  <c:v>6.8698343548096494E-2</c:v>
                </c:pt>
                <c:pt idx="56">
                  <c:v>6.84092722535007E-2</c:v>
                </c:pt>
                <c:pt idx="57">
                  <c:v>7.1999520308172471E-2</c:v>
                </c:pt>
                <c:pt idx="58">
                  <c:v>7.2828353185135128E-2</c:v>
                </c:pt>
                <c:pt idx="59">
                  <c:v>7.2452565800518134E-2</c:v>
                </c:pt>
                <c:pt idx="60">
                  <c:v>7.1511749510840189E-2</c:v>
                </c:pt>
                <c:pt idx="61">
                  <c:v>7.1731467657535575E-2</c:v>
                </c:pt>
                <c:pt idx="62">
                  <c:v>6.8652933206147571E-2</c:v>
                </c:pt>
                <c:pt idx="63">
                  <c:v>7.4024619690921001E-2</c:v>
                </c:pt>
                <c:pt idx="64">
                  <c:v>7.6055449737562716E-2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192384"/>
        <c:axId val="286193920"/>
      </c:lineChart>
      <c:catAx>
        <c:axId val="2861923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/>
            </a:pPr>
            <a:endParaRPr lang="en-US"/>
          </a:p>
        </c:txPr>
        <c:crossAx val="286193920"/>
        <c:crossesAt val="1.0000000000000002E-2"/>
        <c:auto val="1"/>
        <c:lblAlgn val="ctr"/>
        <c:lblOffset val="100"/>
        <c:tickLblSkip val="4"/>
        <c:tickMarkSkip val="4"/>
        <c:noMultiLvlLbl val="0"/>
      </c:catAx>
      <c:valAx>
        <c:axId val="286193920"/>
        <c:scaling>
          <c:logBase val="10"/>
          <c:orientation val="minMax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6192384"/>
        <c:crossesAt val="1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38388048538283E-2"/>
          <c:y val="8.2853734192316869E-2"/>
          <c:w val="0.89113180919733737"/>
          <c:h val="0.83141907261592296"/>
        </c:manualLayout>
      </c:layout>
      <c:lineChart>
        <c:grouping val="standard"/>
        <c:varyColors val="0"/>
        <c:ser>
          <c:idx val="1"/>
          <c:order val="0"/>
          <c:tx>
            <c:strRef>
              <c:f>WageprodData!$E$13</c:f>
              <c:strCache>
                <c:ptCount val="1"/>
                <c:pt idx="0">
                  <c:v>Productivity 1982=100</c:v>
                </c:pt>
              </c:strCache>
            </c:strRef>
          </c:tx>
          <c:spPr>
            <a:ln w="38100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cat>
            <c:numRef>
              <c:f>WageprodData!$A$14:$A$79</c:f>
              <c:numCache>
                <c:formatCode>General</c:formatCode>
                <c:ptCount val="66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</c:numCache>
            </c:numRef>
          </c:cat>
          <c:val>
            <c:numRef>
              <c:f>WageprodData!$E$14:$E$79</c:f>
              <c:numCache>
                <c:formatCode>0.000</c:formatCode>
                <c:ptCount val="66"/>
                <c:pt idx="0">
                  <c:v>40.215099377409572</c:v>
                </c:pt>
                <c:pt idx="1">
                  <c:v>42.074136919986529</c:v>
                </c:pt>
                <c:pt idx="2">
                  <c:v>43.036095272554867</c:v>
                </c:pt>
                <c:pt idx="3">
                  <c:v>46.56951427965415</c:v>
                </c:pt>
                <c:pt idx="4">
                  <c:v>48.048010580294203</c:v>
                </c:pt>
                <c:pt idx="5">
                  <c:v>49.410472994048583</c:v>
                </c:pt>
                <c:pt idx="6">
                  <c:v>51.170944116582866</c:v>
                </c:pt>
                <c:pt idx="7">
                  <c:v>52.256422413255315</c:v>
                </c:pt>
                <c:pt idx="8">
                  <c:v>54.422388301787912</c:v>
                </c:pt>
                <c:pt idx="9">
                  <c:v>54.457323235473929</c:v>
                </c:pt>
                <c:pt idx="10">
                  <c:v>56.177868719509917</c:v>
                </c:pt>
                <c:pt idx="11">
                  <c:v>57.727482563725061</c:v>
                </c:pt>
                <c:pt idx="12">
                  <c:v>59.922145004928318</c:v>
                </c:pt>
                <c:pt idx="13">
                  <c:v>60.96769766310247</c:v>
                </c:pt>
                <c:pt idx="14">
                  <c:v>63.092490236933713</c:v>
                </c:pt>
                <c:pt idx="15">
                  <c:v>65.979612970841799</c:v>
                </c:pt>
                <c:pt idx="16">
                  <c:v>68.559807358794245</c:v>
                </c:pt>
                <c:pt idx="17">
                  <c:v>70.877989744101612</c:v>
                </c:pt>
                <c:pt idx="18">
                  <c:v>73.384571236072816</c:v>
                </c:pt>
                <c:pt idx="19">
                  <c:v>76.364022009008224</c:v>
                </c:pt>
                <c:pt idx="20">
                  <c:v>78.033412768718264</c:v>
                </c:pt>
                <c:pt idx="21">
                  <c:v>80.697201462276496</c:v>
                </c:pt>
                <c:pt idx="22">
                  <c:v>81.091467142447186</c:v>
                </c:pt>
                <c:pt idx="23">
                  <c:v>82.702217120612858</c:v>
                </c:pt>
                <c:pt idx="24">
                  <c:v>86.108373154998816</c:v>
                </c:pt>
                <c:pt idx="25">
                  <c:v>88.888195735442721</c:v>
                </c:pt>
                <c:pt idx="26">
                  <c:v>91.591910067499285</c:v>
                </c:pt>
                <c:pt idx="27">
                  <c:v>90.153339405357528</c:v>
                </c:pt>
                <c:pt idx="28">
                  <c:v>93.317446256347566</c:v>
                </c:pt>
                <c:pt idx="29">
                  <c:v>96.25198068597237</c:v>
                </c:pt>
                <c:pt idx="30">
                  <c:v>97.886436511996408</c:v>
                </c:pt>
                <c:pt idx="31">
                  <c:v>98.965676427653477</c:v>
                </c:pt>
                <c:pt idx="32">
                  <c:v>98.946961284607426</c:v>
                </c:pt>
                <c:pt idx="33">
                  <c:v>98.754819149334352</c:v>
                </c:pt>
                <c:pt idx="34">
                  <c:v>100.78603600793521</c:v>
                </c:pt>
                <c:pt idx="35">
                  <c:v>100</c:v>
                </c:pt>
                <c:pt idx="36">
                  <c:v>103.55962020736376</c:v>
                </c:pt>
                <c:pt idx="37">
                  <c:v>106.32072764476163</c:v>
                </c:pt>
                <c:pt idx="38">
                  <c:v>108.71127524984716</c:v>
                </c:pt>
                <c:pt idx="39">
                  <c:v>111.88286815805562</c:v>
                </c:pt>
                <c:pt idx="40">
                  <c:v>112.45679921146863</c:v>
                </c:pt>
                <c:pt idx="41">
                  <c:v>114.17110631448926</c:v>
                </c:pt>
                <c:pt idx="42">
                  <c:v>115.29651024966003</c:v>
                </c:pt>
                <c:pt idx="43">
                  <c:v>117.75692772211755</c:v>
                </c:pt>
                <c:pt idx="44">
                  <c:v>119.65464322698973</c:v>
                </c:pt>
                <c:pt idx="45">
                  <c:v>124.76762030717788</c:v>
                </c:pt>
                <c:pt idx="46">
                  <c:v>125.25421402637588</c:v>
                </c:pt>
                <c:pt idx="47">
                  <c:v>126.46445994335549</c:v>
                </c:pt>
                <c:pt idx="48">
                  <c:v>126.63289623077019</c:v>
                </c:pt>
                <c:pt idx="49">
                  <c:v>130.37467716378245</c:v>
                </c:pt>
                <c:pt idx="50">
                  <c:v>132.85006675067686</c:v>
                </c:pt>
                <c:pt idx="51">
                  <c:v>136.59184768368914</c:v>
                </c:pt>
                <c:pt idx="52">
                  <c:v>140.78903043082258</c:v>
                </c:pt>
                <c:pt idx="53">
                  <c:v>146.27755804813535</c:v>
                </c:pt>
                <c:pt idx="54">
                  <c:v>150.64317708268351</c:v>
                </c:pt>
                <c:pt idx="55">
                  <c:v>157.42180189397246</c:v>
                </c:pt>
                <c:pt idx="56">
                  <c:v>163.46554542165217</c:v>
                </c:pt>
                <c:pt idx="57">
                  <c:v>168.26785112727543</c:v>
                </c:pt>
                <c:pt idx="58">
                  <c:v>171.12378195610674</c:v>
                </c:pt>
                <c:pt idx="59">
                  <c:v>172.80814483025364</c:v>
                </c:pt>
                <c:pt idx="60">
                  <c:v>175.89489575665326</c:v>
                </c:pt>
                <c:pt idx="61">
                  <c:v>179.6054847845887</c:v>
                </c:pt>
                <c:pt idx="62">
                  <c:v>186.37163283384695</c:v>
                </c:pt>
                <c:pt idx="63">
                  <c:v>186.9806469244287</c:v>
                </c:pt>
                <c:pt idx="64">
                  <c:v>188.80803076324659</c:v>
                </c:pt>
                <c:pt idx="65">
                  <c:v>187.60913033815299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WageprodData!$F$13</c:f>
              <c:strCache>
                <c:ptCount val="1"/>
                <c:pt idx="0">
                  <c:v>Real Hrly EC 1982=100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WageprodData!$A$14:$A$79</c:f>
              <c:numCache>
                <c:formatCode>General</c:formatCode>
                <c:ptCount val="66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</c:numCache>
            </c:numRef>
          </c:cat>
          <c:val>
            <c:numRef>
              <c:f>WageprodData!$F$14:$F$79</c:f>
              <c:numCache>
                <c:formatCode>0.000</c:formatCode>
                <c:ptCount val="66"/>
                <c:pt idx="0">
                  <c:v>45.327566804210157</c:v>
                </c:pt>
                <c:pt idx="1">
                  <c:v>45.487543855777922</c:v>
                </c:pt>
                <c:pt idx="2">
                  <c:v>46.691233257574083</c:v>
                </c:pt>
                <c:pt idx="3">
                  <c:v>49.362298373750527</c:v>
                </c:pt>
                <c:pt idx="4">
                  <c:v>50.132394801297465</c:v>
                </c:pt>
                <c:pt idx="5">
                  <c:v>52.204373441602854</c:v>
                </c:pt>
                <c:pt idx="6">
                  <c:v>55.110439330082308</c:v>
                </c:pt>
                <c:pt idx="7">
                  <c:v>56.447626823186731</c:v>
                </c:pt>
                <c:pt idx="8">
                  <c:v>58.103665129415923</c:v>
                </c:pt>
                <c:pt idx="9">
                  <c:v>61.037313268165668</c:v>
                </c:pt>
                <c:pt idx="10">
                  <c:v>62.917319446589723</c:v>
                </c:pt>
                <c:pt idx="11">
                  <c:v>63.893731106158562</c:v>
                </c:pt>
                <c:pt idx="12">
                  <c:v>66.056179527350551</c:v>
                </c:pt>
                <c:pt idx="13">
                  <c:v>67.652640172995874</c:v>
                </c:pt>
                <c:pt idx="14">
                  <c:v>69.567951631765922</c:v>
                </c:pt>
                <c:pt idx="15">
                  <c:v>71.925682384871678</c:v>
                </c:pt>
                <c:pt idx="16">
                  <c:v>73.515523290452123</c:v>
                </c:pt>
                <c:pt idx="17">
                  <c:v>75.307266268011219</c:v>
                </c:pt>
                <c:pt idx="18">
                  <c:v>76.872834793353775</c:v>
                </c:pt>
                <c:pt idx="19">
                  <c:v>79.767867781725101</c:v>
                </c:pt>
                <c:pt idx="20">
                  <c:v>81.778062181425</c:v>
                </c:pt>
                <c:pt idx="21">
                  <c:v>84.838588671418165</c:v>
                </c:pt>
                <c:pt idx="22">
                  <c:v>86.065447163441362</c:v>
                </c:pt>
                <c:pt idx="23">
                  <c:v>87.658597939054246</c:v>
                </c:pt>
                <c:pt idx="24">
                  <c:v>89.241819104569814</c:v>
                </c:pt>
                <c:pt idx="25">
                  <c:v>91.934950020962518</c:v>
                </c:pt>
                <c:pt idx="26">
                  <c:v>93.849158189721763</c:v>
                </c:pt>
                <c:pt idx="27">
                  <c:v>92.664224718109395</c:v>
                </c:pt>
                <c:pt idx="28">
                  <c:v>93.607537677353861</c:v>
                </c:pt>
                <c:pt idx="29">
                  <c:v>96.150621152276074</c:v>
                </c:pt>
                <c:pt idx="30">
                  <c:v>97.459123105099394</c:v>
                </c:pt>
                <c:pt idx="31">
                  <c:v>99.00483241024736</c:v>
                </c:pt>
                <c:pt idx="32">
                  <c:v>99.14605353163131</c:v>
                </c:pt>
                <c:pt idx="33">
                  <c:v>98.847061938701216</c:v>
                </c:pt>
                <c:pt idx="34">
                  <c:v>98.904433019263436</c:v>
                </c:pt>
                <c:pt idx="35">
                  <c:v>100</c:v>
                </c:pt>
                <c:pt idx="36">
                  <c:v>99.949248659502643</c:v>
                </c:pt>
                <c:pt idx="37">
                  <c:v>100.14453099141642</c:v>
                </c:pt>
                <c:pt idx="38">
                  <c:v>101.46516913435863</c:v>
                </c:pt>
                <c:pt idx="39">
                  <c:v>104.73090756636289</c:v>
                </c:pt>
                <c:pt idx="40">
                  <c:v>105.04203534941193</c:v>
                </c:pt>
                <c:pt idx="41">
                  <c:v>106.49837816368411</c:v>
                </c:pt>
                <c:pt idx="42">
                  <c:v>104.81917076722787</c:v>
                </c:pt>
                <c:pt idx="43">
                  <c:v>106.15304839029987</c:v>
                </c:pt>
                <c:pt idx="44">
                  <c:v>107.53105761380435</c:v>
                </c:pt>
                <c:pt idx="45">
                  <c:v>110.32900108122421</c:v>
                </c:pt>
                <c:pt idx="46">
                  <c:v>110.06752134866171</c:v>
                </c:pt>
                <c:pt idx="47">
                  <c:v>109.26542951080121</c:v>
                </c:pt>
                <c:pt idx="48">
                  <c:v>108.88369116706016</c:v>
                </c:pt>
                <c:pt idx="49">
                  <c:v>109.75529027560184</c:v>
                </c:pt>
                <c:pt idx="50">
                  <c:v>110.89388556676008</c:v>
                </c:pt>
                <c:pt idx="51">
                  <c:v>116.04073346719919</c:v>
                </c:pt>
                <c:pt idx="52">
                  <c:v>119.267856748825</c:v>
                </c:pt>
                <c:pt idx="53">
                  <c:v>123.48904433019261</c:v>
                </c:pt>
                <c:pt idx="54">
                  <c:v>125.74858227233611</c:v>
                </c:pt>
                <c:pt idx="55">
                  <c:v>127.57563053024118</c:v>
                </c:pt>
                <c:pt idx="56">
                  <c:v>130.7950307817913</c:v>
                </c:pt>
                <c:pt idx="57">
                  <c:v>131.81778062181425</c:v>
                </c:pt>
                <c:pt idx="58">
                  <c:v>132.59560007943688</c:v>
                </c:pt>
                <c:pt idx="59">
                  <c:v>133.32156490655132</c:v>
                </c:pt>
                <c:pt idx="60">
                  <c:v>135.07910589377525</c:v>
                </c:pt>
                <c:pt idx="61">
                  <c:v>133.94161389262783</c:v>
                </c:pt>
                <c:pt idx="62">
                  <c:v>136.81568437079372</c:v>
                </c:pt>
                <c:pt idx="63">
                  <c:v>136.73711611182389</c:v>
                </c:pt>
                <c:pt idx="64">
                  <c:v>135.9031756371734</c:v>
                </c:pt>
                <c:pt idx="65">
                  <c:v>135.62387176391738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WageprodData!$H$13</c:f>
              <c:strCache>
                <c:ptCount val="1"/>
                <c:pt idx="0">
                  <c:v>REALECF6081 (TREND)</c:v>
                </c:pt>
              </c:strCache>
            </c:strRef>
          </c:tx>
          <c:spPr>
            <a:ln>
              <a:solidFill>
                <a:prstClr val="black"/>
              </a:solidFill>
              <a:prstDash val="dash"/>
            </a:ln>
          </c:spPr>
          <c:marker>
            <c:symbol val="none"/>
          </c:marker>
          <c:cat>
            <c:numRef>
              <c:f>WageprodData!$A$14:$A$79</c:f>
              <c:numCache>
                <c:formatCode>General</c:formatCode>
                <c:ptCount val="66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</c:numCache>
            </c:numRef>
          </c:cat>
          <c:val>
            <c:numRef>
              <c:f>WageprodData!$H$14:$H$79</c:f>
              <c:numCache>
                <c:formatCode>0.000</c:formatCode>
                <c:ptCount val="66"/>
                <c:pt idx="0">
                  <c:v>48.575049406218469</c:v>
                </c:pt>
                <c:pt idx="1">
                  <c:v>50.341836234005996</c:v>
                </c:pt>
                <c:pt idx="2">
                  <c:v>51.249613847375358</c:v>
                </c:pt>
                <c:pt idx="3">
                  <c:v>54.548467620522899</c:v>
                </c:pt>
                <c:pt idx="4">
                  <c:v>55.913094671687574</c:v>
                </c:pt>
                <c:pt idx="5">
                  <c:v>57.162854649528263</c:v>
                </c:pt>
                <c:pt idx="6">
                  <c:v>58.767075816862956</c:v>
                </c:pt>
                <c:pt idx="7">
                  <c:v>59.75044157668794</c:v>
                </c:pt>
                <c:pt idx="8">
                  <c:v>61.699997955842974</c:v>
                </c:pt>
                <c:pt idx="9">
                  <c:v>61.73130767481058</c:v>
                </c:pt>
                <c:pt idx="10">
                  <c:v>63.268170385695619</c:v>
                </c:pt>
                <c:pt idx="11">
                  <c:v>64.643927953795867</c:v>
                </c:pt>
                <c:pt idx="12">
                  <c:v>66.57922401048225</c:v>
                </c:pt>
                <c:pt idx="13">
                  <c:v>67.49597096416646</c:v>
                </c:pt>
                <c:pt idx="14">
                  <c:v>69.348946053008262</c:v>
                </c:pt>
                <c:pt idx="15">
                  <c:v>71.845953943648666</c:v>
                </c:pt>
                <c:pt idx="16">
                  <c:v>74.058189390971378</c:v>
                </c:pt>
                <c:pt idx="17">
                  <c:v>76.030940119819618</c:v>
                </c:pt>
                <c:pt idx="18">
                  <c:v>78.148876870955121</c:v>
                </c:pt>
                <c:pt idx="19">
                  <c:v>80.646773356100368</c:v>
                </c:pt>
                <c:pt idx="20">
                  <c:v>82.037399707981535</c:v>
                </c:pt>
                <c:pt idx="21">
                  <c:v>84.243563616550517</c:v>
                </c:pt>
                <c:pt idx="22">
                  <c:v>84.568790397873144</c:v>
                </c:pt>
                <c:pt idx="23">
                  <c:v>85.894068062133414</c:v>
                </c:pt>
                <c:pt idx="24">
                  <c:v>88.678938046269536</c:v>
                </c:pt>
                <c:pt idx="25">
                  <c:v>90.934637749143207</c:v>
                </c:pt>
                <c:pt idx="26">
                  <c:v>93.114445477147996</c:v>
                </c:pt>
                <c:pt idx="27">
                  <c:v>91.956334264083466</c:v>
                </c:pt>
                <c:pt idx="28">
                  <c:v>94.498565481485826</c:v>
                </c:pt>
                <c:pt idx="29">
                  <c:v>96.840247255913596</c:v>
                </c:pt>
                <c:pt idx="30">
                  <c:v>98.13800191444335</c:v>
                </c:pt>
                <c:pt idx="31">
                  <c:v>98.992427209428044</c:v>
                </c:pt>
                <c:pt idx="32">
                  <c:v>98.977627267667984</c:v>
                </c:pt>
                <c:pt idx="33">
                  <c:v>98.825647267816535</c:v>
                </c:pt>
                <c:pt idx="34">
                  <c:v>100.42918740847756</c:v>
                </c:pt>
                <c:pt idx="35">
                  <c:v>99.809463064396354</c:v>
                </c:pt>
                <c:pt idx="36">
                  <c:v>102.60791144324099</c:v>
                </c:pt>
                <c:pt idx="37">
                  <c:v>104.76472826284571</c:v>
                </c:pt>
                <c:pt idx="38">
                  <c:v>106.62262204134038</c:v>
                </c:pt>
                <c:pt idx="39">
                  <c:v>109.07439185959325</c:v>
                </c:pt>
                <c:pt idx="40">
                  <c:v>109.51649840576265</c:v>
                </c:pt>
                <c:pt idx="41">
                  <c:v>110.83425062511415</c:v>
                </c:pt>
                <c:pt idx="42">
                  <c:v>111.69707093006897</c:v>
                </c:pt>
                <c:pt idx="43">
                  <c:v>113.57730541932024</c:v>
                </c:pt>
                <c:pt idx="44">
                  <c:v>115.02190772384793</c:v>
                </c:pt>
                <c:pt idx="45">
                  <c:v>118.89048207175</c:v>
                </c:pt>
                <c:pt idx="46">
                  <c:v>119.25689893833008</c:v>
                </c:pt>
                <c:pt idx="47">
                  <c:v>120.16695414941864</c:v>
                </c:pt>
                <c:pt idx="48">
                  <c:v>120.29346639295773</c:v>
                </c:pt>
                <c:pt idx="49">
                  <c:v>123.09492809204478</c:v>
                </c:pt>
                <c:pt idx="50">
                  <c:v>124.93898189363348</c:v>
                </c:pt>
                <c:pt idx="51">
                  <c:v>127.7128577217032</c:v>
                </c:pt>
                <c:pt idx="52">
                  <c:v>130.80547383527659</c:v>
                </c:pt>
                <c:pt idx="53">
                  <c:v>134.82065104954123</c:v>
                </c:pt>
                <c:pt idx="54">
                  <c:v>137.99184040176786</c:v>
                </c:pt>
                <c:pt idx="55">
                  <c:v>142.87804457140524</c:v>
                </c:pt>
                <c:pt idx="56">
                  <c:v>147.19745649815295</c:v>
                </c:pt>
                <c:pt idx="57">
                  <c:v>150.60579165672232</c:v>
                </c:pt>
                <c:pt idx="58">
                  <c:v>152.62305122954371</c:v>
                </c:pt>
                <c:pt idx="59">
                  <c:v>153.80947601794401</c:v>
                </c:pt>
                <c:pt idx="60">
                  <c:v>155.97745002747715</c:v>
                </c:pt>
                <c:pt idx="61">
                  <c:v>158.57306325111023</c:v>
                </c:pt>
                <c:pt idx="62">
                  <c:v>163.27743008489986</c:v>
                </c:pt>
                <c:pt idx="63">
                  <c:v>163.69909370163433</c:v>
                </c:pt>
                <c:pt idx="64">
                  <c:v>164.96259979480652</c:v>
                </c:pt>
                <c:pt idx="65">
                  <c:v>164.13393585619221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708096"/>
        <c:axId val="286709632"/>
      </c:lineChart>
      <c:catAx>
        <c:axId val="286708096"/>
        <c:scaling>
          <c:orientation val="minMax"/>
        </c:scaling>
        <c:delete val="0"/>
        <c:axPos val="b"/>
        <c:majorGridlines>
          <c:spPr>
            <a:ln w="6350">
              <a:prstDash val="sysDot"/>
            </a:ln>
          </c:spPr>
        </c:majorGridlines>
        <c:numFmt formatCode="General" sourceLinked="1"/>
        <c:majorTickMark val="out"/>
        <c:minorTickMark val="out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6709632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286709632"/>
        <c:scaling>
          <c:orientation val="minMax"/>
        </c:scaling>
        <c:delete val="0"/>
        <c:axPos val="l"/>
        <c:majorGridlines>
          <c:spPr>
            <a:ln w="6350">
              <a:prstDash val="sysDot"/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6708096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693070017514155E-2"/>
          <c:y val="3.3413038496846591E-2"/>
          <c:w val="0.90664662213531488"/>
          <c:h val="0.90705806529377875"/>
        </c:manualLayout>
      </c:layout>
      <c:lineChart>
        <c:grouping val="standard"/>
        <c:varyColors val="0"/>
        <c:ser>
          <c:idx val="1"/>
          <c:order val="0"/>
          <c:tx>
            <c:strRef>
              <c:f>'Ch 16 data'!$D$7</c:f>
              <c:strCache>
                <c:ptCount val="1"/>
                <c:pt idx="0">
                  <c:v>rcorp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data'!$F$7:$BR$7</c:f>
              <c:numCache>
                <c:formatCode>0.00%</c:formatCode>
                <c:ptCount val="65"/>
                <c:pt idx="0">
                  <c:v>0.14374603640540254</c:v>
                </c:pt>
                <c:pt idx="1">
                  <c:v>0.16396352075207296</c:v>
                </c:pt>
                <c:pt idx="2">
                  <c:v>0.13697282511983766</c:v>
                </c:pt>
                <c:pt idx="3">
                  <c:v>0.16228416548642546</c:v>
                </c:pt>
                <c:pt idx="4">
                  <c:v>0.15983193761787534</c:v>
                </c:pt>
                <c:pt idx="5">
                  <c:v>0.13620216468779806</c:v>
                </c:pt>
                <c:pt idx="6">
                  <c:v>0.12804516198321894</c:v>
                </c:pt>
                <c:pt idx="7">
                  <c:v>0.11761730156428303</c:v>
                </c:pt>
                <c:pt idx="8">
                  <c:v>0.1435878447213399</c:v>
                </c:pt>
                <c:pt idx="9">
                  <c:v>0.12550926044329552</c:v>
                </c:pt>
                <c:pt idx="10">
                  <c:v>0.112054004990328</c:v>
                </c:pt>
                <c:pt idx="11">
                  <c:v>9.5054317592488641E-2</c:v>
                </c:pt>
                <c:pt idx="12">
                  <c:v>0.11381225569497803</c:v>
                </c:pt>
                <c:pt idx="13">
                  <c:v>0.10570307830889546</c:v>
                </c:pt>
                <c:pt idx="14">
                  <c:v>0.10516657955813914</c:v>
                </c:pt>
                <c:pt idx="15">
                  <c:v>0.11607789249317023</c:v>
                </c:pt>
                <c:pt idx="16">
                  <c:v>0.12143069203177961</c:v>
                </c:pt>
                <c:pt idx="17">
                  <c:v>0.12813738591915966</c:v>
                </c:pt>
                <c:pt idx="18">
                  <c:v>0.13818209006945084</c:v>
                </c:pt>
                <c:pt idx="19">
                  <c:v>0.13780250259730348</c:v>
                </c:pt>
                <c:pt idx="20">
                  <c:v>0.12474159436916939</c:v>
                </c:pt>
                <c:pt idx="21">
                  <c:v>0.12385229726692695</c:v>
                </c:pt>
                <c:pt idx="22">
                  <c:v>0.11249342865334706</c:v>
                </c:pt>
                <c:pt idx="23">
                  <c:v>9.3316823727352866E-2</c:v>
                </c:pt>
                <c:pt idx="24">
                  <c:v>9.5633540573712553E-2</c:v>
                </c:pt>
                <c:pt idx="25">
                  <c:v>9.8414551200063552E-2</c:v>
                </c:pt>
                <c:pt idx="26">
                  <c:v>9.8506632073837239E-2</c:v>
                </c:pt>
                <c:pt idx="27">
                  <c:v>8.4508135966831432E-2</c:v>
                </c:pt>
                <c:pt idx="28">
                  <c:v>8.0262903524936688E-2</c:v>
                </c:pt>
                <c:pt idx="29">
                  <c:v>8.2822473401140337E-2</c:v>
                </c:pt>
                <c:pt idx="30">
                  <c:v>8.6158852860037966E-2</c:v>
                </c:pt>
                <c:pt idx="31">
                  <c:v>8.7859246888513418E-2</c:v>
                </c:pt>
                <c:pt idx="32">
                  <c:v>8.0104596994168886E-2</c:v>
                </c:pt>
                <c:pt idx="33">
                  <c:v>6.7360883638409169E-2</c:v>
                </c:pt>
                <c:pt idx="34">
                  <c:v>6.9632314572834308E-2</c:v>
                </c:pt>
                <c:pt idx="35">
                  <c:v>5.9876020520342882E-2</c:v>
                </c:pt>
                <c:pt idx="36">
                  <c:v>6.5276485109428808E-2</c:v>
                </c:pt>
                <c:pt idx="37">
                  <c:v>7.7092955645063702E-2</c:v>
                </c:pt>
                <c:pt idx="38">
                  <c:v>7.5699648677669762E-2</c:v>
                </c:pt>
                <c:pt idx="39">
                  <c:v>6.8992551069955221E-2</c:v>
                </c:pt>
                <c:pt idx="40">
                  <c:v>7.2522722925103644E-2</c:v>
                </c:pt>
                <c:pt idx="41">
                  <c:v>7.7326709710848124E-2</c:v>
                </c:pt>
                <c:pt idx="42">
                  <c:v>7.5936949248287811E-2</c:v>
                </c:pt>
                <c:pt idx="43">
                  <c:v>7.2000735105366379E-2</c:v>
                </c:pt>
                <c:pt idx="44">
                  <c:v>6.9375725449514633E-2</c:v>
                </c:pt>
                <c:pt idx="45">
                  <c:v>6.9100711485927363E-2</c:v>
                </c:pt>
                <c:pt idx="46">
                  <c:v>6.9618153175052405E-2</c:v>
                </c:pt>
                <c:pt idx="47">
                  <c:v>7.5209740086175092E-2</c:v>
                </c:pt>
                <c:pt idx="48">
                  <c:v>7.8777192542609828E-2</c:v>
                </c:pt>
                <c:pt idx="49">
                  <c:v>8.2997810858158494E-2</c:v>
                </c:pt>
                <c:pt idx="50">
                  <c:v>8.6039875264558766E-2</c:v>
                </c:pt>
                <c:pt idx="51">
                  <c:v>7.9379445982251703E-2</c:v>
                </c:pt>
                <c:pt idx="52">
                  <c:v>7.8757840598749601E-2</c:v>
                </c:pt>
                <c:pt idx="53">
                  <c:v>7.3755049062107308E-2</c:v>
                </c:pt>
                <c:pt idx="54">
                  <c:v>6.5929291387084796E-2</c:v>
                </c:pt>
                <c:pt idx="55">
                  <c:v>6.5520678888437919E-2</c:v>
                </c:pt>
                <c:pt idx="56">
                  <c:v>6.7129641638587478E-2</c:v>
                </c:pt>
                <c:pt idx="57">
                  <c:v>7.75171954142376E-2</c:v>
                </c:pt>
                <c:pt idx="58">
                  <c:v>8.2195330303336089E-2</c:v>
                </c:pt>
                <c:pt idx="59">
                  <c:v>8.2221749948446471E-2</c:v>
                </c:pt>
                <c:pt idx="60">
                  <c:v>7.1024219335660638E-2</c:v>
                </c:pt>
                <c:pt idx="61">
                  <c:v>5.5949314688168855E-2</c:v>
                </c:pt>
                <c:pt idx="62">
                  <c:v>5.7940245117883211E-2</c:v>
                </c:pt>
                <c:pt idx="63">
                  <c:v>7.2876547747278655E-2</c:v>
                </c:pt>
                <c:pt idx="64">
                  <c:v>7.5373104079366454E-2</c:v>
                </c:pt>
              </c:numCache>
            </c:numRef>
          </c:val>
          <c:smooth val="0"/>
        </c:ser>
        <c:ser>
          <c:idx val="6"/>
          <c:order val="1"/>
          <c:tx>
            <c:strRef>
              <c:f>'Ch 16 data'!$D$38</c:f>
              <c:strCache>
                <c:ptCount val="1"/>
                <c:pt idx="0">
                  <c:v>rcorpalt</c:v>
                </c:pt>
              </c:strCache>
            </c:strRef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data'!$F$38:$BR$38</c:f>
              <c:numCache>
                <c:formatCode>0.00%</c:formatCode>
                <c:ptCount val="65"/>
                <c:pt idx="1">
                  <c:v>0.16396352075207293</c:v>
                </c:pt>
                <c:pt idx="2">
                  <c:v>0.13697282511983766</c:v>
                </c:pt>
                <c:pt idx="3">
                  <c:v>0.16228416548642546</c:v>
                </c:pt>
                <c:pt idx="4">
                  <c:v>0.15983193761787534</c:v>
                </c:pt>
                <c:pt idx="5">
                  <c:v>0.13620216468779803</c:v>
                </c:pt>
                <c:pt idx="6">
                  <c:v>0.12804516198321894</c:v>
                </c:pt>
                <c:pt idx="7">
                  <c:v>0.11761730156428307</c:v>
                </c:pt>
                <c:pt idx="8">
                  <c:v>0.14358784472133992</c:v>
                </c:pt>
                <c:pt idx="9">
                  <c:v>0.12550926044329555</c:v>
                </c:pt>
                <c:pt idx="10">
                  <c:v>0.11205400499032801</c:v>
                </c:pt>
                <c:pt idx="11">
                  <c:v>9.5054317592488669E-2</c:v>
                </c:pt>
                <c:pt idx="12">
                  <c:v>0.11381225569497802</c:v>
                </c:pt>
                <c:pt idx="13">
                  <c:v>0.10570307830889546</c:v>
                </c:pt>
                <c:pt idx="14">
                  <c:v>0.10516657955813914</c:v>
                </c:pt>
                <c:pt idx="15">
                  <c:v>0.1160778924931702</c:v>
                </c:pt>
                <c:pt idx="16">
                  <c:v>0.12143069203177959</c:v>
                </c:pt>
                <c:pt idx="17">
                  <c:v>0.1281373859191596</c:v>
                </c:pt>
                <c:pt idx="18">
                  <c:v>0.13818209006945081</c:v>
                </c:pt>
                <c:pt idx="19">
                  <c:v>0.13780250259730348</c:v>
                </c:pt>
                <c:pt idx="20">
                  <c:v>0.12474159436916939</c:v>
                </c:pt>
                <c:pt idx="21">
                  <c:v>0.12385229726692697</c:v>
                </c:pt>
                <c:pt idx="22">
                  <c:v>0.11249342865334706</c:v>
                </c:pt>
                <c:pt idx="23">
                  <c:v>9.3316823727352879E-2</c:v>
                </c:pt>
                <c:pt idx="24">
                  <c:v>9.563354057371258E-2</c:v>
                </c:pt>
                <c:pt idx="25">
                  <c:v>9.8414551200063594E-2</c:v>
                </c:pt>
                <c:pt idx="26">
                  <c:v>9.8506632073837197E-2</c:v>
                </c:pt>
                <c:pt idx="27">
                  <c:v>8.4508135966831419E-2</c:v>
                </c:pt>
                <c:pt idx="28">
                  <c:v>8.0262903524936688E-2</c:v>
                </c:pt>
                <c:pt idx="29">
                  <c:v>8.2822473401140351E-2</c:v>
                </c:pt>
                <c:pt idx="30">
                  <c:v>8.6158852860037966E-2</c:v>
                </c:pt>
                <c:pt idx="31">
                  <c:v>8.7859246888513459E-2</c:v>
                </c:pt>
                <c:pt idx="32">
                  <c:v>8.0104596994168845E-2</c:v>
                </c:pt>
                <c:pt idx="33">
                  <c:v>6.7360883638409183E-2</c:v>
                </c:pt>
                <c:pt idx="34">
                  <c:v>6.9632314572834322E-2</c:v>
                </c:pt>
                <c:pt idx="35">
                  <c:v>6.0374515563450762E-2</c:v>
                </c:pt>
                <c:pt idx="36">
                  <c:v>5.837796246070677E-2</c:v>
                </c:pt>
                <c:pt idx="37">
                  <c:v>6.4384677734835347E-2</c:v>
                </c:pt>
                <c:pt idx="38">
                  <c:v>6.1680637115823229E-2</c:v>
                </c:pt>
                <c:pt idx="39">
                  <c:v>5.7608172196675952E-2</c:v>
                </c:pt>
                <c:pt idx="40">
                  <c:v>6.0653428961863293E-2</c:v>
                </c:pt>
                <c:pt idx="41">
                  <c:v>6.5959880835072565E-2</c:v>
                </c:pt>
                <c:pt idx="42">
                  <c:v>5.7821598362466982E-2</c:v>
                </c:pt>
                <c:pt idx="43">
                  <c:v>5.2888109321640953E-2</c:v>
                </c:pt>
                <c:pt idx="44">
                  <c:v>5.1015569871148345E-2</c:v>
                </c:pt>
                <c:pt idx="45">
                  <c:v>4.8170924108908497E-2</c:v>
                </c:pt>
                <c:pt idx="46">
                  <c:v>4.7063238907784508E-2</c:v>
                </c:pt>
                <c:pt idx="47">
                  <c:v>4.8122619423103051E-2</c:v>
                </c:pt>
                <c:pt idx="48">
                  <c:v>5.100724907486278E-2</c:v>
                </c:pt>
                <c:pt idx="49">
                  <c:v>5.0582237592396793E-2</c:v>
                </c:pt>
                <c:pt idx="50">
                  <c:v>5.1681863931829511E-2</c:v>
                </c:pt>
                <c:pt idx="51">
                  <c:v>5.1314736172010933E-2</c:v>
                </c:pt>
                <c:pt idx="52">
                  <c:v>5.1456266993775882E-2</c:v>
                </c:pt>
                <c:pt idx="53">
                  <c:v>4.7210824777202516E-2</c:v>
                </c:pt>
                <c:pt idx="54">
                  <c:v>3.9449203522828172E-2</c:v>
                </c:pt>
                <c:pt idx="55">
                  <c:v>3.4530524534639097E-2</c:v>
                </c:pt>
                <c:pt idx="56">
                  <c:v>3.5260698297705166E-2</c:v>
                </c:pt>
                <c:pt idx="57">
                  <c:v>4.1478073545623891E-2</c:v>
                </c:pt>
                <c:pt idx="58">
                  <c:v>4.5241389780694974E-2</c:v>
                </c:pt>
                <c:pt idx="59">
                  <c:v>4.5988108544460421E-2</c:v>
                </c:pt>
                <c:pt idx="60">
                  <c:v>3.6006034788294783E-2</c:v>
                </c:pt>
                <c:pt idx="61">
                  <c:v>1.5816591337750683E-2</c:v>
                </c:pt>
                <c:pt idx="62">
                  <c:v>2.0689204675482579E-2</c:v>
                </c:pt>
                <c:pt idx="63">
                  <c:v>3.3138285677632641E-2</c:v>
                </c:pt>
                <c:pt idx="64">
                  <c:v>3.1604520807580007E-2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866816"/>
        <c:axId val="286868608"/>
      </c:lineChart>
      <c:catAx>
        <c:axId val="286866816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6868608"/>
        <c:crossesAt val="-0.30000000000000004"/>
        <c:auto val="1"/>
        <c:lblAlgn val="ctr"/>
        <c:lblOffset val="100"/>
        <c:tickLblSkip val="4"/>
        <c:tickMarkSkip val="4"/>
        <c:noMultiLvlLbl val="0"/>
      </c:catAx>
      <c:valAx>
        <c:axId val="286868608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6866816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'Ch 16 data'!$D$7</c:f>
              <c:strCache>
                <c:ptCount val="1"/>
                <c:pt idx="0">
                  <c:v>rcorp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data'!$F$7:$BR$7</c:f>
              <c:numCache>
                <c:formatCode>0.00%</c:formatCode>
                <c:ptCount val="65"/>
                <c:pt idx="0">
                  <c:v>0.14374603640540254</c:v>
                </c:pt>
                <c:pt idx="1">
                  <c:v>0.16396352075207296</c:v>
                </c:pt>
                <c:pt idx="2">
                  <c:v>0.13697282511983766</c:v>
                </c:pt>
                <c:pt idx="3">
                  <c:v>0.16228416548642546</c:v>
                </c:pt>
                <c:pt idx="4">
                  <c:v>0.15983193761787534</c:v>
                </c:pt>
                <c:pt idx="5">
                  <c:v>0.13620216468779806</c:v>
                </c:pt>
                <c:pt idx="6">
                  <c:v>0.12804516198321894</c:v>
                </c:pt>
                <c:pt idx="7">
                  <c:v>0.11761730156428303</c:v>
                </c:pt>
                <c:pt idx="8">
                  <c:v>0.1435878447213399</c:v>
                </c:pt>
                <c:pt idx="9">
                  <c:v>0.12550926044329552</c:v>
                </c:pt>
                <c:pt idx="10">
                  <c:v>0.112054004990328</c:v>
                </c:pt>
                <c:pt idx="11">
                  <c:v>9.5054317592488641E-2</c:v>
                </c:pt>
                <c:pt idx="12">
                  <c:v>0.11381225569497803</c:v>
                </c:pt>
                <c:pt idx="13">
                  <c:v>0.10570307830889546</c:v>
                </c:pt>
                <c:pt idx="14">
                  <c:v>0.10516657955813914</c:v>
                </c:pt>
                <c:pt idx="15">
                  <c:v>0.11607789249317023</c:v>
                </c:pt>
                <c:pt idx="16">
                  <c:v>0.12143069203177961</c:v>
                </c:pt>
                <c:pt idx="17">
                  <c:v>0.12813738591915966</c:v>
                </c:pt>
                <c:pt idx="18">
                  <c:v>0.13818209006945084</c:v>
                </c:pt>
                <c:pt idx="19">
                  <c:v>0.13780250259730348</c:v>
                </c:pt>
                <c:pt idx="20">
                  <c:v>0.12474159436916939</c:v>
                </c:pt>
                <c:pt idx="21">
                  <c:v>0.12385229726692695</c:v>
                </c:pt>
                <c:pt idx="22">
                  <c:v>0.11249342865334706</c:v>
                </c:pt>
                <c:pt idx="23">
                  <c:v>9.3316823727352866E-2</c:v>
                </c:pt>
                <c:pt idx="24">
                  <c:v>9.5633540573712553E-2</c:v>
                </c:pt>
                <c:pt idx="25">
                  <c:v>9.8414551200063552E-2</c:v>
                </c:pt>
                <c:pt idx="26">
                  <c:v>9.8506632073837239E-2</c:v>
                </c:pt>
                <c:pt idx="27">
                  <c:v>8.4508135966831432E-2</c:v>
                </c:pt>
                <c:pt idx="28">
                  <c:v>8.0262903524936688E-2</c:v>
                </c:pt>
                <c:pt idx="29">
                  <c:v>8.2822473401140337E-2</c:v>
                </c:pt>
                <c:pt idx="30">
                  <c:v>8.6158852860037966E-2</c:v>
                </c:pt>
                <c:pt idx="31">
                  <c:v>8.7859246888513418E-2</c:v>
                </c:pt>
                <c:pt idx="32">
                  <c:v>8.0104596994168886E-2</c:v>
                </c:pt>
                <c:pt idx="33">
                  <c:v>6.7360883638409169E-2</c:v>
                </c:pt>
                <c:pt idx="34">
                  <c:v>6.9632314572834308E-2</c:v>
                </c:pt>
                <c:pt idx="35">
                  <c:v>5.9876020520342882E-2</c:v>
                </c:pt>
                <c:pt idx="36">
                  <c:v>6.5276485109428808E-2</c:v>
                </c:pt>
                <c:pt idx="37">
                  <c:v>7.7092955645063702E-2</c:v>
                </c:pt>
                <c:pt idx="38">
                  <c:v>7.5699648677669762E-2</c:v>
                </c:pt>
                <c:pt idx="39">
                  <c:v>6.8992551069955221E-2</c:v>
                </c:pt>
                <c:pt idx="40">
                  <c:v>7.2522722925103644E-2</c:v>
                </c:pt>
                <c:pt idx="41">
                  <c:v>7.7326709710848124E-2</c:v>
                </c:pt>
                <c:pt idx="42">
                  <c:v>7.5936949248287811E-2</c:v>
                </c:pt>
                <c:pt idx="43">
                  <c:v>7.2000735105366379E-2</c:v>
                </c:pt>
                <c:pt idx="44">
                  <c:v>6.9375725449514633E-2</c:v>
                </c:pt>
                <c:pt idx="45">
                  <c:v>6.9100711485927363E-2</c:v>
                </c:pt>
                <c:pt idx="46">
                  <c:v>6.9618153175052405E-2</c:v>
                </c:pt>
                <c:pt idx="47">
                  <c:v>7.5209740086175092E-2</c:v>
                </c:pt>
                <c:pt idx="48">
                  <c:v>7.8777192542609828E-2</c:v>
                </c:pt>
                <c:pt idx="49">
                  <c:v>8.2997810858158494E-2</c:v>
                </c:pt>
                <c:pt idx="50">
                  <c:v>8.6039875264558766E-2</c:v>
                </c:pt>
                <c:pt idx="51">
                  <c:v>7.9379445982251703E-2</c:v>
                </c:pt>
                <c:pt idx="52">
                  <c:v>7.8757840598749601E-2</c:v>
                </c:pt>
                <c:pt idx="53">
                  <c:v>7.3755049062107308E-2</c:v>
                </c:pt>
                <c:pt idx="54">
                  <c:v>6.5929291387084796E-2</c:v>
                </c:pt>
                <c:pt idx="55">
                  <c:v>6.5520678888437919E-2</c:v>
                </c:pt>
                <c:pt idx="56">
                  <c:v>6.7129641638587478E-2</c:v>
                </c:pt>
                <c:pt idx="57">
                  <c:v>7.75171954142376E-2</c:v>
                </c:pt>
                <c:pt idx="58">
                  <c:v>8.2195330303336089E-2</c:v>
                </c:pt>
                <c:pt idx="59">
                  <c:v>8.2221749948446471E-2</c:v>
                </c:pt>
                <c:pt idx="60">
                  <c:v>7.1024219335660638E-2</c:v>
                </c:pt>
                <c:pt idx="61">
                  <c:v>5.5949314688168855E-2</c:v>
                </c:pt>
                <c:pt idx="62">
                  <c:v>5.7940245117883211E-2</c:v>
                </c:pt>
                <c:pt idx="63">
                  <c:v>7.2876547747278655E-2</c:v>
                </c:pt>
                <c:pt idx="64">
                  <c:v>7.5373104079366454E-2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'Ch 16 data'!$D$23</c:f>
              <c:strCache>
                <c:ptCount val="1"/>
                <c:pt idx="0">
                  <c:v>iroprcorpHP100(-1)</c:v>
                </c:pt>
              </c:strCache>
            </c:strRef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data'!$F$23:$BR$23</c:f>
              <c:numCache>
                <c:formatCode>0.00%</c:formatCode>
                <c:ptCount val="65"/>
                <c:pt idx="2">
                  <c:v>0.16202197919092801</c:v>
                </c:pt>
                <c:pt idx="3">
                  <c:v>0.14326290783603601</c:v>
                </c:pt>
                <c:pt idx="4">
                  <c:v>0.12603061668923299</c:v>
                </c:pt>
                <c:pt idx="5">
                  <c:v>0.109226256880253</c:v>
                </c:pt>
                <c:pt idx="6">
                  <c:v>9.48826733719315E-2</c:v>
                </c:pt>
                <c:pt idx="7">
                  <c:v>8.4682448558304896E-2</c:v>
                </c:pt>
                <c:pt idx="8">
                  <c:v>7.8494338099689503E-2</c:v>
                </c:pt>
                <c:pt idx="9">
                  <c:v>7.5507273170818498E-2</c:v>
                </c:pt>
                <c:pt idx="10">
                  <c:v>7.3992241565428302E-2</c:v>
                </c:pt>
                <c:pt idx="11">
                  <c:v>7.6148158345547098E-2</c:v>
                </c:pt>
                <c:pt idx="12">
                  <c:v>8.2255016157548794E-2</c:v>
                </c:pt>
                <c:pt idx="13">
                  <c:v>9.13813260643518E-2</c:v>
                </c:pt>
                <c:pt idx="14">
                  <c:v>0.100789048967299</c:v>
                </c:pt>
                <c:pt idx="15">
                  <c:v>0.110039332507089</c:v>
                </c:pt>
                <c:pt idx="16">
                  <c:v>0.11763343383475</c:v>
                </c:pt>
                <c:pt idx="17">
                  <c:v>0.121670216776237</c:v>
                </c:pt>
                <c:pt idx="18">
                  <c:v>0.12153021081915701</c:v>
                </c:pt>
                <c:pt idx="19">
                  <c:v>0.117062243283357</c:v>
                </c:pt>
                <c:pt idx="20">
                  <c:v>0.10875283938049</c:v>
                </c:pt>
                <c:pt idx="21">
                  <c:v>9.8495901889376597E-2</c:v>
                </c:pt>
                <c:pt idx="22">
                  <c:v>8.8428805195032198E-2</c:v>
                </c:pt>
                <c:pt idx="23">
                  <c:v>7.9681964663578797E-2</c:v>
                </c:pt>
                <c:pt idx="24">
                  <c:v>7.3538507609187703E-2</c:v>
                </c:pt>
                <c:pt idx="25">
                  <c:v>7.0393741699394705E-2</c:v>
                </c:pt>
                <c:pt idx="26">
                  <c:v>6.8801589525643303E-2</c:v>
                </c:pt>
                <c:pt idx="27">
                  <c:v>6.7922036262383398E-2</c:v>
                </c:pt>
                <c:pt idx="28">
                  <c:v>6.7908051188808299E-2</c:v>
                </c:pt>
                <c:pt idx="29">
                  <c:v>6.9303383221487505E-2</c:v>
                </c:pt>
                <c:pt idx="30">
                  <c:v>7.1205700765102506E-2</c:v>
                </c:pt>
                <c:pt idx="31">
                  <c:v>7.2531638392119693E-2</c:v>
                </c:pt>
                <c:pt idx="32">
                  <c:v>7.3274773667354895E-2</c:v>
                </c:pt>
                <c:pt idx="33">
                  <c:v>7.4050367771702194E-2</c:v>
                </c:pt>
                <c:pt idx="34">
                  <c:v>7.6053934149382704E-2</c:v>
                </c:pt>
                <c:pt idx="35">
                  <c:v>7.9752482566899999E-2</c:v>
                </c:pt>
                <c:pt idx="36">
                  <c:v>8.4275483449264402E-2</c:v>
                </c:pt>
                <c:pt idx="37">
                  <c:v>8.9056882395816703E-2</c:v>
                </c:pt>
                <c:pt idx="38">
                  <c:v>9.2353870171405394E-2</c:v>
                </c:pt>
                <c:pt idx="39">
                  <c:v>9.3600068716920795E-2</c:v>
                </c:pt>
                <c:pt idx="40">
                  <c:v>9.3876561271538997E-2</c:v>
                </c:pt>
                <c:pt idx="41">
                  <c:v>9.4154430387267202E-2</c:v>
                </c:pt>
                <c:pt idx="42">
                  <c:v>9.4434993003396805E-2</c:v>
                </c:pt>
                <c:pt idx="43">
                  <c:v>9.5102021755346794E-2</c:v>
                </c:pt>
                <c:pt idx="44">
                  <c:v>9.6927939348502107E-2</c:v>
                </c:pt>
                <c:pt idx="45">
                  <c:v>0.10043114827069401</c:v>
                </c:pt>
                <c:pt idx="46">
                  <c:v>0.105405771616269</c:v>
                </c:pt>
                <c:pt idx="47">
                  <c:v>0.111011620996867</c:v>
                </c:pt>
                <c:pt idx="48">
                  <c:v>0.116104450307964</c:v>
                </c:pt>
                <c:pt idx="49">
                  <c:v>0.119330897235069</c:v>
                </c:pt>
                <c:pt idx="50">
                  <c:v>0.120010554960609</c:v>
                </c:pt>
                <c:pt idx="51">
                  <c:v>0.117720707694663</c:v>
                </c:pt>
                <c:pt idx="52">
                  <c:v>0.11318853409770301</c:v>
                </c:pt>
                <c:pt idx="53">
                  <c:v>0.107729005753253</c:v>
                </c:pt>
                <c:pt idx="54">
                  <c:v>0.102132208903861</c:v>
                </c:pt>
                <c:pt idx="55">
                  <c:v>9.7335939734544505E-2</c:v>
                </c:pt>
                <c:pt idx="56">
                  <c:v>9.3749672341278303E-2</c:v>
                </c:pt>
                <c:pt idx="57">
                  <c:v>9.0891521422694702E-2</c:v>
                </c:pt>
                <c:pt idx="58">
                  <c:v>8.8114104954012507E-2</c:v>
                </c:pt>
                <c:pt idx="59">
                  <c:v>8.4859125696223697E-2</c:v>
                </c:pt>
                <c:pt idx="60">
                  <c:v>8.2027145360779805E-2</c:v>
                </c:pt>
                <c:pt idx="61">
                  <c:v>8.1330134402170504E-2</c:v>
                </c:pt>
                <c:pt idx="62">
                  <c:v>8.4620791821277297E-2</c:v>
                </c:pt>
                <c:pt idx="63">
                  <c:v>9.2195515274960296E-2</c:v>
                </c:pt>
                <c:pt idx="64">
                  <c:v>0.10157249450186601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277440"/>
        <c:axId val="287278976"/>
      </c:lineChart>
      <c:catAx>
        <c:axId val="2872774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7278976"/>
        <c:crossesAt val="-0.30000000000000004"/>
        <c:auto val="1"/>
        <c:lblAlgn val="ctr"/>
        <c:lblOffset val="100"/>
        <c:tickLblSkip val="4"/>
        <c:tickMarkSkip val="4"/>
        <c:noMultiLvlLbl val="0"/>
      </c:catAx>
      <c:valAx>
        <c:axId val="287278976"/>
        <c:scaling>
          <c:orientation val="minMax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7277440"/>
        <c:crossesAt val="1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693070017514155E-2"/>
          <c:y val="3.3413038496846591E-2"/>
          <c:w val="0.90664662213531488"/>
          <c:h val="0.90705806529377875"/>
        </c:manualLayout>
      </c:layout>
      <c:lineChart>
        <c:grouping val="standard"/>
        <c:varyColors val="0"/>
        <c:ser>
          <c:idx val="1"/>
          <c:order val="0"/>
          <c:tx>
            <c:strRef>
              <c:f>'Ch 16 data'!$D$28</c:f>
              <c:strCache>
                <c:ptCount val="1"/>
                <c:pt idx="0">
                  <c:v>NetIropcorp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data'!$F$24:$BR$24</c:f>
              <c:numCache>
                <c:formatCode>0.00%</c:formatCode>
                <c:ptCount val="65"/>
                <c:pt idx="1">
                  <c:v>1.04E-2</c:v>
                </c:pt>
                <c:pt idx="2">
                  <c:v>1.102E-2</c:v>
                </c:pt>
                <c:pt idx="3">
                  <c:v>1.218E-2</c:v>
                </c:pt>
                <c:pt idx="4">
                  <c:v>1.5520000000000001E-2</c:v>
                </c:pt>
                <c:pt idx="5">
                  <c:v>1.7659999999999999E-2</c:v>
                </c:pt>
                <c:pt idx="6">
                  <c:v>1.9310000000000001E-2</c:v>
                </c:pt>
                <c:pt idx="7">
                  <c:v>9.5300000000000003E-3</c:v>
                </c:pt>
                <c:pt idx="8">
                  <c:v>1.753E-2</c:v>
                </c:pt>
                <c:pt idx="9">
                  <c:v>2.6579999999999999E-2</c:v>
                </c:pt>
                <c:pt idx="10">
                  <c:v>3.2669999999999998E-2</c:v>
                </c:pt>
                <c:pt idx="11">
                  <c:v>1.839E-2</c:v>
                </c:pt>
                <c:pt idx="12">
                  <c:v>3.4049999999999997E-2</c:v>
                </c:pt>
                <c:pt idx="13">
                  <c:v>2.928E-2</c:v>
                </c:pt>
                <c:pt idx="14">
                  <c:v>2.3780000000000003E-2</c:v>
                </c:pt>
                <c:pt idx="15">
                  <c:v>2.7779999999999999E-2</c:v>
                </c:pt>
                <c:pt idx="16">
                  <c:v>3.1570000000000001E-2</c:v>
                </c:pt>
                <c:pt idx="17">
                  <c:v>3.5490000000000001E-2</c:v>
                </c:pt>
                <c:pt idx="18">
                  <c:v>3.9539999999999999E-2</c:v>
                </c:pt>
                <c:pt idx="19">
                  <c:v>4.8809999999999999E-2</c:v>
                </c:pt>
                <c:pt idx="20">
                  <c:v>4.3209999999999998E-2</c:v>
                </c:pt>
                <c:pt idx="21">
                  <c:v>5.3390000000000007E-2</c:v>
                </c:pt>
                <c:pt idx="22">
                  <c:v>6.6769999999999996E-2</c:v>
                </c:pt>
                <c:pt idx="23">
                  <c:v>6.4579999999999999E-2</c:v>
                </c:pt>
                <c:pt idx="24">
                  <c:v>4.3479999999999998E-2</c:v>
                </c:pt>
                <c:pt idx="25">
                  <c:v>4.0709999999999996E-2</c:v>
                </c:pt>
                <c:pt idx="26">
                  <c:v>7.041E-2</c:v>
                </c:pt>
                <c:pt idx="27">
                  <c:v>7.886E-2</c:v>
                </c:pt>
                <c:pt idx="28">
                  <c:v>5.8380000000000001E-2</c:v>
                </c:pt>
                <c:pt idx="29">
                  <c:v>4.9889999999999997E-2</c:v>
                </c:pt>
                <c:pt idx="30">
                  <c:v>5.2649999999999995E-2</c:v>
                </c:pt>
                <c:pt idx="31">
                  <c:v>7.2209999999999996E-2</c:v>
                </c:pt>
                <c:pt idx="32">
                  <c:v>0.10041</c:v>
                </c:pt>
                <c:pt idx="33">
                  <c:v>0.11506</c:v>
                </c:pt>
                <c:pt idx="34">
                  <c:v>0.14029</c:v>
                </c:pt>
                <c:pt idx="35">
                  <c:v>0.10686</c:v>
                </c:pt>
                <c:pt idx="36">
                  <c:v>8.6300000000000002E-2</c:v>
                </c:pt>
                <c:pt idx="37">
                  <c:v>9.5799999999999996E-2</c:v>
                </c:pt>
                <c:pt idx="38">
                  <c:v>7.4800000000000005E-2</c:v>
                </c:pt>
                <c:pt idx="39">
                  <c:v>5.9800000000000006E-2</c:v>
                </c:pt>
                <c:pt idx="40">
                  <c:v>5.8200000000000002E-2</c:v>
                </c:pt>
                <c:pt idx="41">
                  <c:v>6.6900000000000001E-2</c:v>
                </c:pt>
                <c:pt idx="42">
                  <c:v>8.1199999999999994E-2</c:v>
                </c:pt>
                <c:pt idx="43">
                  <c:v>7.51E-2</c:v>
                </c:pt>
                <c:pt idx="44">
                  <c:v>5.4199999999999998E-2</c:v>
                </c:pt>
                <c:pt idx="45">
                  <c:v>3.4500000000000003E-2</c:v>
                </c:pt>
                <c:pt idx="46">
                  <c:v>3.0200000000000001E-2</c:v>
                </c:pt>
                <c:pt idx="47">
                  <c:v>4.2900000000000001E-2</c:v>
                </c:pt>
                <c:pt idx="48">
                  <c:v>5.5099999999999996E-2</c:v>
                </c:pt>
                <c:pt idx="49">
                  <c:v>5.0199999999999995E-2</c:v>
                </c:pt>
                <c:pt idx="50">
                  <c:v>5.0700000000000002E-2</c:v>
                </c:pt>
                <c:pt idx="51">
                  <c:v>4.8099999999999997E-2</c:v>
                </c:pt>
                <c:pt idx="52">
                  <c:v>4.6600000000000003E-2</c:v>
                </c:pt>
                <c:pt idx="53">
                  <c:v>5.8499999999999996E-2</c:v>
                </c:pt>
                <c:pt idx="54">
                  <c:v>3.4500000000000003E-2</c:v>
                </c:pt>
                <c:pt idx="55">
                  <c:v>1.6200000000000003E-2</c:v>
                </c:pt>
                <c:pt idx="56">
                  <c:v>1.0200000000000001E-2</c:v>
                </c:pt>
                <c:pt idx="57">
                  <c:v>1.38E-2</c:v>
                </c:pt>
                <c:pt idx="58">
                  <c:v>3.1600000000000003E-2</c:v>
                </c:pt>
                <c:pt idx="59">
                  <c:v>4.7300000000000002E-2</c:v>
                </c:pt>
                <c:pt idx="60">
                  <c:v>4.41E-2</c:v>
                </c:pt>
                <c:pt idx="61">
                  <c:v>1.4800000000000001E-2</c:v>
                </c:pt>
                <c:pt idx="62">
                  <c:v>1.6000000000000001E-3</c:v>
                </c:pt>
                <c:pt idx="63">
                  <c:v>1.4000000000000002E-3</c:v>
                </c:pt>
                <c:pt idx="64">
                  <c:v>5.9999999999999995E-4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'Ch 16 data'!$B$43</c:f>
              <c:strCache>
                <c:ptCount val="1"/>
              </c:strCache>
            </c:strRef>
          </c:tx>
          <c:spPr>
            <a:ln w="444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'Ch 16 data'!$F$40:$BR$40</c:f>
              <c:numCache>
                <c:formatCode>General</c:formatCode>
                <c:ptCount val="65"/>
                <c:pt idx="32" formatCode="0.00%">
                  <c:v>0.10041</c:v>
                </c:pt>
                <c:pt idx="33" formatCode="0.00%">
                  <c:v>0.11506</c:v>
                </c:pt>
                <c:pt idx="34" formatCode="0.00%">
                  <c:v>0.14029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66144"/>
        <c:axId val="287372032"/>
      </c:lineChart>
      <c:lineChart>
        <c:grouping val="standard"/>
        <c:varyColors val="0"/>
        <c:ser>
          <c:idx val="2"/>
          <c:order val="2"/>
          <c:tx>
            <c:strRef>
              <c:f>'Ch 16 data'!#REF!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val>
            <c:numRef>
              <c:f>'Ch 16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982144"/>
        <c:axId val="287373568"/>
      </c:lineChart>
      <c:catAx>
        <c:axId val="287366144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7372032"/>
        <c:crossesAt val="-0.30000000000000004"/>
        <c:auto val="1"/>
        <c:lblAlgn val="ctr"/>
        <c:lblOffset val="100"/>
        <c:tickLblSkip val="4"/>
        <c:tickMarkSkip val="4"/>
        <c:noMultiLvlLbl val="0"/>
      </c:catAx>
      <c:valAx>
        <c:axId val="287372032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7366144"/>
        <c:crossesAt val="1"/>
        <c:crossBetween val="midCat"/>
      </c:valAx>
      <c:valAx>
        <c:axId val="287373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6982144"/>
        <c:crosses val="max"/>
        <c:crossBetween val="between"/>
      </c:valAx>
      <c:catAx>
        <c:axId val="286982144"/>
        <c:scaling>
          <c:orientation val="minMax"/>
        </c:scaling>
        <c:delete val="1"/>
        <c:axPos val="b"/>
        <c:majorTickMark val="out"/>
        <c:minorTickMark val="none"/>
        <c:tickLblPos val="nextTo"/>
        <c:crossAx val="28737356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693070017514155E-2"/>
          <c:y val="3.3413038496846591E-2"/>
          <c:w val="0.90664662213531488"/>
          <c:h val="0.90705806529377875"/>
        </c:manualLayout>
      </c:layout>
      <c:lineChart>
        <c:grouping val="standard"/>
        <c:varyColors val="0"/>
        <c:ser>
          <c:idx val="1"/>
          <c:order val="0"/>
          <c:tx>
            <c:strRef>
              <c:f>'Ch 16 data'!$D$28</c:f>
              <c:strCache>
                <c:ptCount val="1"/>
                <c:pt idx="0">
                  <c:v>NetIropcorp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data'!$S$2:$BR$2</c:f>
              <c:numCache>
                <c:formatCode>General</c:formatCode>
                <c:ptCount val="5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</c:numCache>
            </c:numRef>
          </c:cat>
          <c:val>
            <c:numRef>
              <c:f>'Ch 16 data'!$S$24:$BR$24</c:f>
              <c:numCache>
                <c:formatCode>0.00%</c:formatCode>
                <c:ptCount val="52"/>
                <c:pt idx="0">
                  <c:v>2.928E-2</c:v>
                </c:pt>
                <c:pt idx="1">
                  <c:v>2.3780000000000003E-2</c:v>
                </c:pt>
                <c:pt idx="2">
                  <c:v>2.7779999999999999E-2</c:v>
                </c:pt>
                <c:pt idx="3">
                  <c:v>3.1570000000000001E-2</c:v>
                </c:pt>
                <c:pt idx="4">
                  <c:v>3.5490000000000001E-2</c:v>
                </c:pt>
                <c:pt idx="5">
                  <c:v>3.9539999999999999E-2</c:v>
                </c:pt>
                <c:pt idx="6">
                  <c:v>4.8809999999999999E-2</c:v>
                </c:pt>
                <c:pt idx="7">
                  <c:v>4.3209999999999998E-2</c:v>
                </c:pt>
                <c:pt idx="8">
                  <c:v>5.3390000000000007E-2</c:v>
                </c:pt>
                <c:pt idx="9">
                  <c:v>6.6769999999999996E-2</c:v>
                </c:pt>
                <c:pt idx="10">
                  <c:v>6.4579999999999999E-2</c:v>
                </c:pt>
                <c:pt idx="11">
                  <c:v>4.3479999999999998E-2</c:v>
                </c:pt>
                <c:pt idx="12">
                  <c:v>4.0709999999999996E-2</c:v>
                </c:pt>
                <c:pt idx="13">
                  <c:v>7.041E-2</c:v>
                </c:pt>
                <c:pt idx="14">
                  <c:v>7.886E-2</c:v>
                </c:pt>
                <c:pt idx="15">
                  <c:v>5.8380000000000001E-2</c:v>
                </c:pt>
                <c:pt idx="16">
                  <c:v>4.9889999999999997E-2</c:v>
                </c:pt>
                <c:pt idx="17">
                  <c:v>5.2649999999999995E-2</c:v>
                </c:pt>
                <c:pt idx="18">
                  <c:v>7.2209999999999996E-2</c:v>
                </c:pt>
                <c:pt idx="19">
                  <c:v>0.10041</c:v>
                </c:pt>
                <c:pt idx="20">
                  <c:v>0.11506</c:v>
                </c:pt>
                <c:pt idx="21">
                  <c:v>0.14029</c:v>
                </c:pt>
                <c:pt idx="22">
                  <c:v>0.10686</c:v>
                </c:pt>
                <c:pt idx="23">
                  <c:v>8.6300000000000002E-2</c:v>
                </c:pt>
                <c:pt idx="24">
                  <c:v>9.5799999999999996E-2</c:v>
                </c:pt>
                <c:pt idx="25">
                  <c:v>7.4800000000000005E-2</c:v>
                </c:pt>
                <c:pt idx="26">
                  <c:v>5.9800000000000006E-2</c:v>
                </c:pt>
                <c:pt idx="27">
                  <c:v>5.8200000000000002E-2</c:v>
                </c:pt>
                <c:pt idx="28">
                  <c:v>6.6900000000000001E-2</c:v>
                </c:pt>
                <c:pt idx="29">
                  <c:v>8.1199999999999994E-2</c:v>
                </c:pt>
                <c:pt idx="30">
                  <c:v>7.51E-2</c:v>
                </c:pt>
                <c:pt idx="31">
                  <c:v>5.4199999999999998E-2</c:v>
                </c:pt>
                <c:pt idx="32">
                  <c:v>3.4500000000000003E-2</c:v>
                </c:pt>
                <c:pt idx="33">
                  <c:v>3.0200000000000001E-2</c:v>
                </c:pt>
                <c:pt idx="34">
                  <c:v>4.2900000000000001E-2</c:v>
                </c:pt>
                <c:pt idx="35">
                  <c:v>5.5099999999999996E-2</c:v>
                </c:pt>
                <c:pt idx="36">
                  <c:v>5.0199999999999995E-2</c:v>
                </c:pt>
                <c:pt idx="37">
                  <c:v>5.0700000000000002E-2</c:v>
                </c:pt>
                <c:pt idx="38">
                  <c:v>4.8099999999999997E-2</c:v>
                </c:pt>
                <c:pt idx="39">
                  <c:v>4.6600000000000003E-2</c:v>
                </c:pt>
                <c:pt idx="40">
                  <c:v>5.8499999999999996E-2</c:v>
                </c:pt>
                <c:pt idx="41">
                  <c:v>3.4500000000000003E-2</c:v>
                </c:pt>
                <c:pt idx="42">
                  <c:v>1.6200000000000003E-2</c:v>
                </c:pt>
                <c:pt idx="43">
                  <c:v>1.0200000000000001E-2</c:v>
                </c:pt>
                <c:pt idx="44">
                  <c:v>1.38E-2</c:v>
                </c:pt>
                <c:pt idx="45">
                  <c:v>3.1600000000000003E-2</c:v>
                </c:pt>
                <c:pt idx="46">
                  <c:v>4.7300000000000002E-2</c:v>
                </c:pt>
                <c:pt idx="47">
                  <c:v>4.41E-2</c:v>
                </c:pt>
                <c:pt idx="48">
                  <c:v>1.4800000000000001E-2</c:v>
                </c:pt>
                <c:pt idx="49">
                  <c:v>1.6000000000000001E-3</c:v>
                </c:pt>
                <c:pt idx="50">
                  <c:v>1.4000000000000002E-3</c:v>
                </c:pt>
                <c:pt idx="51">
                  <c:v>5.9999999999999995E-4</c:v>
                </c:pt>
              </c:numCache>
            </c:numRef>
          </c:val>
          <c:smooth val="0"/>
        </c:ser>
        <c:ser>
          <c:idx val="6"/>
          <c:order val="1"/>
          <c:tx>
            <c:strRef>
              <c:f>'Ch 16 data'!$D$44</c:f>
              <c:strCache>
                <c:ptCount val="1"/>
                <c:pt idx="0">
                  <c:v>HH Debt Service Ratio</c:v>
                </c:pt>
              </c:strCache>
            </c:strRef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'Ch 16 data'!$S$2:$BR$2</c:f>
              <c:numCache>
                <c:formatCode>General</c:formatCode>
                <c:ptCount val="5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</c:numCache>
            </c:numRef>
          </c:cat>
          <c:val>
            <c:numRef>
              <c:f>'Ch 16 data'!$S$41:$BR$41</c:f>
              <c:numCache>
                <c:formatCode>0.00%</c:formatCode>
                <c:ptCount val="52"/>
                <c:pt idx="0">
                  <c:v>4.9133504407290293E-2</c:v>
                </c:pt>
                <c:pt idx="1">
                  <c:v>4.638770654060418E-2</c:v>
                </c:pt>
                <c:pt idx="2">
                  <c:v>4.5435947891659341E-2</c:v>
                </c:pt>
                <c:pt idx="3">
                  <c:v>4.6036691150504794E-2</c:v>
                </c:pt>
                <c:pt idx="4">
                  <c:v>4.9630778258356295E-2</c:v>
                </c:pt>
                <c:pt idx="5">
                  <c:v>5.4616059692168754E-2</c:v>
                </c:pt>
                <c:pt idx="6">
                  <c:v>6.2255005889280388E-2</c:v>
                </c:pt>
                <c:pt idx="7">
                  <c:v>5.7028601564675679E-2</c:v>
                </c:pt>
                <c:pt idx="8">
                  <c:v>5.9307383361669297E-2</c:v>
                </c:pt>
                <c:pt idx="9">
                  <c:v>7.2530996045776619E-2</c:v>
                </c:pt>
                <c:pt idx="10">
                  <c:v>8.0787534737091993E-2</c:v>
                </c:pt>
                <c:pt idx="11">
                  <c:v>6.3591206491675295E-2</c:v>
                </c:pt>
                <c:pt idx="12">
                  <c:v>5.8279721464529609E-2</c:v>
                </c:pt>
                <c:pt idx="13">
                  <c:v>8.6254267740019944E-2</c:v>
                </c:pt>
                <c:pt idx="14">
                  <c:v>0.10422777381869762</c:v>
                </c:pt>
                <c:pt idx="15">
                  <c:v>7.6860798142148079E-2</c:v>
                </c:pt>
                <c:pt idx="16">
                  <c:v>7.7019208795629943E-2</c:v>
                </c:pt>
                <c:pt idx="17">
                  <c:v>7.438839813427206E-2</c:v>
                </c:pt>
                <c:pt idx="18">
                  <c:v>7.7352934314325217E-2</c:v>
                </c:pt>
                <c:pt idx="19">
                  <c:v>9.9396432167403279E-2</c:v>
                </c:pt>
                <c:pt idx="20">
                  <c:v>0.12005181997346051</c:v>
                </c:pt>
                <c:pt idx="21">
                  <c:v>0.13930953820413353</c:v>
                </c:pt>
                <c:pt idx="22">
                  <c:v>0.11932403019271824</c:v>
                </c:pt>
                <c:pt idx="23">
                  <c:v>9.5058722668257822E-2</c:v>
                </c:pt>
                <c:pt idx="24">
                  <c:v>9.7363551011295235E-2</c:v>
                </c:pt>
                <c:pt idx="25">
                  <c:v>8.588176626890473E-2</c:v>
                </c:pt>
                <c:pt idx="26">
                  <c:v>7.2059542941861551E-2</c:v>
                </c:pt>
                <c:pt idx="27">
                  <c:v>6.9447297022016713E-2</c:v>
                </c:pt>
                <c:pt idx="28">
                  <c:v>7.212436288682611E-2</c:v>
                </c:pt>
                <c:pt idx="29">
                  <c:v>8.8028155046519563E-2</c:v>
                </c:pt>
                <c:pt idx="30">
                  <c:v>9.6354915867203308E-2</c:v>
                </c:pt>
                <c:pt idx="31">
                  <c:v>8.5817108616379964E-2</c:v>
                </c:pt>
                <c:pt idx="32">
                  <c:v>7.3962792466979468E-2</c:v>
                </c:pt>
                <c:pt idx="33">
                  <c:v>5.7132434192124756E-2</c:v>
                </c:pt>
                <c:pt idx="34">
                  <c:v>5.7989423546240267E-2</c:v>
                </c:pt>
                <c:pt idx="35">
                  <c:v>5.9400471566150283E-2</c:v>
                </c:pt>
                <c:pt idx="36">
                  <c:v>4.7785455321685245E-2</c:v>
                </c:pt>
                <c:pt idx="37">
                  <c:v>4.4430146778104251E-2</c:v>
                </c:pt>
                <c:pt idx="38">
                  <c:v>4.1352092186909661E-2</c:v>
                </c:pt>
                <c:pt idx="39">
                  <c:v>3.9510147219643993E-2</c:v>
                </c:pt>
                <c:pt idx="40">
                  <c:v>4.8764782564484258E-2</c:v>
                </c:pt>
                <c:pt idx="41">
                  <c:v>3.8688763607497109E-2</c:v>
                </c:pt>
                <c:pt idx="42">
                  <c:v>2.8962843053612804E-2</c:v>
                </c:pt>
                <c:pt idx="43">
                  <c:v>2.2565492448344052E-2</c:v>
                </c:pt>
                <c:pt idx="44">
                  <c:v>2.4097420018320066E-2</c:v>
                </c:pt>
                <c:pt idx="45">
                  <c:v>2.7830400917681949E-2</c:v>
                </c:pt>
                <c:pt idx="46">
                  <c:v>3.657379469833752E-2</c:v>
                </c:pt>
                <c:pt idx="47">
                  <c:v>4.2307966373964855E-2</c:v>
                </c:pt>
                <c:pt idx="48">
                  <c:v>3.6497181944516122E-2</c:v>
                </c:pt>
                <c:pt idx="49">
                  <c:v>1.3606428754510924E-2</c:v>
                </c:pt>
                <c:pt idx="50">
                  <c:v>8.96033113101939E-3</c:v>
                </c:pt>
                <c:pt idx="51">
                  <c:v>1.5376370706317224E-2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080448"/>
        <c:axId val="287081984"/>
      </c:lineChart>
      <c:catAx>
        <c:axId val="287080448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7081984"/>
        <c:crossesAt val="-0.30000000000000004"/>
        <c:auto val="1"/>
        <c:lblAlgn val="ctr"/>
        <c:lblOffset val="100"/>
        <c:tickLblSkip val="4"/>
        <c:tickMarkSkip val="4"/>
        <c:noMultiLvlLbl val="0"/>
      </c:catAx>
      <c:valAx>
        <c:axId val="28708198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87080448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'Ch 16 data'!$D$25</c:f>
              <c:strCache>
                <c:ptCount val="1"/>
                <c:pt idx="0">
                  <c:v>Netrcorp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data'!$F$25:$BR$25</c:f>
              <c:numCache>
                <c:formatCode>0.00%</c:formatCode>
                <c:ptCount val="65"/>
                <c:pt idx="0">
                  <c:v>0.14374603640540254</c:v>
                </c:pt>
                <c:pt idx="1">
                  <c:v>0.15356352075207297</c:v>
                </c:pt>
                <c:pt idx="2">
                  <c:v>0.12595282511983766</c:v>
                </c:pt>
                <c:pt idx="3">
                  <c:v>0.15010416548642547</c:v>
                </c:pt>
                <c:pt idx="4">
                  <c:v>0.14431193761787534</c:v>
                </c:pt>
                <c:pt idx="5">
                  <c:v>0.11854216468779806</c:v>
                </c:pt>
                <c:pt idx="6">
                  <c:v>0.10873516198321895</c:v>
                </c:pt>
                <c:pt idx="7">
                  <c:v>0.10808730156428303</c:v>
                </c:pt>
                <c:pt idx="8">
                  <c:v>0.12605784472133991</c:v>
                </c:pt>
                <c:pt idx="9">
                  <c:v>9.892926044329553E-2</c:v>
                </c:pt>
                <c:pt idx="10">
                  <c:v>7.9384004990327994E-2</c:v>
                </c:pt>
                <c:pt idx="11">
                  <c:v>7.6664317592488637E-2</c:v>
                </c:pt>
                <c:pt idx="12">
                  <c:v>7.9762255694978038E-2</c:v>
                </c:pt>
                <c:pt idx="13">
                  <c:v>7.6423078308895456E-2</c:v>
                </c:pt>
                <c:pt idx="14">
                  <c:v>8.1386579558139133E-2</c:v>
                </c:pt>
                <c:pt idx="15">
                  <c:v>8.829789249317023E-2</c:v>
                </c:pt>
                <c:pt idx="16">
                  <c:v>8.9860692031779613E-2</c:v>
                </c:pt>
                <c:pt idx="17">
                  <c:v>9.2647385919159664E-2</c:v>
                </c:pt>
                <c:pt idx="18">
                  <c:v>9.864209006945085E-2</c:v>
                </c:pt>
                <c:pt idx="19">
                  <c:v>8.8992502597303486E-2</c:v>
                </c:pt>
                <c:pt idx="20">
                  <c:v>8.1531594369169388E-2</c:v>
                </c:pt>
                <c:pt idx="21">
                  <c:v>7.0462297266926946E-2</c:v>
                </c:pt>
                <c:pt idx="22">
                  <c:v>4.5723428653347067E-2</c:v>
                </c:pt>
                <c:pt idx="23">
                  <c:v>2.8736823727352867E-2</c:v>
                </c:pt>
                <c:pt idx="24">
                  <c:v>5.2153540573712555E-2</c:v>
                </c:pt>
                <c:pt idx="25">
                  <c:v>5.7704551200063556E-2</c:v>
                </c:pt>
                <c:pt idx="26">
                  <c:v>2.8096632073837238E-2</c:v>
                </c:pt>
                <c:pt idx="27">
                  <c:v>5.6481359668314329E-3</c:v>
                </c:pt>
                <c:pt idx="28">
                  <c:v>2.1882903524936687E-2</c:v>
                </c:pt>
                <c:pt idx="29">
                  <c:v>3.293247340114034E-2</c:v>
                </c:pt>
                <c:pt idx="30">
                  <c:v>3.350885286003797E-2</c:v>
                </c:pt>
                <c:pt idx="31">
                  <c:v>1.5649246888513421E-2</c:v>
                </c:pt>
                <c:pt idx="32">
                  <c:v>-2.0305403005831113E-2</c:v>
                </c:pt>
                <c:pt idx="33">
                  <c:v>-4.7699116361590826E-2</c:v>
                </c:pt>
                <c:pt idx="34">
                  <c:v>-7.065768542716569E-2</c:v>
                </c:pt>
                <c:pt idx="35">
                  <c:v>-4.6983979479657115E-2</c:v>
                </c:pt>
                <c:pt idx="36">
                  <c:v>-2.1023514890571193E-2</c:v>
                </c:pt>
                <c:pt idx="37">
                  <c:v>-1.8707044354936295E-2</c:v>
                </c:pt>
                <c:pt idx="38">
                  <c:v>8.9964867766975654E-4</c:v>
                </c:pt>
                <c:pt idx="39">
                  <c:v>9.1925510699552154E-3</c:v>
                </c:pt>
                <c:pt idx="40">
                  <c:v>1.4322722925103643E-2</c:v>
                </c:pt>
                <c:pt idx="41">
                  <c:v>1.0426709710848123E-2</c:v>
                </c:pt>
                <c:pt idx="42">
                  <c:v>-5.2630507517121838E-3</c:v>
                </c:pt>
                <c:pt idx="43">
                  <c:v>-3.0992648946336215E-3</c:v>
                </c:pt>
                <c:pt idx="44">
                  <c:v>1.5175725449514635E-2</c:v>
                </c:pt>
                <c:pt idx="45">
                  <c:v>3.460071148592736E-2</c:v>
                </c:pt>
                <c:pt idx="46">
                  <c:v>3.9418153175052401E-2</c:v>
                </c:pt>
                <c:pt idx="47">
                  <c:v>3.2309740086175091E-2</c:v>
                </c:pt>
                <c:pt idx="48">
                  <c:v>2.3677192542609832E-2</c:v>
                </c:pt>
                <c:pt idx="49">
                  <c:v>3.2797810858158499E-2</c:v>
                </c:pt>
                <c:pt idx="50">
                  <c:v>3.5339875264558764E-2</c:v>
                </c:pt>
                <c:pt idx="51">
                  <c:v>3.1279445982251707E-2</c:v>
                </c:pt>
                <c:pt idx="52">
                  <c:v>3.2157840598749599E-2</c:v>
                </c:pt>
                <c:pt idx="53">
                  <c:v>1.5255049062107312E-2</c:v>
                </c:pt>
                <c:pt idx="54">
                  <c:v>3.1429291387084793E-2</c:v>
                </c:pt>
                <c:pt idx="55">
                  <c:v>4.9320678888437913E-2</c:v>
                </c:pt>
                <c:pt idx="56">
                  <c:v>5.6929641638587478E-2</c:v>
                </c:pt>
                <c:pt idx="57">
                  <c:v>6.3717195414237593E-2</c:v>
                </c:pt>
                <c:pt idx="58">
                  <c:v>5.0595330303336086E-2</c:v>
                </c:pt>
                <c:pt idx="59">
                  <c:v>3.4921749948446469E-2</c:v>
                </c:pt>
                <c:pt idx="60">
                  <c:v>2.6924219335660637E-2</c:v>
                </c:pt>
                <c:pt idx="61">
                  <c:v>4.1149314688168855E-2</c:v>
                </c:pt>
                <c:pt idx="62">
                  <c:v>5.6340245117883214E-2</c:v>
                </c:pt>
                <c:pt idx="63">
                  <c:v>7.1476547747278657E-2</c:v>
                </c:pt>
                <c:pt idx="64">
                  <c:v>7.4773104079366451E-2</c:v>
                </c:pt>
              </c:numCache>
            </c:numRef>
          </c:val>
          <c:smooth val="0"/>
        </c:ser>
        <c:ser>
          <c:idx val="6"/>
          <c:order val="1"/>
          <c:tx>
            <c:strRef>
              <c:f>'Ch 16 data'!$D$30</c:f>
              <c:strCache>
                <c:ptCount val="1"/>
                <c:pt idx="0">
                  <c:v>NetIropcorpHP100(-1)</c:v>
                </c:pt>
              </c:strCache>
            </c:strRef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'Ch 16 data'!$F$3:$BR$3</c:f>
              <c:numCache>
                <c:formatCode>General</c:formatCode>
                <c:ptCount val="65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</c:numCache>
            </c:numRef>
          </c:cat>
          <c:val>
            <c:numRef>
              <c:f>'Ch 16 data'!$F$30:$BR$30</c:f>
              <c:numCache>
                <c:formatCode>0.00%</c:formatCode>
                <c:ptCount val="65"/>
                <c:pt idx="2">
                  <c:v>0.15210622652831399</c:v>
                </c:pt>
                <c:pt idx="3">
                  <c:v>0.13192995709819899</c:v>
                </c:pt>
                <c:pt idx="4">
                  <c:v>0.11327562540280101</c:v>
                </c:pt>
                <c:pt idx="5">
                  <c:v>9.5041869605855797E-2</c:v>
                </c:pt>
                <c:pt idx="6">
                  <c:v>7.9264571617068694E-2</c:v>
                </c:pt>
                <c:pt idx="7">
                  <c:v>6.7616194650088807E-2</c:v>
                </c:pt>
                <c:pt idx="8">
                  <c:v>5.9934556202393803E-2</c:v>
                </c:pt>
                <c:pt idx="9">
                  <c:v>5.5355311824960597E-2</c:v>
                </c:pt>
                <c:pt idx="10">
                  <c:v>5.2186771506742197E-2</c:v>
                </c:pt>
                <c:pt idx="11">
                  <c:v>5.2691692118441699E-2</c:v>
                </c:pt>
                <c:pt idx="12">
                  <c:v>5.71659628156952E-2</c:v>
                </c:pt>
                <c:pt idx="13">
                  <c:v>6.4602555832954003E-2</c:v>
                </c:pt>
                <c:pt idx="14">
                  <c:v>7.2254783776512704E-2</c:v>
                </c:pt>
                <c:pt idx="15">
                  <c:v>7.9602933694336103E-2</c:v>
                </c:pt>
                <c:pt idx="16">
                  <c:v>8.5060744796624302E-2</c:v>
                </c:pt>
                <c:pt idx="17">
                  <c:v>8.6705926956633705E-2</c:v>
                </c:pt>
                <c:pt idx="18">
                  <c:v>8.3945582599654706E-2</c:v>
                </c:pt>
                <c:pt idx="19">
                  <c:v>7.6689754881411096E-2</c:v>
                </c:pt>
                <c:pt idx="20">
                  <c:v>6.55070311316302E-2</c:v>
                </c:pt>
                <c:pt idx="21">
                  <c:v>5.2381101131225197E-2</c:v>
                </c:pt>
                <c:pt idx="22">
                  <c:v>3.9483584349793197E-2</c:v>
                </c:pt>
                <c:pt idx="23">
                  <c:v>2.80072892456187E-2</c:v>
                </c:pt>
                <c:pt idx="24">
                  <c:v>1.92531884334885E-2</c:v>
                </c:pt>
                <c:pt idx="25">
                  <c:v>1.3483181635733201E-2</c:v>
                </c:pt>
                <c:pt idx="26">
                  <c:v>9.0146366903484498E-3</c:v>
                </c:pt>
                <c:pt idx="27">
                  <c:v>4.9050896189725404E-3</c:v>
                </c:pt>
                <c:pt idx="28">
                  <c:v>1.39593007634034E-3</c:v>
                </c:pt>
                <c:pt idx="29">
                  <c:v>-9.5450317900302702E-4</c:v>
                </c:pt>
                <c:pt idx="30">
                  <c:v>-3.1568306892758502E-3</c:v>
                </c:pt>
                <c:pt idx="31">
                  <c:v>-6.2841279649063801E-3</c:v>
                </c:pt>
                <c:pt idx="32">
                  <c:v>-1.0087902209430099E-2</c:v>
                </c:pt>
                <c:pt idx="33">
                  <c:v>-1.34368193467335E-2</c:v>
                </c:pt>
                <c:pt idx="34">
                  <c:v>-1.45076662786086E-2</c:v>
                </c:pt>
                <c:pt idx="35">
                  <c:v>-1.2335861713380299E-2</c:v>
                </c:pt>
                <c:pt idx="36">
                  <c:v>-7.5397476965874E-3</c:v>
                </c:pt>
                <c:pt idx="37">
                  <c:v>-9.1530765663465005E-4</c:v>
                </c:pt>
                <c:pt idx="38">
                  <c:v>5.4138724550388401E-3</c:v>
                </c:pt>
                <c:pt idx="39">
                  <c:v>1.05373597635603E-2</c:v>
                </c:pt>
                <c:pt idx="40">
                  <c:v>1.51035826695068E-2</c:v>
                </c:pt>
                <c:pt idx="41">
                  <c:v>1.9733595975819501E-2</c:v>
                </c:pt>
                <c:pt idx="42">
                  <c:v>2.4268418658744802E-2</c:v>
                </c:pt>
                <c:pt idx="43">
                  <c:v>2.9093733734770501E-2</c:v>
                </c:pt>
                <c:pt idx="44">
                  <c:v>3.5016540033797401E-2</c:v>
                </c:pt>
                <c:pt idx="45">
                  <c:v>4.2437899048378303E-2</c:v>
                </c:pt>
                <c:pt idx="46">
                  <c:v>5.09027068707281E-2</c:v>
                </c:pt>
                <c:pt idx="47">
                  <c:v>5.9359480602577799E-2</c:v>
                </c:pt>
                <c:pt idx="48">
                  <c:v>6.6652710276951299E-2</c:v>
                </c:pt>
                <c:pt idx="49">
                  <c:v>7.1632291120846597E-2</c:v>
                </c:pt>
                <c:pt idx="50">
                  <c:v>7.3886591258492104E-2</c:v>
                </c:pt>
                <c:pt idx="51">
                  <c:v>7.3187655902908003E-2</c:v>
                </c:pt>
                <c:pt idx="52">
                  <c:v>7.0416664354529396E-2</c:v>
                </c:pt>
                <c:pt idx="53">
                  <c:v>6.6980919354762497E-2</c:v>
                </c:pt>
                <c:pt idx="54">
                  <c:v>6.3709557001468103E-2</c:v>
                </c:pt>
                <c:pt idx="55">
                  <c:v>6.1520904198959399E-2</c:v>
                </c:pt>
                <c:pt idx="56">
                  <c:v>6.0604192281534998E-2</c:v>
                </c:pt>
                <c:pt idx="57">
                  <c:v>6.02704435415038E-2</c:v>
                </c:pt>
                <c:pt idx="58">
                  <c:v>5.9834638348359399E-2</c:v>
                </c:pt>
                <c:pt idx="59">
                  <c:v>5.8905052636180497E-2</c:v>
                </c:pt>
                <c:pt idx="60">
                  <c:v>5.8693615955562099E-2</c:v>
                </c:pt>
                <c:pt idx="61">
                  <c:v>6.1167207330737203E-2</c:v>
                </c:pt>
                <c:pt idx="62">
                  <c:v>6.8193769626383502E-2</c:v>
                </c:pt>
                <c:pt idx="63">
                  <c:v>7.9845573633871195E-2</c:v>
                </c:pt>
                <c:pt idx="64">
                  <c:v>9.3432952448306697E-2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791296"/>
        <c:axId val="192792832"/>
      </c:lineChart>
      <c:catAx>
        <c:axId val="1927912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2792832"/>
        <c:crossesAt val="-0.30000000000000004"/>
        <c:auto val="1"/>
        <c:lblAlgn val="ctr"/>
        <c:lblOffset val="100"/>
        <c:tickLblSkip val="4"/>
        <c:tickMarkSkip val="4"/>
        <c:noMultiLvlLbl val="0"/>
      </c:catAx>
      <c:valAx>
        <c:axId val="192792832"/>
        <c:scaling>
          <c:orientation val="minMax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2791296"/>
        <c:crossesAt val="1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934621668774408E-2"/>
          <c:y val="4.0805273936880666E-2"/>
          <c:w val="0.87861923179883872"/>
          <c:h val="0.86934253876585299"/>
        </c:manualLayout>
      </c:layout>
      <c:lineChart>
        <c:grouping val="standard"/>
        <c:varyColors val="0"/>
        <c:ser>
          <c:idx val="0"/>
          <c:order val="0"/>
          <c:tx>
            <c:strRef>
              <c:f>DebtInRatio!$D$4</c:f>
              <c:strCache>
                <c:ptCount val="1"/>
                <c:pt idx="0">
                  <c:v>HHDebtIncRatio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DebtInRatio!$A$5:$A$42</c:f>
              <c:numCache>
                <c:formatCode>General</c:formatCode>
                <c:ptCount val="38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</c:numCache>
            </c:numRef>
          </c:cat>
          <c:val>
            <c:numRef>
              <c:f>DebtInRatio!$D$5:$D$42</c:f>
              <c:numCache>
                <c:formatCode>0.00%</c:formatCode>
                <c:ptCount val="38"/>
                <c:pt idx="0">
                  <c:v>0.61846205676745558</c:v>
                </c:pt>
                <c:pt idx="1">
                  <c:v>0.6288105659218306</c:v>
                </c:pt>
                <c:pt idx="2">
                  <c:v>0.65972125435540074</c:v>
                </c:pt>
                <c:pt idx="3">
                  <c:v>0.68773719902942831</c:v>
                </c:pt>
                <c:pt idx="4">
                  <c:v>0.71254676419677243</c:v>
                </c:pt>
                <c:pt idx="5">
                  <c:v>0.69705897038997355</c:v>
                </c:pt>
                <c:pt idx="6">
                  <c:v>0.67372938178892317</c:v>
                </c:pt>
                <c:pt idx="7">
                  <c:v>0.6533758859369172</c:v>
                </c:pt>
                <c:pt idx="8">
                  <c:v>0.66620509269943839</c:v>
                </c:pt>
                <c:pt idx="9">
                  <c:v>0.67207331834687878</c:v>
                </c:pt>
                <c:pt idx="10">
                  <c:v>0.73971357126619686</c:v>
                </c:pt>
                <c:pt idx="11">
                  <c:v>0.77859948447281213</c:v>
                </c:pt>
                <c:pt idx="12">
                  <c:v>0.80199691438884513</c:v>
                </c:pt>
                <c:pt idx="13">
                  <c:v>0.81678877170383479</c:v>
                </c:pt>
                <c:pt idx="14">
                  <c:v>0.83153780628350948</c:v>
                </c:pt>
                <c:pt idx="15">
                  <c:v>0.84177244945933238</c:v>
                </c:pt>
                <c:pt idx="16">
                  <c:v>0.84809557020405413</c:v>
                </c:pt>
                <c:pt idx="17">
                  <c:v>0.83822070217662092</c:v>
                </c:pt>
                <c:pt idx="18">
                  <c:v>0.85547382964889462</c:v>
                </c:pt>
                <c:pt idx="19">
                  <c:v>0.87413922805393207</c:v>
                </c:pt>
                <c:pt idx="20">
                  <c:v>0.88715411398204136</c:v>
                </c:pt>
                <c:pt idx="21">
                  <c:v>0.89884714216265016</c:v>
                </c:pt>
                <c:pt idx="22">
                  <c:v>0.90172192407730556</c:v>
                </c:pt>
                <c:pt idx="23">
                  <c:v>0.9083691086183816</c:v>
                </c:pt>
                <c:pt idx="24">
                  <c:v>0.94013199476724529</c:v>
                </c:pt>
                <c:pt idx="25">
                  <c:v>0.95361120209629879</c:v>
                </c:pt>
                <c:pt idx="26">
                  <c:v>1.0014120415767798</c:v>
                </c:pt>
                <c:pt idx="27">
                  <c:v>1.0592531555488969</c:v>
                </c:pt>
                <c:pt idx="28">
                  <c:v>1.1345460622120367</c:v>
                </c:pt>
                <c:pt idx="29">
                  <c:v>1.1890116318311699</c:v>
                </c:pt>
                <c:pt idx="30">
                  <c:v>1.2657669796169144</c:v>
                </c:pt>
                <c:pt idx="31">
                  <c:v>1.3039422330243955</c:v>
                </c:pt>
                <c:pt idx="32">
                  <c:v>1.3241202655512492</c:v>
                </c:pt>
                <c:pt idx="33">
                  <c:v>1.2556578529638531</c:v>
                </c:pt>
                <c:pt idx="34">
                  <c:v>1.2494404237857197</c:v>
                </c:pt>
                <c:pt idx="35">
                  <c:v>1.1737020427604676</c:v>
                </c:pt>
                <c:pt idx="36">
                  <c:v>1.1138077632410623</c:v>
                </c:pt>
                <c:pt idx="37">
                  <c:v>1.0726729591324431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5552"/>
        <c:axId val="192617088"/>
      </c:lineChart>
      <c:catAx>
        <c:axId val="192615552"/>
        <c:scaling>
          <c:orientation val="minMax"/>
        </c:scaling>
        <c:delete val="0"/>
        <c:axPos val="b"/>
        <c:majorGridlines>
          <c:spPr>
            <a:ln w="6350"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261708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92617088"/>
        <c:scaling>
          <c:orientation val="minMax"/>
          <c:min val="0.5"/>
        </c:scaling>
        <c:delete val="0"/>
        <c:axPos val="l"/>
        <c:majorGridlines>
          <c:spPr>
            <a:ln w="6350">
              <a:solidFill>
                <a:sysClr val="windowText" lastClr="000000"/>
              </a:solidFill>
              <a:prstDash val="dash"/>
            </a:ln>
          </c:spPr>
        </c:majorGridlines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2615552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80173083120538E-2"/>
          <c:y val="4.2823887632734384E-2"/>
          <c:w val="0.88033338629464974"/>
          <c:h val="0.85921413581702621"/>
        </c:manualLayout>
      </c:layout>
      <c:lineChart>
        <c:grouping val="standard"/>
        <c:varyColors val="0"/>
        <c:ser>
          <c:idx val="1"/>
          <c:order val="0"/>
          <c:tx>
            <c:strRef>
              <c:f>DebtServRatio!$C$2</c:f>
              <c:strCache>
                <c:ptCount val="1"/>
                <c:pt idx="0">
                  <c:v>Debt service ratio, seasonally adjusted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DebtServRatio!$A$8:$A$139</c:f>
              <c:strCache>
                <c:ptCount val="132"/>
                <c:pt idx="0">
                  <c:v>1980Q1</c:v>
                </c:pt>
                <c:pt idx="1">
                  <c:v>1980Q2</c:v>
                </c:pt>
                <c:pt idx="2">
                  <c:v>1980Q3</c:v>
                </c:pt>
                <c:pt idx="3">
                  <c:v>1980Q4</c:v>
                </c:pt>
                <c:pt idx="4">
                  <c:v>1981Q1</c:v>
                </c:pt>
                <c:pt idx="5">
                  <c:v>1981Q2</c:v>
                </c:pt>
                <c:pt idx="6">
                  <c:v>1981Q3</c:v>
                </c:pt>
                <c:pt idx="7">
                  <c:v>1981Q4</c:v>
                </c:pt>
                <c:pt idx="8">
                  <c:v>1982Q1</c:v>
                </c:pt>
                <c:pt idx="9">
                  <c:v>1982Q2</c:v>
                </c:pt>
                <c:pt idx="10">
                  <c:v>1982Q3</c:v>
                </c:pt>
                <c:pt idx="11">
                  <c:v>1982Q4</c:v>
                </c:pt>
                <c:pt idx="12">
                  <c:v>1983Q1</c:v>
                </c:pt>
                <c:pt idx="13">
                  <c:v>1983Q2</c:v>
                </c:pt>
                <c:pt idx="14">
                  <c:v>1983Q3</c:v>
                </c:pt>
                <c:pt idx="15">
                  <c:v>1983Q4</c:v>
                </c:pt>
                <c:pt idx="16">
                  <c:v>1984Q1</c:v>
                </c:pt>
                <c:pt idx="17">
                  <c:v>1984Q2</c:v>
                </c:pt>
                <c:pt idx="18">
                  <c:v>1984Q3</c:v>
                </c:pt>
                <c:pt idx="19">
                  <c:v>1984Q4</c:v>
                </c:pt>
                <c:pt idx="20">
                  <c:v>1985Q1</c:v>
                </c:pt>
                <c:pt idx="21">
                  <c:v>1985Q2</c:v>
                </c:pt>
                <c:pt idx="22">
                  <c:v>1985Q3</c:v>
                </c:pt>
                <c:pt idx="23">
                  <c:v>1985Q4</c:v>
                </c:pt>
                <c:pt idx="24">
                  <c:v>1986Q1</c:v>
                </c:pt>
                <c:pt idx="25">
                  <c:v>1986Q2</c:v>
                </c:pt>
                <c:pt idx="26">
                  <c:v>1986Q3</c:v>
                </c:pt>
                <c:pt idx="27">
                  <c:v>1986Q4</c:v>
                </c:pt>
                <c:pt idx="28">
                  <c:v>1987Q1</c:v>
                </c:pt>
                <c:pt idx="29">
                  <c:v>1987Q2</c:v>
                </c:pt>
                <c:pt idx="30">
                  <c:v>1987Q3</c:v>
                </c:pt>
                <c:pt idx="31">
                  <c:v>1987Q4</c:v>
                </c:pt>
                <c:pt idx="32">
                  <c:v>1988Q1</c:v>
                </c:pt>
                <c:pt idx="33">
                  <c:v>1988Q2</c:v>
                </c:pt>
                <c:pt idx="34">
                  <c:v>1988Q3</c:v>
                </c:pt>
                <c:pt idx="35">
                  <c:v>1988Q4</c:v>
                </c:pt>
                <c:pt idx="36">
                  <c:v>1989Q1</c:v>
                </c:pt>
                <c:pt idx="37">
                  <c:v>1989Q2</c:v>
                </c:pt>
                <c:pt idx="38">
                  <c:v>1989Q3</c:v>
                </c:pt>
                <c:pt idx="39">
                  <c:v>1989Q4</c:v>
                </c:pt>
                <c:pt idx="40">
                  <c:v>1990Q1</c:v>
                </c:pt>
                <c:pt idx="41">
                  <c:v>1990Q2</c:v>
                </c:pt>
                <c:pt idx="42">
                  <c:v>1990Q3</c:v>
                </c:pt>
                <c:pt idx="43">
                  <c:v>1990Q4</c:v>
                </c:pt>
                <c:pt idx="44">
                  <c:v>1991Q1</c:v>
                </c:pt>
                <c:pt idx="45">
                  <c:v>1991Q2</c:v>
                </c:pt>
                <c:pt idx="46">
                  <c:v>1991Q3</c:v>
                </c:pt>
                <c:pt idx="47">
                  <c:v>1991Q4</c:v>
                </c:pt>
                <c:pt idx="48">
                  <c:v>1992Q1</c:v>
                </c:pt>
                <c:pt idx="49">
                  <c:v>1992Q2</c:v>
                </c:pt>
                <c:pt idx="50">
                  <c:v>1992Q3</c:v>
                </c:pt>
                <c:pt idx="51">
                  <c:v>1992Q4</c:v>
                </c:pt>
                <c:pt idx="52">
                  <c:v>1993Q1</c:v>
                </c:pt>
                <c:pt idx="53">
                  <c:v>1993Q2</c:v>
                </c:pt>
                <c:pt idx="54">
                  <c:v>1993Q3</c:v>
                </c:pt>
                <c:pt idx="55">
                  <c:v>1993Q4</c:v>
                </c:pt>
                <c:pt idx="56">
                  <c:v>1994Q1</c:v>
                </c:pt>
                <c:pt idx="57">
                  <c:v>1994Q2</c:v>
                </c:pt>
                <c:pt idx="58">
                  <c:v>1994Q3</c:v>
                </c:pt>
                <c:pt idx="59">
                  <c:v>1994Q4</c:v>
                </c:pt>
                <c:pt idx="60">
                  <c:v>1995Q1</c:v>
                </c:pt>
                <c:pt idx="61">
                  <c:v>1995Q2</c:v>
                </c:pt>
                <c:pt idx="62">
                  <c:v>1995Q3</c:v>
                </c:pt>
                <c:pt idx="63">
                  <c:v>1995Q4</c:v>
                </c:pt>
                <c:pt idx="64">
                  <c:v>1996Q1</c:v>
                </c:pt>
                <c:pt idx="65">
                  <c:v>1996Q2</c:v>
                </c:pt>
                <c:pt idx="66">
                  <c:v>1996Q3</c:v>
                </c:pt>
                <c:pt idx="67">
                  <c:v>1996Q4</c:v>
                </c:pt>
                <c:pt idx="68">
                  <c:v>1997Q1</c:v>
                </c:pt>
                <c:pt idx="69">
                  <c:v>1997Q2</c:v>
                </c:pt>
                <c:pt idx="70">
                  <c:v>1997Q3</c:v>
                </c:pt>
                <c:pt idx="71">
                  <c:v>1997Q4</c:v>
                </c:pt>
                <c:pt idx="72">
                  <c:v>1998Q1</c:v>
                </c:pt>
                <c:pt idx="73">
                  <c:v>1998Q2</c:v>
                </c:pt>
                <c:pt idx="74">
                  <c:v>1998Q3</c:v>
                </c:pt>
                <c:pt idx="75">
                  <c:v>1998Q4</c:v>
                </c:pt>
                <c:pt idx="76">
                  <c:v>1999Q1</c:v>
                </c:pt>
                <c:pt idx="77">
                  <c:v>1999Q2</c:v>
                </c:pt>
                <c:pt idx="78">
                  <c:v>1999Q3</c:v>
                </c:pt>
                <c:pt idx="79">
                  <c:v>1999Q4</c:v>
                </c:pt>
                <c:pt idx="80">
                  <c:v>2000Q1</c:v>
                </c:pt>
                <c:pt idx="81">
                  <c:v>2000Q2</c:v>
                </c:pt>
                <c:pt idx="82">
                  <c:v>2000Q3</c:v>
                </c:pt>
                <c:pt idx="83">
                  <c:v>2000Q4</c:v>
                </c:pt>
                <c:pt idx="84">
                  <c:v>2001Q1</c:v>
                </c:pt>
                <c:pt idx="85">
                  <c:v>2001Q2</c:v>
                </c:pt>
                <c:pt idx="86">
                  <c:v>2001Q3</c:v>
                </c:pt>
                <c:pt idx="87">
                  <c:v>2001Q4</c:v>
                </c:pt>
                <c:pt idx="88">
                  <c:v>2002Q1</c:v>
                </c:pt>
                <c:pt idx="89">
                  <c:v>2002Q2</c:v>
                </c:pt>
                <c:pt idx="90">
                  <c:v>2002Q3</c:v>
                </c:pt>
                <c:pt idx="91">
                  <c:v>2002Q4</c:v>
                </c:pt>
                <c:pt idx="92">
                  <c:v>2003Q1</c:v>
                </c:pt>
                <c:pt idx="93">
                  <c:v>2003Q2</c:v>
                </c:pt>
                <c:pt idx="94">
                  <c:v>2003Q3</c:v>
                </c:pt>
                <c:pt idx="95">
                  <c:v>2003Q4</c:v>
                </c:pt>
                <c:pt idx="96">
                  <c:v>2004Q1</c:v>
                </c:pt>
                <c:pt idx="97">
                  <c:v>2004Q2</c:v>
                </c:pt>
                <c:pt idx="98">
                  <c:v>2004Q3</c:v>
                </c:pt>
                <c:pt idx="99">
                  <c:v>2004Q4</c:v>
                </c:pt>
                <c:pt idx="100">
                  <c:v>2005Q1</c:v>
                </c:pt>
                <c:pt idx="101">
                  <c:v>2005Q2</c:v>
                </c:pt>
                <c:pt idx="102">
                  <c:v>2005Q3</c:v>
                </c:pt>
                <c:pt idx="103">
                  <c:v>2005Q4</c:v>
                </c:pt>
                <c:pt idx="104">
                  <c:v>2006Q1</c:v>
                </c:pt>
                <c:pt idx="105">
                  <c:v>2006Q2</c:v>
                </c:pt>
                <c:pt idx="106">
                  <c:v>2006Q3</c:v>
                </c:pt>
                <c:pt idx="107">
                  <c:v>2006Q4</c:v>
                </c:pt>
                <c:pt idx="108">
                  <c:v>2007Q1</c:v>
                </c:pt>
                <c:pt idx="109">
                  <c:v>2007Q2</c:v>
                </c:pt>
                <c:pt idx="110">
                  <c:v>2007Q3</c:v>
                </c:pt>
                <c:pt idx="111">
                  <c:v>2007Q4</c:v>
                </c:pt>
                <c:pt idx="112">
                  <c:v>2008Q1</c:v>
                </c:pt>
                <c:pt idx="113">
                  <c:v>2008Q2</c:v>
                </c:pt>
                <c:pt idx="114">
                  <c:v>2008Q3</c:v>
                </c:pt>
                <c:pt idx="115">
                  <c:v>2008Q4</c:v>
                </c:pt>
                <c:pt idx="116">
                  <c:v>2009Q1</c:v>
                </c:pt>
                <c:pt idx="117">
                  <c:v>2009Q2</c:v>
                </c:pt>
                <c:pt idx="118">
                  <c:v>2009Q3</c:v>
                </c:pt>
                <c:pt idx="119">
                  <c:v>2009Q4</c:v>
                </c:pt>
                <c:pt idx="120">
                  <c:v>2010Q1</c:v>
                </c:pt>
                <c:pt idx="121">
                  <c:v>2010Q2</c:v>
                </c:pt>
                <c:pt idx="122">
                  <c:v>2010Q3</c:v>
                </c:pt>
                <c:pt idx="123">
                  <c:v>2010Q4</c:v>
                </c:pt>
                <c:pt idx="124">
                  <c:v>2011Q1</c:v>
                </c:pt>
                <c:pt idx="125">
                  <c:v>2011Q2</c:v>
                </c:pt>
                <c:pt idx="126">
                  <c:v>2011Q3</c:v>
                </c:pt>
                <c:pt idx="127">
                  <c:v>2011Q4</c:v>
                </c:pt>
                <c:pt idx="128">
                  <c:v>2012Q1</c:v>
                </c:pt>
                <c:pt idx="129">
                  <c:v>2012Q2</c:v>
                </c:pt>
                <c:pt idx="130">
                  <c:v>2012Q3</c:v>
                </c:pt>
                <c:pt idx="131">
                  <c:v>2012Q4</c:v>
                </c:pt>
              </c:strCache>
            </c:strRef>
          </c:cat>
          <c:val>
            <c:numRef>
              <c:f>DebtServRatio!$C$8:$C$139</c:f>
              <c:numCache>
                <c:formatCode>General</c:formatCode>
                <c:ptCount val="132"/>
                <c:pt idx="0">
                  <c:v>0.111181</c:v>
                </c:pt>
                <c:pt idx="1">
                  <c:v>0.11090999999999999</c:v>
                </c:pt>
                <c:pt idx="2">
                  <c:v>0.107849</c:v>
                </c:pt>
                <c:pt idx="3">
                  <c:v>0.10505200000000001</c:v>
                </c:pt>
                <c:pt idx="4">
                  <c:v>0.105674</c:v>
                </c:pt>
                <c:pt idx="5">
                  <c:v>0.106986</c:v>
                </c:pt>
                <c:pt idx="6">
                  <c:v>0.10545</c:v>
                </c:pt>
                <c:pt idx="7">
                  <c:v>0.105961</c:v>
                </c:pt>
                <c:pt idx="8">
                  <c:v>0.10682800000000001</c:v>
                </c:pt>
                <c:pt idx="9">
                  <c:v>0.107169</c:v>
                </c:pt>
                <c:pt idx="10">
                  <c:v>0.105889</c:v>
                </c:pt>
                <c:pt idx="11">
                  <c:v>0.105346</c:v>
                </c:pt>
                <c:pt idx="12">
                  <c:v>0.10524</c:v>
                </c:pt>
                <c:pt idx="13">
                  <c:v>0.105349</c:v>
                </c:pt>
                <c:pt idx="14">
                  <c:v>0.105091</c:v>
                </c:pt>
                <c:pt idx="15">
                  <c:v>0.10582999999999999</c:v>
                </c:pt>
                <c:pt idx="16">
                  <c:v>0.106492</c:v>
                </c:pt>
                <c:pt idx="17">
                  <c:v>0.107831</c:v>
                </c:pt>
                <c:pt idx="18">
                  <c:v>0.108581</c:v>
                </c:pt>
                <c:pt idx="19">
                  <c:v>0.10997899999999999</c:v>
                </c:pt>
                <c:pt idx="20">
                  <c:v>0.113562</c:v>
                </c:pt>
                <c:pt idx="21">
                  <c:v>0.11450299999999999</c:v>
                </c:pt>
                <c:pt idx="22">
                  <c:v>0.11785900000000001</c:v>
                </c:pt>
                <c:pt idx="23">
                  <c:v>0.119046</c:v>
                </c:pt>
                <c:pt idx="24">
                  <c:v>0.119421</c:v>
                </c:pt>
                <c:pt idx="25">
                  <c:v>0.120285</c:v>
                </c:pt>
                <c:pt idx="26">
                  <c:v>0.121544</c:v>
                </c:pt>
                <c:pt idx="27">
                  <c:v>0.12317400000000001</c:v>
                </c:pt>
                <c:pt idx="28">
                  <c:v>0.121708</c:v>
                </c:pt>
                <c:pt idx="29">
                  <c:v>0.123293</c:v>
                </c:pt>
                <c:pt idx="30">
                  <c:v>0.121841</c:v>
                </c:pt>
                <c:pt idx="31">
                  <c:v>0.12024600000000001</c:v>
                </c:pt>
                <c:pt idx="32">
                  <c:v>0.119764</c:v>
                </c:pt>
                <c:pt idx="33">
                  <c:v>0.119584</c:v>
                </c:pt>
                <c:pt idx="34">
                  <c:v>0.119115</c:v>
                </c:pt>
                <c:pt idx="35">
                  <c:v>0.117854</c:v>
                </c:pt>
                <c:pt idx="36">
                  <c:v>0.117314</c:v>
                </c:pt>
                <c:pt idx="37">
                  <c:v>0.11888600000000001</c:v>
                </c:pt>
                <c:pt idx="38">
                  <c:v>0.119703</c:v>
                </c:pt>
                <c:pt idx="39">
                  <c:v>0.119779</c:v>
                </c:pt>
                <c:pt idx="40">
                  <c:v>0.119232</c:v>
                </c:pt>
                <c:pt idx="41">
                  <c:v>0.118965</c:v>
                </c:pt>
                <c:pt idx="42">
                  <c:v>0.118843</c:v>
                </c:pt>
                <c:pt idx="43">
                  <c:v>0.11902500000000001</c:v>
                </c:pt>
                <c:pt idx="44">
                  <c:v>0.11868099999999999</c:v>
                </c:pt>
                <c:pt idx="45">
                  <c:v>0.117129</c:v>
                </c:pt>
                <c:pt idx="46">
                  <c:v>0.116031</c:v>
                </c:pt>
                <c:pt idx="47">
                  <c:v>0.11412899999999999</c:v>
                </c:pt>
                <c:pt idx="48">
                  <c:v>0.11187</c:v>
                </c:pt>
                <c:pt idx="49">
                  <c:v>0.110295</c:v>
                </c:pt>
                <c:pt idx="50">
                  <c:v>0.108763</c:v>
                </c:pt>
                <c:pt idx="51">
                  <c:v>0.107006</c:v>
                </c:pt>
                <c:pt idx="52">
                  <c:v>0.108804</c:v>
                </c:pt>
                <c:pt idx="53">
                  <c:v>0.10697</c:v>
                </c:pt>
                <c:pt idx="54">
                  <c:v>0.107459</c:v>
                </c:pt>
                <c:pt idx="55">
                  <c:v>0.106298</c:v>
                </c:pt>
                <c:pt idx="56">
                  <c:v>0.107653</c:v>
                </c:pt>
                <c:pt idx="57">
                  <c:v>0.107641</c:v>
                </c:pt>
                <c:pt idx="58">
                  <c:v>0.108766</c:v>
                </c:pt>
                <c:pt idx="59">
                  <c:v>0.109968</c:v>
                </c:pt>
                <c:pt idx="60">
                  <c:v>0.11193599999999999</c:v>
                </c:pt>
                <c:pt idx="61">
                  <c:v>0.114135</c:v>
                </c:pt>
                <c:pt idx="62">
                  <c:v>0.115326</c:v>
                </c:pt>
                <c:pt idx="63">
                  <c:v>0.116123</c:v>
                </c:pt>
                <c:pt idx="64">
                  <c:v>0.116535</c:v>
                </c:pt>
                <c:pt idx="65">
                  <c:v>0.117023</c:v>
                </c:pt>
                <c:pt idx="66">
                  <c:v>0.11772000000000001</c:v>
                </c:pt>
                <c:pt idx="67">
                  <c:v>0.118409</c:v>
                </c:pt>
                <c:pt idx="68">
                  <c:v>0.118052</c:v>
                </c:pt>
                <c:pt idx="69">
                  <c:v>0.118364</c:v>
                </c:pt>
                <c:pt idx="70">
                  <c:v>0.118531</c:v>
                </c:pt>
                <c:pt idx="71">
                  <c:v>0.118161</c:v>
                </c:pt>
                <c:pt idx="72">
                  <c:v>0.116533</c:v>
                </c:pt>
                <c:pt idx="73">
                  <c:v>0.116795</c:v>
                </c:pt>
                <c:pt idx="74">
                  <c:v>0.11669</c:v>
                </c:pt>
                <c:pt idx="75">
                  <c:v>0.117259</c:v>
                </c:pt>
                <c:pt idx="76">
                  <c:v>0.118017</c:v>
                </c:pt>
                <c:pt idx="77">
                  <c:v>0.119422</c:v>
                </c:pt>
                <c:pt idx="78">
                  <c:v>0.120613</c:v>
                </c:pt>
                <c:pt idx="79">
                  <c:v>0.120383</c:v>
                </c:pt>
                <c:pt idx="80">
                  <c:v>0.119522</c:v>
                </c:pt>
                <c:pt idx="81">
                  <c:v>0.121131</c:v>
                </c:pt>
                <c:pt idx="82">
                  <c:v>0.122462</c:v>
                </c:pt>
                <c:pt idx="83">
                  <c:v>0.12461999999999999</c:v>
                </c:pt>
                <c:pt idx="84">
                  <c:v>0.125607</c:v>
                </c:pt>
                <c:pt idx="85">
                  <c:v>0.12754099999999999</c:v>
                </c:pt>
                <c:pt idx="86">
                  <c:v>0.12615899999999999</c:v>
                </c:pt>
                <c:pt idx="87">
                  <c:v>0.12992999999999999</c:v>
                </c:pt>
                <c:pt idx="88">
                  <c:v>0.12837799999999999</c:v>
                </c:pt>
                <c:pt idx="89">
                  <c:v>0.12878200000000001</c:v>
                </c:pt>
                <c:pt idx="90">
                  <c:v>0.13026099999999999</c:v>
                </c:pt>
                <c:pt idx="91">
                  <c:v>0.130962</c:v>
                </c:pt>
                <c:pt idx="92">
                  <c:v>0.131325</c:v>
                </c:pt>
                <c:pt idx="93">
                  <c:v>0.13079099999999999</c:v>
                </c:pt>
                <c:pt idx="94">
                  <c:v>0.13004099999999999</c:v>
                </c:pt>
                <c:pt idx="95">
                  <c:v>0.13070399999999999</c:v>
                </c:pt>
                <c:pt idx="96">
                  <c:v>0.13128300000000001</c:v>
                </c:pt>
                <c:pt idx="97">
                  <c:v>0.13091700000000001</c:v>
                </c:pt>
                <c:pt idx="98">
                  <c:v>0.13225999999999999</c:v>
                </c:pt>
                <c:pt idx="99">
                  <c:v>0.13192000000000001</c:v>
                </c:pt>
                <c:pt idx="100">
                  <c:v>0.135605</c:v>
                </c:pt>
                <c:pt idx="101">
                  <c:v>0.13666300000000001</c:v>
                </c:pt>
                <c:pt idx="102">
                  <c:v>0.13544800000000001</c:v>
                </c:pt>
                <c:pt idx="103">
                  <c:v>0.136291</c:v>
                </c:pt>
                <c:pt idx="104">
                  <c:v>0.13738300000000001</c:v>
                </c:pt>
                <c:pt idx="105">
                  <c:v>0.13799900000000001</c:v>
                </c:pt>
                <c:pt idx="106">
                  <c:v>0.13914299999999999</c:v>
                </c:pt>
                <c:pt idx="107">
                  <c:v>0.13936999999999999</c:v>
                </c:pt>
                <c:pt idx="108">
                  <c:v>0.139316</c:v>
                </c:pt>
                <c:pt idx="109">
                  <c:v>0.139797</c:v>
                </c:pt>
                <c:pt idx="110">
                  <c:v>0.140872</c:v>
                </c:pt>
                <c:pt idx="111">
                  <c:v>0.14032900000000001</c:v>
                </c:pt>
                <c:pt idx="112">
                  <c:v>0.13753099999999999</c:v>
                </c:pt>
                <c:pt idx="113">
                  <c:v>0.13356399999999999</c:v>
                </c:pt>
                <c:pt idx="114">
                  <c:v>0.13449</c:v>
                </c:pt>
                <c:pt idx="115">
                  <c:v>0.135098</c:v>
                </c:pt>
                <c:pt idx="116">
                  <c:v>0.13555200000000001</c:v>
                </c:pt>
                <c:pt idx="117">
                  <c:v>0.13305400000000001</c:v>
                </c:pt>
                <c:pt idx="118">
                  <c:v>0.131966</c:v>
                </c:pt>
                <c:pt idx="119">
                  <c:v>0.12915499999999999</c:v>
                </c:pt>
                <c:pt idx="120">
                  <c:v>0.12475600000000001</c:v>
                </c:pt>
                <c:pt idx="121">
                  <c:v>0.121076</c:v>
                </c:pt>
                <c:pt idx="122">
                  <c:v>0.11866400000000001</c:v>
                </c:pt>
                <c:pt idx="123">
                  <c:v>0.11576599999999999</c:v>
                </c:pt>
                <c:pt idx="124">
                  <c:v>0.111848</c:v>
                </c:pt>
                <c:pt idx="125">
                  <c:v>0.110912</c:v>
                </c:pt>
                <c:pt idx="126">
                  <c:v>0.110273</c:v>
                </c:pt>
                <c:pt idx="127">
                  <c:v>0.109807</c:v>
                </c:pt>
                <c:pt idx="128">
                  <c:v>0.107728</c:v>
                </c:pt>
                <c:pt idx="129">
                  <c:v>0.10679</c:v>
                </c:pt>
                <c:pt idx="130">
                  <c:v>0.105605</c:v>
                </c:pt>
                <c:pt idx="131">
                  <c:v>0.103753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16640"/>
        <c:axId val="192818176"/>
      </c:lineChart>
      <c:catAx>
        <c:axId val="192816640"/>
        <c:scaling>
          <c:orientation val="minMax"/>
        </c:scaling>
        <c:delete val="0"/>
        <c:axPos val="b"/>
        <c:majorGridlines>
          <c:spPr>
            <a:ln w="6350">
              <a:solidFill>
                <a:sysClr val="windowText" lastClr="000000"/>
              </a:solidFill>
              <a:prstDash val="dash"/>
            </a:ln>
          </c:spPr>
        </c:majorGridlines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2818176"/>
        <c:crosses val="autoZero"/>
        <c:auto val="1"/>
        <c:lblAlgn val="ctr"/>
        <c:lblOffset val="100"/>
        <c:tickLblSkip val="16"/>
        <c:tickMarkSkip val="4"/>
        <c:noMultiLvlLbl val="0"/>
      </c:catAx>
      <c:valAx>
        <c:axId val="192818176"/>
        <c:scaling>
          <c:orientation val="minMax"/>
          <c:max val="0.15000000000000008"/>
          <c:min val="0.1"/>
        </c:scaling>
        <c:delete val="0"/>
        <c:axPos val="l"/>
        <c:majorGridlines>
          <c:spPr>
            <a:ln w="6350">
              <a:solidFill>
                <a:sysClr val="windowText" lastClr="000000"/>
              </a:solidFill>
              <a:prstDash val="dash"/>
            </a:ln>
          </c:spPr>
        </c:majorGridlines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2816640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plotVisOnly val="1"/>
    <c:dispBlanksAs val="gap"/>
    <c:showDLblsOverMax val="0"/>
  </c:chart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 US OECD data'!$B$3</c:f>
              <c:strCache>
                <c:ptCount val="1"/>
                <c:pt idx="0">
                  <c:v>US</c:v>
                </c:pt>
              </c:strCache>
            </c:strRef>
          </c:tx>
          <c:marker>
            <c:symbol val="none"/>
          </c:marker>
          <c:val>
            <c:numRef>
              <c:f>'Int US OECD data'!$B$4:$B$56</c:f>
              <c:numCache>
                <c:formatCode>0.00%</c:formatCode>
                <c:ptCount val="53"/>
                <c:pt idx="0">
                  <c:v>4.1166700000000001E-2</c:v>
                </c:pt>
                <c:pt idx="1">
                  <c:v>3.8824999999999998E-2</c:v>
                </c:pt>
                <c:pt idx="2">
                  <c:v>3.9458300000000002E-2</c:v>
                </c:pt>
                <c:pt idx="3">
                  <c:v>4.0025000000000005E-2</c:v>
                </c:pt>
                <c:pt idx="4">
                  <c:v>4.1866700000000007E-2</c:v>
                </c:pt>
                <c:pt idx="5">
                  <c:v>4.3441669999999995E-2</c:v>
                </c:pt>
                <c:pt idx="6">
                  <c:v>5.483333E-2</c:v>
                </c:pt>
                <c:pt idx="7">
                  <c:v>5.0208329999999995E-2</c:v>
                </c:pt>
                <c:pt idx="8">
                  <c:v>5.8591670000000005E-2</c:v>
                </c:pt>
                <c:pt idx="9">
                  <c:v>7.7608330000000003E-2</c:v>
                </c:pt>
                <c:pt idx="10">
                  <c:v>7.5641670000000008E-2</c:v>
                </c:pt>
                <c:pt idx="11">
                  <c:v>5.0049999999999997E-2</c:v>
                </c:pt>
                <c:pt idx="12">
                  <c:v>4.6658329999999998E-2</c:v>
                </c:pt>
                <c:pt idx="13">
                  <c:v>8.415832999999999E-2</c:v>
                </c:pt>
                <c:pt idx="14">
                  <c:v>0.10244170000000001</c:v>
                </c:pt>
                <c:pt idx="15">
                  <c:v>6.4366659999999992E-2</c:v>
                </c:pt>
                <c:pt idx="16">
                  <c:v>5.268333E-2</c:v>
                </c:pt>
                <c:pt idx="17">
                  <c:v>5.640833E-2</c:v>
                </c:pt>
                <c:pt idx="18">
                  <c:v>8.2216660000000011E-2</c:v>
                </c:pt>
                <c:pt idx="19">
                  <c:v>0.11225</c:v>
                </c:pt>
                <c:pt idx="20">
                  <c:v>0.1306667</c:v>
                </c:pt>
                <c:pt idx="21">
                  <c:v>0.15910830000000001</c:v>
                </c:pt>
                <c:pt idx="22">
                  <c:v>0.12270830000000001</c:v>
                </c:pt>
                <c:pt idx="23">
                  <c:v>9.0666670000000005E-2</c:v>
                </c:pt>
                <c:pt idx="24">
                  <c:v>0.10365000000000001</c:v>
                </c:pt>
                <c:pt idx="25">
                  <c:v>8.0474999999999991E-2</c:v>
                </c:pt>
                <c:pt idx="26">
                  <c:v>6.5183329999999998E-2</c:v>
                </c:pt>
                <c:pt idx="27">
                  <c:v>6.8608330000000009E-2</c:v>
                </c:pt>
                <c:pt idx="28">
                  <c:v>7.7274999999999996E-2</c:v>
                </c:pt>
                <c:pt idx="29">
                  <c:v>9.0850000000000014E-2</c:v>
                </c:pt>
                <c:pt idx="30">
                  <c:v>8.1475000000000006E-2</c:v>
                </c:pt>
                <c:pt idx="31">
                  <c:v>5.8349999999999999E-2</c:v>
                </c:pt>
                <c:pt idx="32">
                  <c:v>3.6816670000000003E-2</c:v>
                </c:pt>
                <c:pt idx="33">
                  <c:v>3.174167E-2</c:v>
                </c:pt>
                <c:pt idx="34">
                  <c:v>4.629167E-2</c:v>
                </c:pt>
                <c:pt idx="35">
                  <c:v>5.9166670000000005E-2</c:v>
                </c:pt>
                <c:pt idx="36">
                  <c:v>5.3899999999999997E-2</c:v>
                </c:pt>
                <c:pt idx="37">
                  <c:v>5.6158330000000006E-2</c:v>
                </c:pt>
                <c:pt idx="38">
                  <c:v>5.4666670000000001E-2</c:v>
                </c:pt>
                <c:pt idx="39">
                  <c:v>5.33E-2</c:v>
                </c:pt>
                <c:pt idx="40">
                  <c:v>6.4558329999999997E-2</c:v>
                </c:pt>
                <c:pt idx="41">
                  <c:v>3.6866669999999997E-2</c:v>
                </c:pt>
                <c:pt idx="42">
                  <c:v>1.7258329999999999E-2</c:v>
                </c:pt>
                <c:pt idx="43">
                  <c:v>1.1508330000000001E-2</c:v>
                </c:pt>
                <c:pt idx="44">
                  <c:v>1.5633330000000001E-2</c:v>
                </c:pt>
                <c:pt idx="45">
                  <c:v>3.5116670000000003E-2</c:v>
                </c:pt>
                <c:pt idx="46">
                  <c:v>5.1533330000000002E-2</c:v>
                </c:pt>
                <c:pt idx="47">
                  <c:v>5.268333E-2</c:v>
                </c:pt>
                <c:pt idx="48">
                  <c:v>2.9649999999999999E-2</c:v>
                </c:pt>
                <c:pt idx="49">
                  <c:v>5.5583329999999995E-3</c:v>
                </c:pt>
                <c:pt idx="50">
                  <c:v>3.0999999999999999E-3</c:v>
                </c:pt>
                <c:pt idx="51">
                  <c:v>3.0000000000000001E-3</c:v>
                </c:pt>
                <c:pt idx="52">
                  <c:v>2.8000000000000004E-3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'Int US OECD data'!$C$3</c:f>
              <c:strCache>
                <c:ptCount val="1"/>
                <c:pt idx="0">
                  <c:v>OECD</c:v>
                </c:pt>
              </c:strCache>
            </c:strRef>
          </c:tx>
          <c:marker>
            <c:symbol val="none"/>
          </c:marker>
          <c:val>
            <c:numRef>
              <c:f>'Int US OECD data'!$C$4:$C$56</c:f>
              <c:numCache>
                <c:formatCode>0.00%</c:formatCode>
                <c:ptCount val="53"/>
                <c:pt idx="0">
                  <c:v>4.9133504407290293E-2</c:v>
                </c:pt>
                <c:pt idx="1">
                  <c:v>4.638770654060418E-2</c:v>
                </c:pt>
                <c:pt idx="2">
                  <c:v>4.5435947891659341E-2</c:v>
                </c:pt>
                <c:pt idx="3">
                  <c:v>4.6036691150504794E-2</c:v>
                </c:pt>
                <c:pt idx="4">
                  <c:v>4.9630778258356295E-2</c:v>
                </c:pt>
                <c:pt idx="5">
                  <c:v>5.4616059692168754E-2</c:v>
                </c:pt>
                <c:pt idx="6">
                  <c:v>6.2255005889280388E-2</c:v>
                </c:pt>
                <c:pt idx="7">
                  <c:v>5.7028601564675679E-2</c:v>
                </c:pt>
                <c:pt idx="8">
                  <c:v>5.9307383361669297E-2</c:v>
                </c:pt>
                <c:pt idx="9">
                  <c:v>7.2530996045776619E-2</c:v>
                </c:pt>
                <c:pt idx="10">
                  <c:v>8.0787534737091993E-2</c:v>
                </c:pt>
                <c:pt idx="11">
                  <c:v>6.3591206491675295E-2</c:v>
                </c:pt>
                <c:pt idx="12">
                  <c:v>5.8279721464529609E-2</c:v>
                </c:pt>
                <c:pt idx="13">
                  <c:v>8.6254267740019944E-2</c:v>
                </c:pt>
                <c:pt idx="14">
                  <c:v>0.10422777381869762</c:v>
                </c:pt>
                <c:pt idx="15">
                  <c:v>7.6860798142148079E-2</c:v>
                </c:pt>
                <c:pt idx="16">
                  <c:v>7.7019208795629943E-2</c:v>
                </c:pt>
                <c:pt idx="17">
                  <c:v>7.438839813427206E-2</c:v>
                </c:pt>
                <c:pt idx="18">
                  <c:v>7.7352934314325217E-2</c:v>
                </c:pt>
                <c:pt idx="19">
                  <c:v>9.9396432167403279E-2</c:v>
                </c:pt>
                <c:pt idx="20">
                  <c:v>0.12005181997346051</c:v>
                </c:pt>
                <c:pt idx="21">
                  <c:v>0.13930953820413353</c:v>
                </c:pt>
                <c:pt idx="22">
                  <c:v>0.11932403019271824</c:v>
                </c:pt>
                <c:pt idx="23">
                  <c:v>9.5058722668257822E-2</c:v>
                </c:pt>
                <c:pt idx="24">
                  <c:v>9.7363551011295235E-2</c:v>
                </c:pt>
                <c:pt idx="25">
                  <c:v>8.588176626890473E-2</c:v>
                </c:pt>
                <c:pt idx="26">
                  <c:v>7.2059542941861551E-2</c:v>
                </c:pt>
                <c:pt idx="27">
                  <c:v>6.9447297022016713E-2</c:v>
                </c:pt>
                <c:pt idx="28">
                  <c:v>7.212436288682611E-2</c:v>
                </c:pt>
                <c:pt idx="29">
                  <c:v>8.8028155046519563E-2</c:v>
                </c:pt>
                <c:pt idx="30">
                  <c:v>9.6354915867203308E-2</c:v>
                </c:pt>
                <c:pt idx="31">
                  <c:v>8.5817108616379964E-2</c:v>
                </c:pt>
                <c:pt idx="32">
                  <c:v>7.3962792466979468E-2</c:v>
                </c:pt>
                <c:pt idx="33">
                  <c:v>5.7132434192124756E-2</c:v>
                </c:pt>
                <c:pt idx="34">
                  <c:v>5.7989423546240267E-2</c:v>
                </c:pt>
                <c:pt idx="35">
                  <c:v>5.9400471566150283E-2</c:v>
                </c:pt>
                <c:pt idx="36">
                  <c:v>4.7785455321685245E-2</c:v>
                </c:pt>
                <c:pt idx="37">
                  <c:v>4.4430146778104251E-2</c:v>
                </c:pt>
                <c:pt idx="38">
                  <c:v>4.1352092186909661E-2</c:v>
                </c:pt>
                <c:pt idx="39">
                  <c:v>3.9510147219643993E-2</c:v>
                </c:pt>
                <c:pt idx="40">
                  <c:v>4.8764782564484258E-2</c:v>
                </c:pt>
                <c:pt idx="41">
                  <c:v>3.8688763607497109E-2</c:v>
                </c:pt>
                <c:pt idx="42">
                  <c:v>2.8962843053612804E-2</c:v>
                </c:pt>
                <c:pt idx="43">
                  <c:v>2.2565492448344052E-2</c:v>
                </c:pt>
                <c:pt idx="44">
                  <c:v>2.4097420018320066E-2</c:v>
                </c:pt>
                <c:pt idx="45">
                  <c:v>2.7830400917681949E-2</c:v>
                </c:pt>
                <c:pt idx="46">
                  <c:v>3.657379469833752E-2</c:v>
                </c:pt>
                <c:pt idx="47">
                  <c:v>4.2307966373964855E-2</c:v>
                </c:pt>
                <c:pt idx="48">
                  <c:v>3.6497181944516122E-2</c:v>
                </c:pt>
                <c:pt idx="49">
                  <c:v>1.3606428754510924E-2</c:v>
                </c:pt>
                <c:pt idx="50">
                  <c:v>8.96033113101939E-3</c:v>
                </c:pt>
                <c:pt idx="51">
                  <c:v>1.5376370706317224E-2</c:v>
                </c:pt>
                <c:pt idx="52">
                  <c:v>6.3054182033099402E-3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'Int US OECD data'!$D$3</c:f>
              <c:strCache>
                <c:ptCount val="1"/>
                <c:pt idx="0">
                  <c:v>EU</c:v>
                </c:pt>
              </c:strCache>
            </c:strRef>
          </c:tx>
          <c:marker>
            <c:symbol val="none"/>
          </c:marker>
          <c:val>
            <c:numRef>
              <c:f>'Int US OECD data'!$D$4:$D$56</c:f>
              <c:numCache>
                <c:formatCode>General</c:formatCode>
                <c:ptCount val="53"/>
                <c:pt idx="34" formatCode="0.00%">
                  <c:v>6.5299999999999997E-2</c:v>
                </c:pt>
                <c:pt idx="35" formatCode="0.00%">
                  <c:v>6.8199999999999997E-2</c:v>
                </c:pt>
                <c:pt idx="36" formatCode="0.00%">
                  <c:v>5.0900000000000001E-2</c:v>
                </c:pt>
                <c:pt idx="37" formatCode="0.00%">
                  <c:v>4.3799999999999999E-2</c:v>
                </c:pt>
                <c:pt idx="38" formatCode="0.00%">
                  <c:v>3.9599999999999996E-2</c:v>
                </c:pt>
                <c:pt idx="39" formatCode="0.00%">
                  <c:v>2.9600000000000001E-2</c:v>
                </c:pt>
                <c:pt idx="40" formatCode="0.00%">
                  <c:v>4.3899999999999995E-2</c:v>
                </c:pt>
                <c:pt idx="41" formatCode="0.00%">
                  <c:v>4.2599999999999999E-2</c:v>
                </c:pt>
                <c:pt idx="42" formatCode="0.00%">
                  <c:v>3.32E-2</c:v>
                </c:pt>
                <c:pt idx="43" formatCode="0.00%">
                  <c:v>2.3300000000000001E-2</c:v>
                </c:pt>
                <c:pt idx="44" formatCode="0.00%">
                  <c:v>2.1099999999999997E-2</c:v>
                </c:pt>
                <c:pt idx="45" formatCode="0.00%">
                  <c:v>2.18E-2</c:v>
                </c:pt>
                <c:pt idx="46" formatCode="0.00%">
                  <c:v>3.0800000000000001E-2</c:v>
                </c:pt>
                <c:pt idx="47" formatCode="0.00%">
                  <c:v>4.2800000000000005E-2</c:v>
                </c:pt>
                <c:pt idx="48" formatCode="0.00%">
                  <c:v>4.6300000000000001E-2</c:v>
                </c:pt>
                <c:pt idx="49" formatCode="0.00%">
                  <c:v>1.23E-2</c:v>
                </c:pt>
                <c:pt idx="50" formatCode="0.00%">
                  <c:v>8.1000000000000013E-3</c:v>
                </c:pt>
                <c:pt idx="51" formatCode="0.00%">
                  <c:v>1.3899999999999999E-2</c:v>
                </c:pt>
                <c:pt idx="52" formatCode="0.00%">
                  <c:v>5.6999999999999993E-3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8768"/>
        <c:axId val="193570304"/>
      </c:lineChart>
      <c:catAx>
        <c:axId val="19356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193570304"/>
        <c:crosses val="autoZero"/>
        <c:auto val="1"/>
        <c:lblAlgn val="ctr"/>
        <c:lblOffset val="100"/>
        <c:noMultiLvlLbl val="0"/>
      </c:catAx>
      <c:valAx>
        <c:axId val="1935703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9356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92D05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92D050"/>
  </sheetPr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92D050"/>
  </sheetPr>
  <sheetViews>
    <sheetView zoomScale="6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92D050"/>
  </sheetPr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theme="5" tint="0.39997558519241921"/>
  </sheetPr>
  <sheetViews>
    <sheetView zoomScale="72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92D050"/>
  </sheetPr>
  <sheetViews>
    <sheetView zoomScale="7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92D050"/>
  </sheetPr>
  <sheetViews>
    <sheetView zoomScale="59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theme="6"/>
  </sheetPr>
  <sheetViews>
    <sheetView zoomScale="72" workbookViewId="0" zoomToFit="1"/>
  </sheetViews>
  <pageMargins left="0.7" right="0.7" top="0.75" bottom="0.7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theme="3" tint="0.79998168889431442"/>
  </sheetPr>
  <sheetViews>
    <sheetView zoomScale="5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theme="3" tint="0.39997558519241921"/>
  </sheetPr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0.38256</cdr:x>
      <cdr:y>0.07811</cdr:y>
    </cdr:from>
    <cdr:to>
      <cdr:x>0.55938</cdr:x>
      <cdr:y>0.93824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3313224" y="490483"/>
          <a:ext cx="1531384" cy="540112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0.90741</cdr:x>
      <cdr:y>0.0802</cdr:y>
    </cdr:from>
    <cdr:to>
      <cdr:x>0.97011</cdr:x>
      <cdr:y>0.93351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7858800" y="503621"/>
          <a:ext cx="543026" cy="535830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0.38683</cdr:x>
      <cdr:y>0.08787</cdr:y>
    </cdr:from>
    <cdr:to>
      <cdr:x>0.55027</cdr:x>
      <cdr:y>0.16111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350186" y="551787"/>
          <a:ext cx="1415504" cy="4599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baseline="0"/>
            <a:t>Stagflation Crisis</a:t>
          </a:r>
          <a:endParaRPr lang="en-US" sz="1400" b="1"/>
        </a:p>
      </cdr:txBody>
    </cdr:sp>
  </cdr:relSizeAnchor>
  <cdr:relSizeAnchor xmlns:cdr="http://schemas.openxmlformats.org/drawingml/2006/chartDrawing">
    <cdr:from>
      <cdr:x>0.90248</cdr:x>
      <cdr:y>0.08663</cdr:y>
    </cdr:from>
    <cdr:to>
      <cdr:x>0.98647</cdr:x>
      <cdr:y>0.16777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7816103" y="544001"/>
          <a:ext cx="727412" cy="509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Global</a:t>
          </a:r>
        </a:p>
        <a:p xmlns:a="http://schemas.openxmlformats.org/drawingml/2006/main">
          <a:r>
            <a:rPr lang="en-US" sz="1400" b="1"/>
            <a:t>Crisis</a:t>
          </a:r>
        </a:p>
      </cdr:txBody>
    </cdr:sp>
  </cdr:relSizeAnchor>
  <cdr:relSizeAnchor xmlns:cdr="http://schemas.openxmlformats.org/drawingml/2006/chartDrawing">
    <cdr:from>
      <cdr:x>0.59484</cdr:x>
      <cdr:y>0.09028</cdr:y>
    </cdr:from>
    <cdr:to>
      <cdr:x>0.85861</cdr:x>
      <cdr:y>0.18357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151757" y="566923"/>
          <a:ext cx="2284432" cy="5858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Boom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1982-2007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0.20763</cdr:x>
      <cdr:y>0.07729</cdr:y>
    </cdr:from>
    <cdr:to>
      <cdr:x>0.26657</cdr:x>
      <cdr:y>0.11458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00332" y="485375"/>
          <a:ext cx="511071" cy="234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baseline="0"/>
            <a:t>R</a:t>
          </a:r>
          <a:r>
            <a:rPr lang="en-US" sz="1400" b="1" baseline="-25000"/>
            <a:t>n</a:t>
          </a:r>
        </a:p>
      </cdr:txBody>
    </cdr:sp>
  </cdr:relSizeAnchor>
  <cdr:relSizeAnchor xmlns:cdr="http://schemas.openxmlformats.org/drawingml/2006/chartDrawing">
    <cdr:from>
      <cdr:x>0.20499</cdr:x>
      <cdr:y>0.17174</cdr:y>
    </cdr:from>
    <cdr:to>
      <cdr:x>0.23881</cdr:x>
      <cdr:y>0.20902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77513" y="1078496"/>
          <a:ext cx="293254" cy="234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R</a:t>
          </a:r>
        </a:p>
      </cdr:txBody>
    </cdr:sp>
  </cdr:relSizeAnchor>
  <cdr:relSizeAnchor xmlns:cdr="http://schemas.openxmlformats.org/drawingml/2006/chartDrawing">
    <cdr:from>
      <cdr:x>0.20632</cdr:x>
      <cdr:y>0.38002</cdr:y>
    </cdr:from>
    <cdr:to>
      <cdr:x>0.26526</cdr:x>
      <cdr:y>0.41731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788995" y="2386477"/>
          <a:ext cx="511070" cy="234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r</a:t>
          </a:r>
          <a:r>
            <a:rPr lang="en-US" sz="1400" b="1" baseline="-25000"/>
            <a:t>n</a:t>
          </a:r>
        </a:p>
      </cdr:txBody>
    </cdr:sp>
  </cdr:relSizeAnchor>
  <cdr:relSizeAnchor xmlns:cdr="http://schemas.openxmlformats.org/drawingml/2006/chartDrawing">
    <cdr:from>
      <cdr:x>0.21189</cdr:x>
      <cdr:y>0.4996</cdr:y>
    </cdr:from>
    <cdr:to>
      <cdr:x>0.24899</cdr:x>
      <cdr:y>0.54265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1837343" y="3137429"/>
          <a:ext cx="321657" cy="270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r</a:t>
          </a:r>
        </a:p>
      </cdr:txBody>
    </cdr:sp>
  </cdr:relSizeAnchor>
  <cdr:relSizeAnchor xmlns:cdr="http://schemas.openxmlformats.org/drawingml/2006/chartDrawing">
    <cdr:from>
      <cdr:x>0.21476</cdr:x>
      <cdr:y>0.3415</cdr:y>
    </cdr:from>
    <cdr:to>
      <cdr:x>0.24857</cdr:x>
      <cdr:y>0.37878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62168" y="2144581"/>
          <a:ext cx="293168" cy="234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σ</a:t>
          </a:r>
        </a:p>
      </cdr:txBody>
    </cdr:sp>
  </cdr:relSizeAnchor>
  <cdr:relSizeAnchor xmlns:cdr="http://schemas.openxmlformats.org/drawingml/2006/chartDrawing">
    <cdr:from>
      <cdr:x>0.21064</cdr:x>
      <cdr:y>0.28573</cdr:y>
    </cdr:from>
    <cdr:to>
      <cdr:x>0.26958</cdr:x>
      <cdr:y>0.32302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1826439" y="1794361"/>
          <a:ext cx="511071" cy="234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/>
            <a:t>σ</a:t>
          </a:r>
          <a:r>
            <a:rPr lang="en-US" sz="1400" b="1" baseline="-25000"/>
            <a:t>n</a:t>
          </a:r>
        </a:p>
      </cdr:txBody>
    </cdr:sp>
  </cdr:relSizeAnchor>
  <cdr:relSizeAnchor xmlns:cdr="http://schemas.openxmlformats.org/drawingml/2006/chartDrawing">
    <cdr:from>
      <cdr:x>0.38357</cdr:x>
      <cdr:y>0.02796</cdr:y>
    </cdr:from>
    <cdr:to>
      <cdr:x>0.56039</cdr:x>
      <cdr:y>0.93475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3324330" y="175846"/>
          <a:ext cx="1532373" cy="57024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0.90741</cdr:x>
      <cdr:y>0.02672</cdr:y>
    </cdr:from>
    <cdr:to>
      <cdr:x>0.97011</cdr:x>
      <cdr:y>0.93351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7864231" y="168031"/>
          <a:ext cx="543448" cy="57024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0.3934</cdr:x>
      <cdr:y>0.02929</cdr:y>
    </cdr:from>
    <cdr:to>
      <cdr:x>0.55684</cdr:x>
      <cdr:y>0.10253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409462" y="184220"/>
          <a:ext cx="1416538" cy="46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baseline="0"/>
            <a:t>Stagflation Crisis</a:t>
          </a:r>
          <a:endParaRPr lang="en-US" sz="1400" b="1"/>
        </a:p>
      </cdr:txBody>
    </cdr:sp>
  </cdr:relSizeAnchor>
  <cdr:relSizeAnchor xmlns:cdr="http://schemas.openxmlformats.org/drawingml/2006/chartDrawing">
    <cdr:from>
      <cdr:x>0.90248</cdr:x>
      <cdr:y>0.02805</cdr:y>
    </cdr:from>
    <cdr:to>
      <cdr:x>0.98647</cdr:x>
      <cdr:y>0.10919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7821525" y="176403"/>
          <a:ext cx="727948" cy="5102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Global</a:t>
          </a:r>
        </a:p>
        <a:p xmlns:a="http://schemas.openxmlformats.org/drawingml/2006/main">
          <a:r>
            <a:rPr lang="en-US" sz="1400" b="1"/>
            <a:t>Crisis</a:t>
          </a:r>
        </a:p>
      </cdr:txBody>
    </cdr:sp>
  </cdr:relSizeAnchor>
  <cdr:relSizeAnchor xmlns:cdr="http://schemas.openxmlformats.org/drawingml/2006/chartDrawing">
    <cdr:from>
      <cdr:x>0.5999</cdr:x>
      <cdr:y>0.03449</cdr:y>
    </cdr:from>
    <cdr:to>
      <cdr:x>0.86367</cdr:x>
      <cdr:y>0.12778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199184" y="216876"/>
          <a:ext cx="2286000" cy="586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Boom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1982-2007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0.56112</cdr:x>
      <cdr:y>0.08249</cdr:y>
    </cdr:from>
    <cdr:to>
      <cdr:x>0.93334</cdr:x>
      <cdr:y>0.91618</cdr:y>
    </cdr:to>
    <cdr:sp macro="" textlink="">
      <cdr:nvSpPr>
        <cdr:cNvPr id="5" name="Rectangle 4"/>
        <cdr:cNvSpPr/>
      </cdr:nvSpPr>
      <cdr:spPr>
        <a:xfrm xmlns:a="http://schemas.openxmlformats.org/drawingml/2006/main">
          <a:off x="4857750" y="518583"/>
          <a:ext cx="3222308" cy="52409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alpha val="20000"/>
          </a:schemeClr>
        </a:solidFill>
        <a:ln xmlns:a="http://schemas.openxmlformats.org/drawingml/2006/main" w="25400" cap="flat" cmpd="sng" algn="ctr">
          <a:solidFill>
            <a:srgbClr val="4F81BD">
              <a:shade val="5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fontAlgn="base"/>
          <a:endParaRPr lang="en-US" sz="1100" b="0" i="0" baseline="0">
            <a:solidFill>
              <a:sysClr val="window" lastClr="FFFFFF"/>
            </a:solidFill>
            <a:latin typeface="Calibri"/>
          </a:endParaRPr>
        </a:p>
      </cdr:txBody>
    </cdr:sp>
  </cdr:relSizeAnchor>
  <cdr:relSizeAnchor xmlns:cdr="http://schemas.openxmlformats.org/drawingml/2006/chartDrawing">
    <cdr:from>
      <cdr:x>0.38244</cdr:x>
      <cdr:y>0.08586</cdr:y>
    </cdr:from>
    <cdr:to>
      <cdr:x>0.56112</cdr:x>
      <cdr:y>0.91955</cdr:y>
    </cdr:to>
    <cdr:sp macro="" textlink="">
      <cdr:nvSpPr>
        <cdr:cNvPr id="11" name="Rectangle 10"/>
        <cdr:cNvSpPr/>
      </cdr:nvSpPr>
      <cdr:spPr>
        <a:xfrm xmlns:a="http://schemas.openxmlformats.org/drawingml/2006/main">
          <a:off x="3310871" y="539750"/>
          <a:ext cx="1546880" cy="52409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  <a:alpha val="20000"/>
          </a:schemeClr>
        </a:solidFill>
        <a:ln xmlns:a="http://schemas.openxmlformats.org/drawingml/2006/main" w="25400" cap="flat" cmpd="sng" algn="ctr">
          <a:solidFill>
            <a:srgbClr val="4F81BD">
              <a:shade val="5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0.38458</cdr:x>
      <cdr:y>0.09191</cdr:y>
    </cdr:from>
    <cdr:to>
      <cdr:x>0.56173</cdr:x>
      <cdr:y>0.18676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3329352" y="577807"/>
          <a:ext cx="1533617" cy="596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Stagflation</a:t>
          </a:r>
          <a:r>
            <a:rPr lang="en-US" sz="1400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400">
              <a:latin typeface="Times New Roman" pitchFamily="18" charset="0"/>
              <a:cs typeface="Times New Roman" pitchFamily="18" charset="0"/>
            </a:rPr>
            <a:t>Crisis</a:t>
          </a:r>
          <a:r>
            <a:rPr lang="en-US" sz="1400" baseline="0">
              <a:latin typeface="Times New Roman" pitchFamily="18" charset="0"/>
              <a:cs typeface="Times New Roman" pitchFamily="18" charset="0"/>
            </a:rPr>
            <a:t> </a:t>
          </a:r>
        </a:p>
        <a:p xmlns:a="http://schemas.openxmlformats.org/drawingml/2006/main">
          <a:r>
            <a:rPr lang="en-US" sz="1400" baseline="0">
              <a:latin typeface="Times New Roman" pitchFamily="18" charset="0"/>
              <a:cs typeface="Times New Roman" pitchFamily="18" charset="0"/>
            </a:rPr>
            <a:t>     1969-1982</a:t>
          </a:r>
          <a:endParaRPr lang="en-US" sz="1400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0.93113</cdr:x>
      <cdr:y>0.08249</cdr:y>
    </cdr:from>
    <cdr:to>
      <cdr:x>0.97188</cdr:x>
      <cdr:y>0.91618</cdr:y>
    </cdr:to>
    <cdr:sp macro="" textlink="">
      <cdr:nvSpPr>
        <cdr:cNvPr id="7" name="Rectangle 6"/>
        <cdr:cNvSpPr/>
      </cdr:nvSpPr>
      <cdr:spPr>
        <a:xfrm xmlns:a="http://schemas.openxmlformats.org/drawingml/2006/main">
          <a:off x="8060948" y="518583"/>
          <a:ext cx="352802" cy="52409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  <a:alpha val="30000"/>
          </a:schemeClr>
        </a:solidFill>
        <a:ln xmlns:a="http://schemas.openxmlformats.org/drawingml/2006/main" w="25400" cap="flat" cmpd="sng" algn="ctr">
          <a:solidFill>
            <a:srgbClr val="4F81BD">
              <a:shade val="5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0.81072</cdr:x>
      <cdr:y>0.08734</cdr:y>
    </cdr:from>
    <cdr:to>
      <cdr:x>0.95603</cdr:x>
      <cdr:y>0.19022</cdr:y>
    </cdr:to>
    <cdr:grpSp>
      <cdr:nvGrpSpPr>
        <cdr:cNvPr id="8" name="Group 7"/>
        <cdr:cNvGrpSpPr/>
      </cdr:nvGrpSpPr>
      <cdr:grpSpPr>
        <a:xfrm xmlns:a="http://schemas.openxmlformats.org/drawingml/2006/main">
          <a:off x="7018538" y="549063"/>
          <a:ext cx="1257973" cy="646755"/>
          <a:chOff x="4358055" y="1217330"/>
          <a:chExt cx="1260409" cy="621032"/>
        </a:xfrm>
      </cdr:grpSpPr>
      <cdr:sp macro="" textlink="">
        <cdr:nvSpPr>
          <cdr:cNvPr id="9" name="TextBox 1"/>
          <cdr:cNvSpPr txBox="1"/>
        </cdr:nvSpPr>
        <cdr:spPr>
          <a:xfrm xmlns:a="http://schemas.openxmlformats.org/drawingml/2006/main">
            <a:off x="4358055" y="1217330"/>
            <a:ext cx="850900" cy="57254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en-US" sz="1400" b="1" baseline="0">
                <a:latin typeface="Times New Roman" pitchFamily="18" charset="0"/>
                <a:cs typeface="Times New Roman" pitchFamily="18" charset="0"/>
              </a:rPr>
              <a:t>Current </a:t>
            </a:r>
          </a:p>
          <a:p xmlns:a="http://schemas.openxmlformats.org/drawingml/2006/main">
            <a:r>
              <a:rPr lang="en-US" sz="1400" b="1" baseline="0">
                <a:latin typeface="Times New Roman" pitchFamily="18" charset="0"/>
                <a:cs typeface="Times New Roman" pitchFamily="18" charset="0"/>
              </a:rPr>
              <a:t>Crisis</a:t>
            </a:r>
            <a:endParaRPr lang="en-US" sz="1400" b="1">
              <a:latin typeface="Times New Roman" pitchFamily="18" charset="0"/>
              <a:cs typeface="Times New Roman" pitchFamily="18" charset="0"/>
            </a:endParaRPr>
          </a:p>
        </cdr:txBody>
      </cdr:sp>
      <cdr:sp macro="" textlink="">
        <cdr:nvSpPr>
          <cdr:cNvPr id="10" name="Straight Arrow Connector 9"/>
          <cdr:cNvSpPr/>
        </cdr:nvSpPr>
        <cdr:spPr>
          <a:xfrm xmlns:a="http://schemas.openxmlformats.org/drawingml/2006/main">
            <a:off x="5077316" y="1614901"/>
            <a:ext cx="541148" cy="223461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28575" cap="flat" cmpd="sng" algn="ctr">
            <a:solidFill>
              <a:sysClr val="windowText" lastClr="000000"/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</cdr:grpSp>
  </cdr:relSizeAnchor>
  <cdr:relSizeAnchor xmlns:cdr="http://schemas.openxmlformats.org/drawingml/2006/chartDrawing">
    <cdr:from>
      <cdr:x>0.76528</cdr:x>
      <cdr:y>0.4241</cdr:y>
    </cdr:from>
    <cdr:to>
      <cdr:x>0.91198</cdr:x>
      <cdr:y>0.55729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6625158" y="2666105"/>
          <a:ext cx="1270010" cy="8372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Actual</a:t>
          </a:r>
          <a:r>
            <a:rPr lang="en-US" sz="1400">
              <a:latin typeface="Times New Roman" pitchFamily="18" charset="0"/>
              <a:cs typeface="Times New Roman" pitchFamily="18" charset="0"/>
            </a:rPr>
            <a:t> 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Path of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Hourly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Real Compensation</a:t>
          </a:r>
        </a:p>
        <a:p xmlns:a="http://schemas.openxmlformats.org/drawingml/2006/main">
          <a:r>
            <a:rPr lang="en-US" sz="1200" b="1" baseline="0">
              <a:latin typeface="Times New Roman" pitchFamily="18" charset="0"/>
              <a:cs typeface="Times New Roman" pitchFamily="18" charset="0"/>
            </a:rPr>
            <a:t>(1982=100)</a:t>
          </a:r>
        </a:p>
      </cdr:txBody>
    </cdr:sp>
  </cdr:relSizeAnchor>
  <cdr:relSizeAnchor xmlns:cdr="http://schemas.openxmlformats.org/drawingml/2006/chartDrawing">
    <cdr:from>
      <cdr:x>0.60488</cdr:x>
      <cdr:y>0.24565</cdr:y>
    </cdr:from>
    <cdr:to>
      <cdr:x>0.73342</cdr:x>
      <cdr:y>0.3405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236527" y="1544265"/>
          <a:ext cx="1112792" cy="596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Hourly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Productivity</a:t>
          </a:r>
        </a:p>
        <a:p xmlns:a="http://schemas.openxmlformats.org/drawingml/2006/main">
          <a:r>
            <a:rPr lang="en-US" sz="1200" b="1" baseline="0">
              <a:latin typeface="Times New Roman" pitchFamily="18" charset="0"/>
              <a:cs typeface="Times New Roman" pitchFamily="18" charset="0"/>
            </a:rPr>
            <a:t>(1982=100)</a:t>
          </a:r>
        </a:p>
      </cdr:txBody>
    </cdr:sp>
  </cdr:relSizeAnchor>
  <cdr:relSizeAnchor xmlns:cdr="http://schemas.openxmlformats.org/drawingml/2006/chartDrawing">
    <cdr:from>
      <cdr:x>0.56968</cdr:x>
      <cdr:y>0.51574</cdr:y>
    </cdr:from>
    <cdr:to>
      <cdr:x>0.78851</cdr:x>
      <cdr:y>0.6734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4931833" y="3242200"/>
          <a:ext cx="1894417" cy="9911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Times New Roman" pitchFamily="18" charset="0"/>
              <a:cs typeface="Times New Roman" pitchFamily="18" charset="0"/>
            </a:rPr>
            <a:t> Counterfactual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Path </a:t>
          </a:r>
        </a:p>
        <a:p xmlns:a="http://schemas.openxmlformats.org/drawingml/2006/main">
          <a:r>
            <a:rPr lang="en-US" sz="1200" b="1" baseline="0">
              <a:latin typeface="Times New Roman" pitchFamily="18" charset="0"/>
              <a:cs typeface="Times New Roman" pitchFamily="18" charset="0"/>
            </a:rPr>
            <a:t>of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Hourly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Real  Compensation, using 1947-81 relationship to productivity and time</a:t>
          </a:r>
        </a:p>
      </cdr:txBody>
    </cdr:sp>
  </cdr:relSizeAnchor>
  <cdr:relSizeAnchor xmlns:cdr="http://schemas.openxmlformats.org/drawingml/2006/chartDrawing">
    <cdr:from>
      <cdr:x>0.84597</cdr:x>
      <cdr:y>0.36342</cdr:y>
    </cdr:from>
    <cdr:to>
      <cdr:x>0.86875</cdr:x>
      <cdr:y>0.42761</cdr:y>
    </cdr:to>
    <cdr:sp macro="" textlink="">
      <cdr:nvSpPr>
        <cdr:cNvPr id="16" name="Straight Arrow Connector 15"/>
        <cdr:cNvSpPr/>
      </cdr:nvSpPr>
      <cdr:spPr>
        <a:xfrm xmlns:a="http://schemas.openxmlformats.org/drawingml/2006/main" rot="5400000" flipH="1" flipV="1">
          <a:off x="7220501" y="2387822"/>
          <a:ext cx="403530" cy="19721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0.68704</cdr:x>
      <cdr:y>0.4046</cdr:y>
    </cdr:from>
    <cdr:to>
      <cdr:x>0.74214</cdr:x>
      <cdr:y>0.52189</cdr:y>
    </cdr:to>
    <cdr:sp macro="" textlink="">
      <cdr:nvSpPr>
        <cdr:cNvPr id="17" name="Straight Arrow Connector 16"/>
        <cdr:cNvSpPr/>
      </cdr:nvSpPr>
      <cdr:spPr>
        <a:xfrm xmlns:a="http://schemas.openxmlformats.org/drawingml/2006/main" rot="5400000" flipH="1" flipV="1">
          <a:off x="5817674" y="2673676"/>
          <a:ext cx="737315" cy="47699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0.62891</cdr:x>
      <cdr:y>0.08188</cdr:y>
    </cdr:from>
    <cdr:to>
      <cdr:x>0.79802</cdr:x>
      <cdr:y>0.17476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5444557" y="514708"/>
          <a:ext cx="1464013" cy="583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Boom</a:t>
          </a:r>
          <a:r>
            <a:rPr lang="en-US" sz="1400" baseline="0">
              <a:latin typeface="Times New Roman" pitchFamily="18" charset="0"/>
              <a:cs typeface="Times New Roman" pitchFamily="18" charset="0"/>
            </a:rPr>
            <a:t> </a:t>
          </a:r>
        </a:p>
        <a:p xmlns:a="http://schemas.openxmlformats.org/drawingml/2006/main">
          <a:r>
            <a:rPr lang="en-US" sz="1400" baseline="0">
              <a:latin typeface="Times New Roman" pitchFamily="18" charset="0"/>
              <a:cs typeface="Times New Roman" pitchFamily="18" charset="0"/>
            </a:rPr>
            <a:t>    1982-2007</a:t>
          </a:r>
          <a:endParaRPr lang="en-US" sz="1400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0.67157</cdr:x>
      <cdr:y>0.34679</cdr:y>
    </cdr:from>
    <cdr:to>
      <cdr:x>0.68582</cdr:x>
      <cdr:y>0.39562</cdr:y>
    </cdr:to>
    <cdr:sp macro="" textlink="">
      <cdr:nvSpPr>
        <cdr:cNvPr id="15" name="Straight Arrow Connector 14"/>
        <cdr:cNvSpPr/>
      </cdr:nvSpPr>
      <cdr:spPr>
        <a:xfrm xmlns:a="http://schemas.openxmlformats.org/drawingml/2006/main" rot="5400000" flipV="1">
          <a:off x="5722062" y="2271899"/>
          <a:ext cx="307000" cy="123376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0.58521</cdr:x>
      <cdr:y>0.45958</cdr:y>
    </cdr:from>
    <cdr:to>
      <cdr:x>0.7552</cdr:x>
      <cdr:y>0.54471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4334" y="2886124"/>
          <a:ext cx="1473989" cy="5346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Actual</a:t>
          </a:r>
          <a:r>
            <a:rPr lang="en-US" sz="1400" b="1" baseline="0"/>
            <a:t> Corporate Profit Rate</a:t>
          </a:r>
          <a:endParaRPr lang="en-US" sz="1400" b="1"/>
        </a:p>
      </cdr:txBody>
    </cdr:sp>
  </cdr:relSizeAnchor>
  <cdr:relSizeAnchor xmlns:cdr="http://schemas.openxmlformats.org/drawingml/2006/chartDrawing">
    <cdr:from>
      <cdr:x>0.36618</cdr:x>
      <cdr:y>0.03329</cdr:y>
    </cdr:from>
    <cdr:to>
      <cdr:x>0.54444</cdr:x>
      <cdr:y>0.94008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3173604" y="209323"/>
          <a:ext cx="1544933" cy="570243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0.90628</cdr:x>
      <cdr:y>0.03338</cdr:y>
    </cdr:from>
    <cdr:to>
      <cdr:x>0.96522</cdr:x>
      <cdr:y>0.94008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7854462" y="209900"/>
          <a:ext cx="510791" cy="570186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0.89475</cdr:x>
      <cdr:y>0.02805</cdr:y>
    </cdr:from>
    <cdr:to>
      <cdr:x>0.97874</cdr:x>
      <cdr:y>0.10919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7754537" y="176395"/>
          <a:ext cx="727917" cy="510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Global</a:t>
          </a:r>
        </a:p>
        <a:p xmlns:a="http://schemas.openxmlformats.org/drawingml/2006/main">
          <a:r>
            <a:rPr lang="en-US" sz="1400" b="1"/>
            <a:t>Crisis</a:t>
          </a:r>
        </a:p>
      </cdr:txBody>
    </cdr:sp>
  </cdr:relSizeAnchor>
  <cdr:relSizeAnchor xmlns:cdr="http://schemas.openxmlformats.org/drawingml/2006/chartDrawing">
    <cdr:from>
      <cdr:x>0.56283</cdr:x>
      <cdr:y>0.71159</cdr:y>
    </cdr:from>
    <cdr:to>
      <cdr:x>0.81081</cdr:x>
      <cdr:y>0.79673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4880327" y="4468762"/>
          <a:ext cx="2150243" cy="5346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Counterfactual Path</a:t>
          </a:r>
          <a:r>
            <a:rPr lang="en-US" sz="1400" b="1" baseline="0"/>
            <a:t> </a:t>
          </a:r>
          <a:r>
            <a:rPr lang="en-US" sz="1400" b="1"/>
            <a:t> of the </a:t>
          </a:r>
          <a:r>
            <a:rPr lang="en-US" sz="1400" b="1" baseline="0"/>
            <a:t>Corporate Profit Rate</a:t>
          </a:r>
          <a:endParaRPr lang="en-US" sz="1400" b="1"/>
        </a:p>
      </cdr:txBody>
    </cdr:sp>
  </cdr:relSizeAnchor>
  <cdr:relSizeAnchor xmlns:cdr="http://schemas.openxmlformats.org/drawingml/2006/chartDrawing">
    <cdr:from>
      <cdr:x>0.36892</cdr:x>
      <cdr:y>0.03915</cdr:y>
    </cdr:from>
    <cdr:to>
      <cdr:x>0.53237</cdr:x>
      <cdr:y>0.11238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198953" y="245859"/>
          <a:ext cx="1417280" cy="459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/>
            <a:t>Stagflation Crisis</a:t>
          </a:r>
          <a:endParaRPr lang="en-US" sz="1400" b="1"/>
        </a:p>
      </cdr:txBody>
    </cdr:sp>
  </cdr:relSizeAnchor>
  <cdr:relSizeAnchor xmlns:cdr="http://schemas.openxmlformats.org/drawingml/2006/chartDrawing">
    <cdr:from>
      <cdr:x>0.58638</cdr:x>
      <cdr:y>0.03759</cdr:y>
    </cdr:from>
    <cdr:to>
      <cdr:x>0.85014</cdr:x>
      <cdr:y>0.13088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5081954" y="236415"/>
          <a:ext cx="2286000" cy="586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Boom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1982-2007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0.28566</cdr:x>
      <cdr:y>0.45572</cdr:y>
    </cdr:from>
    <cdr:to>
      <cdr:x>0.33778</cdr:x>
      <cdr:y>0.50233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477005" y="2861883"/>
          <a:ext cx="451934" cy="2927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 </a:t>
          </a:r>
        </a:p>
      </cdr:txBody>
    </cdr:sp>
  </cdr:relSizeAnchor>
  <cdr:relSizeAnchor xmlns:cdr="http://schemas.openxmlformats.org/drawingml/2006/chartDrawing">
    <cdr:from>
      <cdr:x>0.37488</cdr:x>
      <cdr:y>0.02796</cdr:y>
    </cdr:from>
    <cdr:to>
      <cdr:x>0.55749</cdr:x>
      <cdr:y>0.93475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3248968" y="175829"/>
          <a:ext cx="1582614" cy="570243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0.90821</cdr:x>
      <cdr:y>0.02672</cdr:y>
    </cdr:from>
    <cdr:to>
      <cdr:x>0.96329</cdr:x>
      <cdr:y>0.93342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7871186" y="168031"/>
          <a:ext cx="477319" cy="570186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0.89765</cdr:x>
      <cdr:y>0.02805</cdr:y>
    </cdr:from>
    <cdr:to>
      <cdr:x>0.98164</cdr:x>
      <cdr:y>0.10919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7779658" y="176395"/>
          <a:ext cx="727917" cy="510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Global</a:t>
          </a:r>
        </a:p>
        <a:p xmlns:a="http://schemas.openxmlformats.org/drawingml/2006/main">
          <a:r>
            <a:rPr lang="en-US" sz="1400" b="1"/>
            <a:t>Crisis</a:t>
          </a:r>
        </a:p>
      </cdr:txBody>
    </cdr:sp>
  </cdr:relSizeAnchor>
  <cdr:relSizeAnchor xmlns:cdr="http://schemas.openxmlformats.org/drawingml/2006/chartDrawing">
    <cdr:from>
      <cdr:x>0.38799</cdr:x>
      <cdr:y>0.03449</cdr:y>
    </cdr:from>
    <cdr:to>
      <cdr:x>0.55143</cdr:x>
      <cdr:y>0.10772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362569" y="216877"/>
          <a:ext cx="1416538" cy="46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/>
            <a:t>Stagflation Crisis</a:t>
          </a:r>
          <a:endParaRPr lang="en-US" sz="1400" b="1"/>
        </a:p>
      </cdr:txBody>
    </cdr:sp>
  </cdr:relSizeAnchor>
  <cdr:relSizeAnchor xmlns:cdr="http://schemas.openxmlformats.org/drawingml/2006/chartDrawing">
    <cdr:from>
      <cdr:x>0.59427</cdr:x>
      <cdr:y>0.03293</cdr:y>
    </cdr:from>
    <cdr:to>
      <cdr:x>0.85804</cdr:x>
      <cdr:y>0.12622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5150338" y="207108"/>
          <a:ext cx="2286000" cy="586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Boom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1982-2007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0.15986</cdr:x>
      <cdr:y>0.15605</cdr:y>
    </cdr:from>
    <cdr:to>
      <cdr:x>0.20139</cdr:x>
      <cdr:y>0.20798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386151" y="979993"/>
          <a:ext cx="360099" cy="326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r</a:t>
          </a:r>
        </a:p>
      </cdr:txBody>
    </cdr:sp>
  </cdr:relSizeAnchor>
  <cdr:relSizeAnchor xmlns:cdr="http://schemas.openxmlformats.org/drawingml/2006/chartDrawing">
    <cdr:from>
      <cdr:x>0.12816</cdr:x>
      <cdr:y>0.5676</cdr:y>
    </cdr:from>
    <cdr:to>
      <cdr:x>0.26608</cdr:x>
      <cdr:y>0.65388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1111250" y="3564465"/>
          <a:ext cx="1195916" cy="5418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r</a:t>
          </a:r>
          <a:r>
            <a:rPr lang="en-US" sz="1400" b="1" baseline="-25000"/>
            <a:t>I</a:t>
          </a:r>
          <a:r>
            <a:rPr lang="en-US" sz="1400" b="1"/>
            <a:t> HP100(-1)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0.66962</cdr:x>
      <cdr:y>0.48744</cdr:y>
    </cdr:from>
    <cdr:to>
      <cdr:x>0.83961</cdr:x>
      <cdr:y>0.57257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03398" y="3065292"/>
          <a:ext cx="1473253" cy="5353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Short Term Interest</a:t>
          </a:r>
          <a:r>
            <a:rPr lang="en-US" sz="1400" b="1" baseline="0"/>
            <a:t> Rate </a:t>
          </a:r>
          <a:endParaRPr lang="en-US" sz="1400" b="1"/>
        </a:p>
      </cdr:txBody>
    </cdr:sp>
  </cdr:relSizeAnchor>
  <cdr:relSizeAnchor xmlns:cdr="http://schemas.openxmlformats.org/drawingml/2006/chartDrawing">
    <cdr:from>
      <cdr:x>0.36618</cdr:x>
      <cdr:y>0.03329</cdr:y>
    </cdr:from>
    <cdr:to>
      <cdr:x>0.5467</cdr:x>
      <cdr:y>0.94008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3173573" y="209347"/>
          <a:ext cx="1564504" cy="57024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0.89952</cdr:x>
      <cdr:y>0.03338</cdr:y>
    </cdr:from>
    <cdr:to>
      <cdr:x>0.96377</cdr:x>
      <cdr:y>0.94008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7795847" y="209913"/>
          <a:ext cx="556846" cy="570186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0.89089</cdr:x>
      <cdr:y>0.02672</cdr:y>
    </cdr:from>
    <cdr:to>
      <cdr:x>0.97488</cdr:x>
      <cdr:y>0.10786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7721038" y="168021"/>
          <a:ext cx="727916" cy="510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Global</a:t>
          </a:r>
        </a:p>
        <a:p xmlns:a="http://schemas.openxmlformats.org/drawingml/2006/main">
          <a:r>
            <a:rPr lang="en-US" sz="1400" b="1"/>
            <a:t>Crisis</a:t>
          </a:r>
        </a:p>
      </cdr:txBody>
    </cdr:sp>
  </cdr:relSizeAnchor>
  <cdr:relSizeAnchor xmlns:cdr="http://schemas.openxmlformats.org/drawingml/2006/chartDrawing">
    <cdr:from>
      <cdr:x>0.67182</cdr:x>
      <cdr:y>0.22889</cdr:y>
    </cdr:from>
    <cdr:to>
      <cdr:x>0.79469</cdr:x>
      <cdr:y>0.3107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822491" y="1439405"/>
          <a:ext cx="1064817" cy="514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GDP deflator</a:t>
          </a:r>
        </a:p>
      </cdr:txBody>
    </cdr:sp>
  </cdr:relSizeAnchor>
  <cdr:relSizeAnchor xmlns:cdr="http://schemas.openxmlformats.org/drawingml/2006/chartDrawing">
    <cdr:from>
      <cdr:x>0.36754</cdr:x>
      <cdr:y>0.15122</cdr:y>
    </cdr:from>
    <cdr:to>
      <cdr:x>0.50499</cdr:x>
      <cdr:y>0.21749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185327" y="950966"/>
          <a:ext cx="1191288" cy="416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lang="en-US" sz="1100" b="1"/>
            <a:t>"Volcker</a:t>
          </a:r>
          <a:r>
            <a:rPr lang="en-US" sz="1100" b="1" baseline="0"/>
            <a:t> Shock"  </a:t>
          </a:r>
        </a:p>
        <a:p xmlns:a="http://schemas.openxmlformats.org/drawingml/2006/main">
          <a:pPr>
            <a:lnSpc>
              <a:spcPts val="1200"/>
            </a:lnSpc>
          </a:pPr>
          <a:r>
            <a:rPr lang="en-US" sz="1100" b="1" baseline="0"/>
            <a:t>      1979-1981 </a:t>
          </a:r>
          <a:endParaRPr lang="en-US" sz="1100" b="1"/>
        </a:p>
      </cdr:txBody>
    </cdr:sp>
  </cdr:relSizeAnchor>
  <cdr:relSizeAnchor xmlns:cdr="http://schemas.openxmlformats.org/drawingml/2006/chartDrawing">
    <cdr:from>
      <cdr:x>0.37784</cdr:x>
      <cdr:y>0.0407</cdr:y>
    </cdr:from>
    <cdr:to>
      <cdr:x>0.54129</cdr:x>
      <cdr:y>0.11394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3274646" y="255954"/>
          <a:ext cx="1416538" cy="46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/>
            <a:t>Stagflation Crisis</a:t>
          </a:r>
          <a:endParaRPr lang="en-US" sz="1400" b="1"/>
        </a:p>
      </cdr:txBody>
    </cdr:sp>
  </cdr:relSizeAnchor>
  <cdr:relSizeAnchor xmlns:cdr="http://schemas.openxmlformats.org/drawingml/2006/chartDrawing">
    <cdr:from>
      <cdr:x>0.59066</cdr:x>
      <cdr:y>0.03449</cdr:y>
    </cdr:from>
    <cdr:to>
      <cdr:x>0.85443</cdr:x>
      <cdr:y>0.12778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5119077" y="216877"/>
          <a:ext cx="2286000" cy="586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Boom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1982-2007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0.43626</cdr:x>
      <cdr:y>0.21749</cdr:y>
    </cdr:from>
    <cdr:to>
      <cdr:x>0.51965</cdr:x>
      <cdr:y>0.26099</cdr:y>
    </cdr:to>
    <cdr:cxnSp macro="">
      <cdr:nvCxnSpPr>
        <cdr:cNvPr id="4" name="Straight Arrow Connector 3"/>
        <cdr:cNvCxnSpPr>
          <a:stCxn xmlns:a="http://schemas.openxmlformats.org/drawingml/2006/main" id="8" idx="2"/>
        </cdr:cNvCxnSpPr>
      </cdr:nvCxnSpPr>
      <cdr:spPr>
        <a:xfrm xmlns:a="http://schemas.openxmlformats.org/drawingml/2006/main">
          <a:off x="3780971" y="1367693"/>
          <a:ext cx="722644" cy="27353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53220" cy="628542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0.61664</cdr:x>
      <cdr:y>0.77017</cdr:y>
    </cdr:from>
    <cdr:to>
      <cdr:x>0.68535</cdr:x>
      <cdr:y>0.82024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344245" y="4843312"/>
          <a:ext cx="595448" cy="3148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US </a:t>
          </a:r>
        </a:p>
      </cdr:txBody>
    </cdr:sp>
  </cdr:relSizeAnchor>
  <cdr:relSizeAnchor xmlns:cdr="http://schemas.openxmlformats.org/drawingml/2006/chartDrawing">
    <cdr:from>
      <cdr:x>0.21546</cdr:x>
      <cdr:y>0.03462</cdr:y>
    </cdr:from>
    <cdr:to>
      <cdr:x>0.44638</cdr:x>
      <cdr:y>0.94141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867319" y="217720"/>
          <a:ext cx="2001296" cy="57024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0.88986</cdr:x>
      <cdr:y>0.03338</cdr:y>
    </cdr:from>
    <cdr:to>
      <cdr:x>0.96377</cdr:x>
      <cdr:y>0.94008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7712111" y="209913"/>
          <a:ext cx="640598" cy="570186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0.89089</cdr:x>
      <cdr:y>0.02672</cdr:y>
    </cdr:from>
    <cdr:to>
      <cdr:x>0.97488</cdr:x>
      <cdr:y>0.10786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7721038" y="168021"/>
          <a:ext cx="727916" cy="510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Global</a:t>
          </a:r>
        </a:p>
        <a:p xmlns:a="http://schemas.openxmlformats.org/drawingml/2006/main">
          <a:r>
            <a:rPr lang="en-US" sz="1400" b="1"/>
            <a:t>Crisis</a:t>
          </a:r>
        </a:p>
      </cdr:txBody>
    </cdr:sp>
  </cdr:relSizeAnchor>
  <cdr:relSizeAnchor xmlns:cdr="http://schemas.openxmlformats.org/drawingml/2006/chartDrawing">
    <cdr:from>
      <cdr:x>0.24257</cdr:x>
      <cdr:y>0.04869</cdr:y>
    </cdr:from>
    <cdr:to>
      <cdr:x>0.40602</cdr:x>
      <cdr:y>0.12193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102319" y="306188"/>
          <a:ext cx="1416573" cy="460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/>
            <a:t>Stagflation Crisis</a:t>
          </a:r>
          <a:endParaRPr lang="en-US" sz="1400" b="1"/>
        </a:p>
      </cdr:txBody>
    </cdr:sp>
  </cdr:relSizeAnchor>
  <cdr:relSizeAnchor xmlns:cdr="http://schemas.openxmlformats.org/drawingml/2006/chartDrawing">
    <cdr:from>
      <cdr:x>0.59066</cdr:x>
      <cdr:y>0.03449</cdr:y>
    </cdr:from>
    <cdr:to>
      <cdr:x>0.85443</cdr:x>
      <cdr:y>0.12778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5119077" y="216877"/>
          <a:ext cx="2286000" cy="586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</a:t>
          </a:r>
          <a:r>
            <a:rPr lang="en-US" sz="1400" b="1">
              <a:latin typeface="+mn-lt"/>
              <a:cs typeface="Times New Roman" pitchFamily="18" charset="0"/>
            </a:rPr>
            <a:t>Boom</a:t>
          </a:r>
          <a:r>
            <a:rPr lang="en-US" sz="1400" b="1" baseline="0">
              <a:latin typeface="+mn-lt"/>
              <a:cs typeface="Times New Roman" pitchFamily="18" charset="0"/>
            </a:rPr>
            <a:t> 1982-2007</a:t>
          </a:r>
          <a:endParaRPr lang="en-US" sz="1400" b="1">
            <a:latin typeface="+mn-lt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0.60103</cdr:x>
      <cdr:y>0.40422</cdr:y>
    </cdr:from>
    <cdr:to>
      <cdr:x>0.67858</cdr:x>
      <cdr:y>0.45428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08953" y="2541954"/>
          <a:ext cx="672124" cy="3148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OECD 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0.21132</cdr:x>
      <cdr:y>0.31525</cdr:y>
    </cdr:from>
    <cdr:to>
      <cdr:x>0.26247</cdr:x>
      <cdr:y>0.36631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832383" y="1979759"/>
          <a:ext cx="443523" cy="320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r - i</a:t>
          </a:r>
        </a:p>
      </cdr:txBody>
    </cdr:sp>
  </cdr:relSizeAnchor>
  <cdr:relSizeAnchor xmlns:cdr="http://schemas.openxmlformats.org/drawingml/2006/chartDrawing">
    <cdr:from>
      <cdr:x>0.37681</cdr:x>
      <cdr:y>0.02924</cdr:y>
    </cdr:from>
    <cdr:to>
      <cdr:x>0.55942</cdr:x>
      <cdr:y>0.93603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3264535" y="183817"/>
          <a:ext cx="1582061" cy="570053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0.90821</cdr:x>
      <cdr:y>0.02672</cdr:y>
    </cdr:from>
    <cdr:to>
      <cdr:x>0.96427</cdr:x>
      <cdr:y>0.93342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7871187" y="168031"/>
          <a:ext cx="485830" cy="570186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15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0.89816</cdr:x>
      <cdr:y>0.02805</cdr:y>
    </cdr:from>
    <cdr:to>
      <cdr:x>0.98215</cdr:x>
      <cdr:y>0.10919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7784051" y="176395"/>
          <a:ext cx="727917" cy="510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Global</a:t>
          </a:r>
        </a:p>
        <a:p xmlns:a="http://schemas.openxmlformats.org/drawingml/2006/main">
          <a:r>
            <a:rPr lang="en-US" sz="1400" b="1"/>
            <a:t>Crisis</a:t>
          </a:r>
        </a:p>
      </cdr:txBody>
    </cdr:sp>
  </cdr:relSizeAnchor>
  <cdr:relSizeAnchor xmlns:cdr="http://schemas.openxmlformats.org/drawingml/2006/chartDrawing">
    <cdr:from>
      <cdr:x>0.38799</cdr:x>
      <cdr:y>0.03449</cdr:y>
    </cdr:from>
    <cdr:to>
      <cdr:x>0.55143</cdr:x>
      <cdr:y>0.10772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362569" y="216877"/>
          <a:ext cx="1416538" cy="46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/>
            <a:t>Stagflation Crisis</a:t>
          </a:r>
          <a:endParaRPr lang="en-US" sz="1400" b="1"/>
        </a:p>
      </cdr:txBody>
    </cdr:sp>
  </cdr:relSizeAnchor>
  <cdr:relSizeAnchor xmlns:cdr="http://schemas.openxmlformats.org/drawingml/2006/chartDrawing">
    <cdr:from>
      <cdr:x>0.59427</cdr:x>
      <cdr:y>0.03293</cdr:y>
    </cdr:from>
    <cdr:to>
      <cdr:x>0.85804</cdr:x>
      <cdr:y>0.12622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5150338" y="207108"/>
          <a:ext cx="2286000" cy="586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 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Boom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1982-2007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0.18406</cdr:x>
      <cdr:y>0.48165</cdr:y>
    </cdr:from>
    <cdr:to>
      <cdr:x>0.33687</cdr:x>
      <cdr:y>0.56793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1595966" y="3024716"/>
          <a:ext cx="1325033" cy="5418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r</a:t>
          </a:r>
          <a:r>
            <a:rPr lang="en-US" sz="1400" b="1" baseline="-25000"/>
            <a:t>I</a:t>
          </a:r>
          <a:r>
            <a:rPr lang="en-US" sz="1400" b="1"/>
            <a:t> HP100(-1)  - i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0.85162</cdr:x>
      <cdr:y>0.03877</cdr:y>
    </cdr:from>
    <cdr:to>
      <cdr:x>0.96865</cdr:x>
      <cdr:y>0.90953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7380514" y="243841"/>
          <a:ext cx="1014272" cy="5476239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75000"/>
            <a:alpha val="30000"/>
          </a:sysClr>
        </a:solidFill>
        <a:ln xmlns:a="http://schemas.openxmlformats.org/drawingml/2006/main" w="25400" cap="flat" cmpd="sng" algn="ctr">
          <a:solidFill>
            <a:srgbClr val="4F81BD">
              <a:shade val="5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0.6935</cdr:x>
      <cdr:y>0.04688</cdr:y>
    </cdr:from>
    <cdr:to>
      <cdr:x>0.89701</cdr:x>
      <cdr:y>0.14057</cdr:y>
    </cdr:to>
    <cdr:grpSp>
      <cdr:nvGrpSpPr>
        <cdr:cNvPr id="3" name="Group 2"/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6006681" y="294711"/>
          <a:ext cx="1762681" cy="588982"/>
          <a:chOff x="-343012" y="1326303"/>
          <a:chExt cx="1749530" cy="605868"/>
        </a:xfrm>
      </cdr:grpSpPr>
      <cdr:sp macro="" textlink="">
        <cdr:nvSpPr>
          <cdr:cNvPr id="4" name="TextBox 1"/>
          <cdr:cNvSpPr txBox="1"/>
        </cdr:nvSpPr>
        <cdr:spPr>
          <a:xfrm xmlns:a="http://schemas.openxmlformats.org/drawingml/2006/main">
            <a:off x="-343012" y="1326303"/>
            <a:ext cx="838688" cy="60586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en-US" sz="1400" b="1" baseline="0">
                <a:latin typeface="Times New Roman" pitchFamily="18" charset="0"/>
                <a:cs typeface="Times New Roman" pitchFamily="18" charset="0"/>
              </a:rPr>
              <a:t>Global </a:t>
            </a:r>
          </a:p>
          <a:p xmlns:a="http://schemas.openxmlformats.org/drawingml/2006/main">
            <a:r>
              <a:rPr lang="en-US" sz="1400" b="1" baseline="0">
                <a:latin typeface="Times New Roman" pitchFamily="18" charset="0"/>
                <a:cs typeface="Times New Roman" pitchFamily="18" charset="0"/>
              </a:rPr>
              <a:t>Crisis</a:t>
            </a:r>
            <a:endParaRPr lang="en-US" sz="1400" b="1">
              <a:latin typeface="Times New Roman" pitchFamily="18" charset="0"/>
              <a:cs typeface="Times New Roman" pitchFamily="18" charset="0"/>
            </a:endParaRPr>
          </a:p>
        </cdr:txBody>
      </cdr:sp>
      <cdr:sp macro="" textlink="">
        <cdr:nvSpPr>
          <cdr:cNvPr id="5" name="Straight Arrow Connector 4"/>
          <cdr:cNvSpPr/>
        </cdr:nvSpPr>
        <cdr:spPr>
          <a:xfrm xmlns:a="http://schemas.openxmlformats.org/drawingml/2006/main" flipV="1">
            <a:off x="408774" y="1596141"/>
            <a:ext cx="997744" cy="0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28575" cap="flat" cmpd="sng" algn="ctr">
            <a:solidFill>
              <a:sysClr val="windowText" lastClr="000000"/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</cdr:grpSp>
  </cdr:relSizeAnchor>
  <cdr:relSizeAnchor xmlns:cdr="http://schemas.openxmlformats.org/drawingml/2006/chartDrawing">
    <cdr:from>
      <cdr:x>0.26011</cdr:x>
      <cdr:y>0.16325</cdr:y>
    </cdr:from>
    <cdr:to>
      <cdr:x>0.84696</cdr:x>
      <cdr:y>0.27559</cdr:y>
    </cdr:to>
    <cdr:grpSp>
      <cdr:nvGrpSpPr>
        <cdr:cNvPr id="9" name="Group 8"/>
        <cdr:cNvGrpSpPr/>
      </cdr:nvGrpSpPr>
      <cdr:grpSpPr>
        <a:xfrm xmlns:a="http://schemas.openxmlformats.org/drawingml/2006/main">
          <a:off x="2252917" y="1026271"/>
          <a:ext cx="5082942" cy="706226"/>
          <a:chOff x="27100" y="792239"/>
          <a:chExt cx="5081682" cy="706248"/>
        </a:xfrm>
      </cdr:grpSpPr>
      <cdr:sp macro="" textlink="">
        <cdr:nvSpPr>
          <cdr:cNvPr id="10" name="TextBox 1"/>
          <cdr:cNvSpPr txBox="1"/>
        </cdr:nvSpPr>
        <cdr:spPr>
          <a:xfrm xmlns:a="http://schemas.openxmlformats.org/drawingml/2006/main">
            <a:off x="2125795" y="792239"/>
            <a:ext cx="1143000" cy="70624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en-US" sz="1400">
                <a:latin typeface="Times New Roman" pitchFamily="18" charset="0"/>
                <a:cs typeface="Times New Roman" pitchFamily="18" charset="0"/>
              </a:rPr>
              <a:t>    </a:t>
            </a:r>
            <a:r>
              <a:rPr lang="en-US" sz="1400" b="0">
                <a:latin typeface="Times New Roman" pitchFamily="18" charset="0"/>
                <a:cs typeface="Times New Roman" pitchFamily="18" charset="0"/>
              </a:rPr>
              <a:t>Boom</a:t>
            </a:r>
            <a:r>
              <a:rPr lang="en-US" sz="1400" b="0" baseline="0">
                <a:latin typeface="Times New Roman" pitchFamily="18" charset="0"/>
                <a:cs typeface="Times New Roman" pitchFamily="18" charset="0"/>
              </a:rPr>
              <a:t> </a:t>
            </a:r>
          </a:p>
          <a:p xmlns:a="http://schemas.openxmlformats.org/drawingml/2006/main">
            <a:r>
              <a:rPr lang="en-US" sz="1400" b="0" baseline="0">
                <a:latin typeface="Times New Roman" pitchFamily="18" charset="0"/>
                <a:cs typeface="Times New Roman" pitchFamily="18" charset="0"/>
              </a:rPr>
              <a:t>1982-2007</a:t>
            </a:r>
            <a:endParaRPr lang="en-US" sz="1400" b="0">
              <a:latin typeface="Times New Roman" pitchFamily="18" charset="0"/>
              <a:cs typeface="Times New Roman" pitchFamily="18" charset="0"/>
            </a:endParaRPr>
          </a:p>
        </cdr:txBody>
      </cdr:sp>
      <cdr:sp macro="" textlink="">
        <cdr:nvSpPr>
          <cdr:cNvPr id="11" name="Straight Arrow Connector 10"/>
          <cdr:cNvSpPr/>
        </cdr:nvSpPr>
        <cdr:spPr>
          <a:xfrm xmlns:a="http://schemas.openxmlformats.org/drawingml/2006/main" rot="10800000" flipV="1">
            <a:off x="27100" y="1048123"/>
            <a:ext cx="2055656" cy="0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12700" cap="flat" cmpd="sng" algn="ctr">
            <a:solidFill>
              <a:sysClr val="windowText" lastClr="000000"/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12" name="Straight Arrow Connector 11"/>
          <cdr:cNvSpPr/>
        </cdr:nvSpPr>
        <cdr:spPr>
          <a:xfrm xmlns:a="http://schemas.openxmlformats.org/drawingml/2006/main" flipV="1">
            <a:off x="3098807" y="1041172"/>
            <a:ext cx="2009975" cy="0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12700" cap="flat" cmpd="sng" algn="ctr">
            <a:solidFill>
              <a:sysClr val="windowText" lastClr="000000"/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</cdr:grpSp>
  </cdr:relSizeAnchor>
  <cdr:relSizeAnchor xmlns:cdr="http://schemas.openxmlformats.org/drawingml/2006/chartDrawing">
    <cdr:from>
      <cdr:x>0.09032</cdr:x>
      <cdr:y>0.042</cdr:y>
    </cdr:from>
    <cdr:to>
      <cdr:x>0.25909</cdr:x>
      <cdr:y>0.90953</cdr:y>
    </cdr:to>
    <cdr:sp macro="" textlink="">
      <cdr:nvSpPr>
        <cdr:cNvPr id="13" name="Rectangle 12"/>
        <cdr:cNvSpPr/>
      </cdr:nvSpPr>
      <cdr:spPr>
        <a:xfrm xmlns:a="http://schemas.openxmlformats.org/drawingml/2006/main">
          <a:off x="782788" y="264160"/>
          <a:ext cx="1462572" cy="545592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75000"/>
            <a:alpha val="30000"/>
          </a:sysClr>
        </a:solidFill>
        <a:ln xmlns:a="http://schemas.openxmlformats.org/drawingml/2006/main" w="25400" cap="flat" cmpd="sng" algn="ctr">
          <a:solidFill>
            <a:srgbClr val="4F81BD">
              <a:shade val="5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0.07157</cdr:x>
      <cdr:y>0.08893</cdr:y>
    </cdr:from>
    <cdr:to>
      <cdr:x>0.24405</cdr:x>
      <cdr:y>0.18215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20234" y="559312"/>
          <a:ext cx="1494794" cy="5862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endParaRPr lang="en-US" sz="1400" baseline="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0.80572</cdr:x>
      <cdr:y>0.04527</cdr:y>
    </cdr:from>
    <cdr:to>
      <cdr:x>0.95942</cdr:x>
      <cdr:y>0.90013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6982917" y="284685"/>
          <a:ext cx="1332091" cy="537588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75000"/>
            <a:alpha val="30000"/>
          </a:sysClr>
        </a:solidFill>
        <a:ln xmlns:a="http://schemas.openxmlformats.org/drawingml/2006/main" w="25400" cap="flat" cmpd="sng" algn="ctr">
          <a:solidFill>
            <a:srgbClr val="4F81BD">
              <a:shade val="5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0.84989</cdr:x>
      <cdr:y>0.05601</cdr:y>
    </cdr:from>
    <cdr:to>
      <cdr:x>0.94815</cdr:x>
      <cdr:y>0.14709</cdr:y>
    </cdr:to>
    <cdr:grpSp>
      <cdr:nvGrpSpPr>
        <cdr:cNvPr id="5" name="Group 4"/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7360637" y="351712"/>
          <a:ext cx="851000" cy="571931"/>
          <a:chOff x="0" y="0"/>
          <a:chExt cx="844772" cy="588970"/>
        </a:xfrm>
      </cdr:grpSpPr>
      <cdr:sp macro="" textlink="">
        <cdr:nvSpPr>
          <cdr:cNvPr id="6" name="TextBox 1"/>
          <cdr:cNvSpPr txBox="1"/>
        </cdr:nvSpPr>
        <cdr:spPr>
          <a:xfrm xmlns:a="http://schemas.openxmlformats.org/drawingml/2006/main">
            <a:off x="0" y="0"/>
            <a:ext cx="844772" cy="58897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en-US" sz="1400" b="1" baseline="0">
                <a:latin typeface="Times New Roman" pitchFamily="18" charset="0"/>
                <a:cs typeface="Times New Roman" pitchFamily="18" charset="0"/>
              </a:rPr>
              <a:t>Global </a:t>
            </a:r>
          </a:p>
          <a:p xmlns:a="http://schemas.openxmlformats.org/drawingml/2006/main">
            <a:r>
              <a:rPr lang="en-US" sz="1400" b="1" baseline="0">
                <a:latin typeface="Times New Roman" pitchFamily="18" charset="0"/>
                <a:cs typeface="Times New Roman" pitchFamily="18" charset="0"/>
              </a:rPr>
              <a:t>Crisis</a:t>
            </a:r>
            <a:endParaRPr lang="en-US" sz="1400" b="1">
              <a:latin typeface="Times New Roman" pitchFamily="18" charset="0"/>
              <a:cs typeface="Times New Roman" pitchFamily="18" charset="0"/>
            </a:endParaRPr>
          </a:p>
        </cdr:txBody>
      </cdr:sp>
    </cdr:grpSp>
  </cdr:relSizeAnchor>
  <cdr:relSizeAnchor xmlns:cdr="http://schemas.openxmlformats.org/drawingml/2006/chartDrawing">
    <cdr:from>
      <cdr:x>0.13188</cdr:x>
      <cdr:y>0.12645</cdr:y>
    </cdr:from>
    <cdr:to>
      <cdr:x>0.801</cdr:x>
      <cdr:y>0.2388</cdr:y>
    </cdr:to>
    <cdr:grpSp>
      <cdr:nvGrpSpPr>
        <cdr:cNvPr id="8" name="Group 7"/>
        <cdr:cNvGrpSpPr/>
      </cdr:nvGrpSpPr>
      <cdr:grpSpPr>
        <a:xfrm xmlns:a="http://schemas.openxmlformats.org/drawingml/2006/main">
          <a:off x="1142172" y="794036"/>
          <a:ext cx="5795044" cy="705495"/>
          <a:chOff x="-292070" y="-243894"/>
          <a:chExt cx="5798748" cy="706248"/>
        </a:xfrm>
      </cdr:grpSpPr>
      <cdr:sp macro="" textlink="">
        <cdr:nvSpPr>
          <cdr:cNvPr id="9" name="TextBox 1"/>
          <cdr:cNvSpPr txBox="1"/>
        </cdr:nvSpPr>
        <cdr:spPr>
          <a:xfrm xmlns:a="http://schemas.openxmlformats.org/drawingml/2006/main">
            <a:off x="2045317" y="-243894"/>
            <a:ext cx="1143000" cy="70624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Calibri"/>
              </a:defRPr>
            </a:lvl1pPr>
            <a:lvl2pPr marL="457200" indent="0">
              <a:defRPr sz="1100">
                <a:latin typeface="Calibri"/>
              </a:defRPr>
            </a:lvl2pPr>
            <a:lvl3pPr marL="914400" indent="0">
              <a:defRPr sz="1100">
                <a:latin typeface="Calibri"/>
              </a:defRPr>
            </a:lvl3pPr>
            <a:lvl4pPr marL="1371600" indent="0">
              <a:defRPr sz="1100">
                <a:latin typeface="Calibri"/>
              </a:defRPr>
            </a:lvl4pPr>
            <a:lvl5pPr marL="1828800" indent="0">
              <a:defRPr sz="1100">
                <a:latin typeface="Calibri"/>
              </a:defRPr>
            </a:lvl5pPr>
            <a:lvl6pPr marL="2286000" indent="0">
              <a:defRPr sz="1100">
                <a:latin typeface="Calibri"/>
              </a:defRPr>
            </a:lvl6pPr>
            <a:lvl7pPr marL="2743200" indent="0">
              <a:defRPr sz="1100">
                <a:latin typeface="Calibri"/>
              </a:defRPr>
            </a:lvl7pPr>
            <a:lvl8pPr marL="3200400" indent="0">
              <a:defRPr sz="1100">
                <a:latin typeface="Calibri"/>
              </a:defRPr>
            </a:lvl8pPr>
            <a:lvl9pPr marL="3657600" indent="0">
              <a:defRPr sz="1100">
                <a:latin typeface="Calibri"/>
              </a:defRPr>
            </a:lvl9pPr>
          </a:lstStyle>
          <a:p xmlns:a="http://schemas.openxmlformats.org/drawingml/2006/main">
            <a:r>
              <a:rPr lang="en-US" sz="1400">
                <a:latin typeface="Times New Roman" pitchFamily="18" charset="0"/>
                <a:cs typeface="Times New Roman" pitchFamily="18" charset="0"/>
              </a:rPr>
              <a:t>    </a:t>
            </a:r>
            <a:r>
              <a:rPr lang="en-US" sz="1400" b="0">
                <a:latin typeface="Times New Roman" pitchFamily="18" charset="0"/>
                <a:cs typeface="Times New Roman" pitchFamily="18" charset="0"/>
              </a:rPr>
              <a:t>Boom</a:t>
            </a:r>
            <a:r>
              <a:rPr lang="en-US" sz="1400" b="0" baseline="0">
                <a:latin typeface="Times New Roman" pitchFamily="18" charset="0"/>
                <a:cs typeface="Times New Roman" pitchFamily="18" charset="0"/>
              </a:rPr>
              <a:t> </a:t>
            </a:r>
          </a:p>
          <a:p xmlns:a="http://schemas.openxmlformats.org/drawingml/2006/main">
            <a:r>
              <a:rPr lang="en-US" sz="1400" b="0" baseline="0">
                <a:latin typeface="Times New Roman" pitchFamily="18" charset="0"/>
                <a:cs typeface="Times New Roman" pitchFamily="18" charset="0"/>
              </a:rPr>
              <a:t>1982-2007</a:t>
            </a:r>
            <a:endParaRPr lang="en-US" sz="1400" b="0">
              <a:latin typeface="Times New Roman" pitchFamily="18" charset="0"/>
              <a:cs typeface="Times New Roman" pitchFamily="18" charset="0"/>
            </a:endParaRPr>
          </a:p>
        </cdr:txBody>
      </cdr:sp>
      <cdr:sp macro="" textlink="">
        <cdr:nvSpPr>
          <cdr:cNvPr id="10" name="Straight Arrow Connector 9"/>
          <cdr:cNvSpPr/>
        </cdr:nvSpPr>
        <cdr:spPr>
          <a:xfrm xmlns:a="http://schemas.openxmlformats.org/drawingml/2006/main" rot="10800000" flipV="1">
            <a:off x="-292070" y="80109"/>
            <a:ext cx="2194434" cy="0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12700" cap="flat" cmpd="sng" algn="ctr">
            <a:solidFill>
              <a:sysClr val="windowText" lastClr="000000"/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11" name="Straight Arrow Connector 10"/>
          <cdr:cNvSpPr/>
        </cdr:nvSpPr>
        <cdr:spPr>
          <a:xfrm xmlns:a="http://schemas.openxmlformats.org/drawingml/2006/main">
            <a:off x="3220809" y="72791"/>
            <a:ext cx="2285869" cy="0"/>
          </a:xfrm>
          <a:prstGeom xmlns:a="http://schemas.openxmlformats.org/drawingml/2006/main" prst="straightConnector1">
            <a:avLst/>
          </a:prstGeom>
          <a:noFill xmlns:a="http://schemas.openxmlformats.org/drawingml/2006/main"/>
          <a:ln xmlns:a="http://schemas.openxmlformats.org/drawingml/2006/main" w="12700" cap="flat" cmpd="sng" algn="ctr">
            <a:solidFill>
              <a:sysClr val="windowText" lastClr="000000"/>
            </a:solidFill>
            <a:prstDash val="solid"/>
            <a:tailEnd type="arrow"/>
          </a:ln>
          <a:effectLst xmlns:a="http://schemas.openxmlformats.org/drawingml/2006/main"/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endParaRPr lang="en-US"/>
          </a:p>
        </cdr:txBody>
      </cdr:sp>
    </cdr:grpSp>
  </cdr:relSizeAnchor>
  <cdr:relSizeAnchor xmlns:cdr="http://schemas.openxmlformats.org/drawingml/2006/chartDrawing">
    <cdr:from>
      <cdr:x>0.07836</cdr:x>
      <cdr:y>0.0438</cdr:y>
    </cdr:from>
    <cdr:to>
      <cdr:x>0.1314</cdr:x>
      <cdr:y>0.9028</cdr:y>
    </cdr:to>
    <cdr:sp macro="" textlink="">
      <cdr:nvSpPr>
        <cdr:cNvPr id="12" name="Rectangle 11"/>
        <cdr:cNvSpPr/>
      </cdr:nvSpPr>
      <cdr:spPr>
        <a:xfrm xmlns:a="http://schemas.openxmlformats.org/drawingml/2006/main">
          <a:off x="679132" y="275451"/>
          <a:ext cx="459681" cy="540186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75000"/>
            <a:alpha val="30000"/>
          </a:sysClr>
        </a:solidFill>
        <a:ln xmlns:a="http://schemas.openxmlformats.org/drawingml/2006/main" w="25400" cap="flat" cmpd="sng" algn="ctr">
          <a:solidFill>
            <a:srgbClr val="4F81BD">
              <a:shade val="5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182880</xdr:colOff>
      <xdr:row>6</xdr:row>
      <xdr:rowOff>137166</xdr:rowOff>
    </xdr:from>
    <xdr:to>
      <xdr:col>18</xdr:col>
      <xdr:colOff>487680</xdr:colOff>
      <xdr:row>21</xdr:row>
      <xdr:rowOff>137166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bls.org/" TargetMode="Externa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ederalreserve.gov/datadownload/Download.aspx?rel=FOR&amp;series=6d253f59629f788ab250a7a30662e79e&amp;filetype=spreadsheetml&amp;label=include&amp;layout=seriescolumn&amp;from=03/01/1980&amp;to=12/31/201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B12"/>
  <sheetViews>
    <sheetView workbookViewId="0">
      <selection activeCell="C25" sqref="C25"/>
    </sheetView>
  </sheetViews>
  <sheetFormatPr defaultRowHeight="14.5" x14ac:dyDescent="0.35"/>
  <cols>
    <col min="1" max="1" width="20.36328125" customWidth="1"/>
  </cols>
  <sheetData>
    <row r="2" spans="1:2" x14ac:dyDescent="0.3">
      <c r="A2" s="70" t="s">
        <v>269</v>
      </c>
      <c r="B2" s="70" t="s">
        <v>1</v>
      </c>
    </row>
    <row r="3" spans="1:2" x14ac:dyDescent="0.3">
      <c r="A3" t="s">
        <v>270</v>
      </c>
      <c r="B3" t="s">
        <v>271</v>
      </c>
    </row>
    <row r="4" spans="1:2" x14ac:dyDescent="0.3">
      <c r="A4" t="s">
        <v>272</v>
      </c>
      <c r="B4" t="s">
        <v>273</v>
      </c>
    </row>
    <row r="5" spans="1:2" x14ac:dyDescent="0.3">
      <c r="A5" t="s">
        <v>274</v>
      </c>
      <c r="B5" t="s">
        <v>275</v>
      </c>
    </row>
    <row r="6" spans="1:2" x14ac:dyDescent="0.3">
      <c r="A6" t="s">
        <v>276</v>
      </c>
      <c r="B6" t="s">
        <v>273</v>
      </c>
    </row>
    <row r="7" spans="1:2" x14ac:dyDescent="0.3">
      <c r="A7" t="s">
        <v>277</v>
      </c>
      <c r="B7" t="s">
        <v>273</v>
      </c>
    </row>
    <row r="8" spans="1:2" x14ac:dyDescent="0.3">
      <c r="A8" t="s">
        <v>278</v>
      </c>
      <c r="B8" t="s">
        <v>273</v>
      </c>
    </row>
    <row r="9" spans="1:2" x14ac:dyDescent="0.3">
      <c r="A9" t="s">
        <v>279</v>
      </c>
      <c r="B9" t="s">
        <v>273</v>
      </c>
    </row>
    <row r="10" spans="1:2" x14ac:dyDescent="0.3">
      <c r="A10" t="s">
        <v>280</v>
      </c>
      <c r="B10" t="s">
        <v>273</v>
      </c>
    </row>
    <row r="11" spans="1:2" x14ac:dyDescent="0.3">
      <c r="A11" t="s">
        <v>281</v>
      </c>
      <c r="B11" t="s">
        <v>283</v>
      </c>
    </row>
    <row r="12" spans="1:2" x14ac:dyDescent="0.3">
      <c r="A12" t="s">
        <v>282</v>
      </c>
      <c r="B12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3"/>
  <sheetViews>
    <sheetView workbookViewId="0">
      <selection activeCell="D9" sqref="D9"/>
    </sheetView>
  </sheetViews>
  <sheetFormatPr defaultRowHeight="14.5" x14ac:dyDescent="0.35"/>
  <sheetData>
    <row r="2" spans="1:1" ht="15.5" x14ac:dyDescent="0.35">
      <c r="A2" s="24" t="s">
        <v>303</v>
      </c>
    </row>
    <row r="3" spans="1:1" ht="15.65" x14ac:dyDescent="0.3">
      <c r="A3" s="95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EF93"/>
  <sheetViews>
    <sheetView topLeftCell="A27" zoomScale="60" zoomScaleNormal="60" workbookViewId="0">
      <selection activeCell="H48" sqref="H48"/>
    </sheetView>
  </sheetViews>
  <sheetFormatPr defaultColWidth="8.90625" defaultRowHeight="14.5" x14ac:dyDescent="0.35"/>
  <cols>
    <col min="1" max="1" width="37.90625" style="1" customWidth="1"/>
    <col min="2" max="2" width="26.08984375" style="1" customWidth="1"/>
    <col min="3" max="3" width="24.453125" style="1" customWidth="1"/>
    <col min="4" max="4" width="18.6328125" style="1" customWidth="1"/>
    <col min="5" max="5" width="10.81640625" style="1" customWidth="1"/>
    <col min="6" max="6" width="6.6328125" style="1" customWidth="1"/>
    <col min="7" max="7" width="7.90625" style="1" customWidth="1"/>
    <col min="8" max="54" width="7" style="1" customWidth="1"/>
    <col min="55" max="70" width="7.453125" style="1" customWidth="1"/>
    <col min="71" max="16384" width="8.90625" style="5"/>
  </cols>
  <sheetData>
    <row r="1" spans="1:91" ht="14.4" x14ac:dyDescent="0.3">
      <c r="A1" s="59" t="s">
        <v>302</v>
      </c>
      <c r="B1" s="2"/>
      <c r="C1" s="2"/>
      <c r="D1" s="59"/>
      <c r="E1" s="3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spans="1:91" ht="14.4" x14ac:dyDescent="0.3">
      <c r="A2" s="60"/>
      <c r="B2" s="2"/>
      <c r="C2" s="2"/>
      <c r="D2" s="59"/>
      <c r="E2" s="3">
        <v>1946</v>
      </c>
      <c r="F2" s="3">
        <v>1947</v>
      </c>
      <c r="G2" s="3">
        <v>1948</v>
      </c>
      <c r="H2" s="3">
        <v>1949</v>
      </c>
      <c r="I2" s="3">
        <v>1950</v>
      </c>
      <c r="J2" s="3">
        <v>1951</v>
      </c>
      <c r="K2" s="3">
        <v>1952</v>
      </c>
      <c r="L2" s="3">
        <v>1953</v>
      </c>
      <c r="M2" s="3">
        <v>1954</v>
      </c>
      <c r="N2" s="3">
        <v>1955</v>
      </c>
      <c r="O2" s="3">
        <v>1956</v>
      </c>
      <c r="P2" s="3">
        <v>1957</v>
      </c>
      <c r="Q2" s="3">
        <v>1958</v>
      </c>
      <c r="R2" s="3">
        <v>1959</v>
      </c>
      <c r="S2" s="3">
        <v>1960</v>
      </c>
      <c r="T2" s="3">
        <v>1961</v>
      </c>
      <c r="U2" s="3">
        <v>1962</v>
      </c>
      <c r="V2" s="3">
        <v>1963</v>
      </c>
      <c r="W2" s="3">
        <v>1964</v>
      </c>
      <c r="X2" s="3">
        <v>1965</v>
      </c>
      <c r="Y2" s="3">
        <v>1966</v>
      </c>
      <c r="Z2" s="3">
        <v>1967</v>
      </c>
      <c r="AA2" s="3">
        <v>1968</v>
      </c>
      <c r="AB2" s="3">
        <v>1969</v>
      </c>
      <c r="AC2" s="3">
        <v>1970</v>
      </c>
      <c r="AD2" s="3">
        <v>1971</v>
      </c>
      <c r="AE2" s="3">
        <v>1972</v>
      </c>
      <c r="AF2" s="3">
        <v>1973</v>
      </c>
      <c r="AG2" s="3">
        <v>1974</v>
      </c>
      <c r="AH2" s="3">
        <v>1975</v>
      </c>
      <c r="AI2" s="3">
        <v>1976</v>
      </c>
      <c r="AJ2" s="3">
        <v>1977</v>
      </c>
      <c r="AK2" s="3">
        <v>1978</v>
      </c>
      <c r="AL2" s="3">
        <v>1979</v>
      </c>
      <c r="AM2" s="3">
        <v>1980</v>
      </c>
      <c r="AN2" s="3">
        <v>1981</v>
      </c>
      <c r="AO2" s="3">
        <v>1982</v>
      </c>
      <c r="AP2" s="3">
        <v>1983</v>
      </c>
      <c r="AQ2" s="3">
        <v>1984</v>
      </c>
      <c r="AR2" s="3">
        <v>1985</v>
      </c>
      <c r="AS2" s="3">
        <v>1986</v>
      </c>
      <c r="AT2" s="3">
        <v>1987</v>
      </c>
      <c r="AU2" s="3">
        <v>1988</v>
      </c>
      <c r="AV2" s="3">
        <v>1989</v>
      </c>
      <c r="AW2" s="3">
        <v>1990</v>
      </c>
      <c r="AX2" s="3">
        <v>1991</v>
      </c>
      <c r="AY2" s="3">
        <v>1992</v>
      </c>
      <c r="AZ2" s="3">
        <v>1993</v>
      </c>
      <c r="BA2" s="3">
        <v>1994</v>
      </c>
      <c r="BB2" s="3">
        <v>1995</v>
      </c>
      <c r="BC2" s="3">
        <v>1996</v>
      </c>
      <c r="BD2" s="3">
        <v>1997</v>
      </c>
      <c r="BE2" s="3">
        <v>1998</v>
      </c>
      <c r="BF2" s="3">
        <v>1999</v>
      </c>
      <c r="BG2" s="3">
        <v>2000</v>
      </c>
      <c r="BH2" s="3">
        <v>2001</v>
      </c>
      <c r="BI2" s="3">
        <v>2002</v>
      </c>
      <c r="BJ2" s="3">
        <v>2003</v>
      </c>
      <c r="BK2" s="3">
        <v>2004</v>
      </c>
      <c r="BL2" s="3">
        <v>2005</v>
      </c>
      <c r="BM2" s="3">
        <v>2006</v>
      </c>
      <c r="BN2" s="3">
        <v>2007</v>
      </c>
      <c r="BO2" s="3">
        <v>2008</v>
      </c>
      <c r="BP2" s="3">
        <v>2009</v>
      </c>
      <c r="BQ2" s="3">
        <v>2010</v>
      </c>
      <c r="BR2" s="3">
        <v>2011</v>
      </c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spans="1:91" ht="14.4" x14ac:dyDescent="0.3">
      <c r="A3" s="59" t="s">
        <v>15</v>
      </c>
      <c r="B3" s="2"/>
      <c r="C3" s="2"/>
      <c r="D3" s="2"/>
      <c r="E3" s="3">
        <v>1946</v>
      </c>
      <c r="F3" s="3">
        <v>1947</v>
      </c>
      <c r="G3" s="3">
        <v>1948</v>
      </c>
      <c r="H3" s="3">
        <v>1949</v>
      </c>
      <c r="I3" s="3">
        <v>1950</v>
      </c>
      <c r="J3" s="3">
        <v>1951</v>
      </c>
      <c r="K3" s="3">
        <v>1952</v>
      </c>
      <c r="L3" s="3">
        <v>1953</v>
      </c>
      <c r="M3" s="3">
        <v>1954</v>
      </c>
      <c r="N3" s="3">
        <v>1955</v>
      </c>
      <c r="O3" s="3">
        <v>1956</v>
      </c>
      <c r="P3" s="3">
        <v>1957</v>
      </c>
      <c r="Q3" s="3">
        <v>1958</v>
      </c>
      <c r="R3" s="3">
        <v>1959</v>
      </c>
      <c r="S3" s="3">
        <v>1960</v>
      </c>
      <c r="T3" s="3">
        <v>1961</v>
      </c>
      <c r="U3" s="3">
        <v>1962</v>
      </c>
      <c r="V3" s="3">
        <v>1963</v>
      </c>
      <c r="W3" s="3">
        <v>1964</v>
      </c>
      <c r="X3" s="3">
        <v>1965</v>
      </c>
      <c r="Y3" s="3">
        <v>1966</v>
      </c>
      <c r="Z3" s="3">
        <v>1967</v>
      </c>
      <c r="AA3" s="3">
        <v>1968</v>
      </c>
      <c r="AB3" s="3">
        <v>1969</v>
      </c>
      <c r="AC3" s="3">
        <v>1970</v>
      </c>
      <c r="AD3" s="3">
        <v>1971</v>
      </c>
      <c r="AE3" s="3">
        <v>1972</v>
      </c>
      <c r="AF3" s="3">
        <v>1973</v>
      </c>
      <c r="AG3" s="3">
        <v>1974</v>
      </c>
      <c r="AH3" s="3">
        <v>1975</v>
      </c>
      <c r="AI3" s="3">
        <v>1976</v>
      </c>
      <c r="AJ3" s="3">
        <v>1977</v>
      </c>
      <c r="AK3" s="3">
        <v>1978</v>
      </c>
      <c r="AL3" s="3">
        <v>1979</v>
      </c>
      <c r="AM3" s="3">
        <v>1980</v>
      </c>
      <c r="AN3" s="3">
        <v>1981</v>
      </c>
      <c r="AO3" s="3">
        <v>1982</v>
      </c>
      <c r="AP3" s="3">
        <v>1983</v>
      </c>
      <c r="AQ3" s="3">
        <v>1984</v>
      </c>
      <c r="AR3" s="3">
        <v>1985</v>
      </c>
      <c r="AS3" s="3">
        <v>1986</v>
      </c>
      <c r="AT3" s="3">
        <v>1987</v>
      </c>
      <c r="AU3" s="3">
        <v>1988</v>
      </c>
      <c r="AV3" s="3">
        <v>1989</v>
      </c>
      <c r="AW3" s="3">
        <v>1990</v>
      </c>
      <c r="AX3" s="3">
        <v>1991</v>
      </c>
      <c r="AY3" s="3">
        <v>1992</v>
      </c>
      <c r="AZ3" s="3">
        <v>1993</v>
      </c>
      <c r="BA3" s="3">
        <v>1994</v>
      </c>
      <c r="BB3" s="3">
        <v>1995</v>
      </c>
      <c r="BC3" s="3">
        <v>1996</v>
      </c>
      <c r="BD3" s="3">
        <v>1997</v>
      </c>
      <c r="BE3" s="3">
        <v>1998</v>
      </c>
      <c r="BF3" s="3">
        <v>1999</v>
      </c>
      <c r="BG3" s="3">
        <v>2000</v>
      </c>
      <c r="BH3" s="3">
        <v>2001</v>
      </c>
      <c r="BI3" s="3">
        <v>2002</v>
      </c>
      <c r="BJ3" s="3">
        <v>2003</v>
      </c>
      <c r="BK3" s="3">
        <v>2004</v>
      </c>
      <c r="BL3" s="3">
        <v>2005</v>
      </c>
      <c r="BM3" s="3">
        <v>2006</v>
      </c>
      <c r="BN3" s="3">
        <v>2007</v>
      </c>
      <c r="BO3" s="3">
        <v>2008</v>
      </c>
      <c r="BP3" s="3">
        <v>2009</v>
      </c>
      <c r="BQ3" s="3">
        <v>2010</v>
      </c>
      <c r="BR3" s="3">
        <v>2011</v>
      </c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s="69" customFormat="1" ht="13.25" x14ac:dyDescent="0.25">
      <c r="A4" s="64" t="s">
        <v>0</v>
      </c>
      <c r="B4" s="64" t="s">
        <v>1</v>
      </c>
      <c r="C4" s="64" t="s">
        <v>2</v>
      </c>
      <c r="D4" s="64" t="s">
        <v>2</v>
      </c>
      <c r="E4" s="8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91" ht="14.4" x14ac:dyDescent="0.3">
      <c r="A5" s="9" t="s">
        <v>3</v>
      </c>
      <c r="B5" s="81" t="s">
        <v>288</v>
      </c>
      <c r="C5" s="9" t="s">
        <v>4</v>
      </c>
      <c r="D5" s="9" t="s">
        <v>4</v>
      </c>
      <c r="E5" s="85"/>
      <c r="F5" s="72">
        <v>0.68466987621207798</v>
      </c>
      <c r="G5" s="72">
        <v>0.69467410661314399</v>
      </c>
      <c r="H5" s="72">
        <v>0.60050337900220219</v>
      </c>
      <c r="I5" s="72">
        <v>0.65698912156601263</v>
      </c>
      <c r="J5" s="72">
        <v>0.65023392974425054</v>
      </c>
      <c r="K5" s="72">
        <v>0.60687122147839079</v>
      </c>
      <c r="L5" s="72">
        <v>0.60315190656815554</v>
      </c>
      <c r="M5" s="72">
        <v>0.55569067538063255</v>
      </c>
      <c r="N5" s="72">
        <v>0.6037407038283239</v>
      </c>
      <c r="O5" s="72">
        <v>0.57389920282222595</v>
      </c>
      <c r="P5" s="72">
        <v>0.53186821774617066</v>
      </c>
      <c r="Q5" s="72">
        <v>0.47834446460875218</v>
      </c>
      <c r="R5" s="72">
        <v>0.51974920928295865</v>
      </c>
      <c r="S5" s="72">
        <v>0.50966624121666726</v>
      </c>
      <c r="T5" s="72">
        <v>0.50601372914731124</v>
      </c>
      <c r="U5" s="72">
        <v>0.53135212531216325</v>
      </c>
      <c r="V5" s="72">
        <v>0.54005563841627058</v>
      </c>
      <c r="W5" s="72">
        <v>0.55703085303956246</v>
      </c>
      <c r="X5" s="72">
        <v>0.57395336351940329</v>
      </c>
      <c r="Y5" s="72">
        <v>0.58012151583609928</v>
      </c>
      <c r="Z5" s="72">
        <v>0.55463922698331181</v>
      </c>
      <c r="AA5" s="72">
        <v>0.56076008390846166</v>
      </c>
      <c r="AB5" s="72">
        <v>0.5499003097955506</v>
      </c>
      <c r="AC5" s="72">
        <v>0.50914968735450417</v>
      </c>
      <c r="AD5" s="72">
        <v>0.49803639534982541</v>
      </c>
      <c r="AE5" s="72">
        <v>0.50178717639212356</v>
      </c>
      <c r="AF5" s="72">
        <v>0.51105403540786232</v>
      </c>
      <c r="AG5" s="72">
        <v>0.47980918489594954</v>
      </c>
      <c r="AH5" s="72">
        <v>0.41817890855195788</v>
      </c>
      <c r="AI5" s="72">
        <v>0.4244923204104592</v>
      </c>
      <c r="AJ5" s="72">
        <v>0.43157504230526489</v>
      </c>
      <c r="AK5" s="72">
        <v>0.43867139586335191</v>
      </c>
      <c r="AL5" s="72">
        <v>0.42628067750488735</v>
      </c>
      <c r="AM5" s="72">
        <v>0.39631487424960021</v>
      </c>
      <c r="AN5" s="72">
        <v>0.38978484563718474</v>
      </c>
      <c r="AO5" s="72">
        <v>0.35411984848100114</v>
      </c>
      <c r="AP5" s="72">
        <v>0.35829031510077947</v>
      </c>
      <c r="AQ5" s="72">
        <v>0.38813946892152446</v>
      </c>
      <c r="AR5" s="72">
        <v>0.38704909074628013</v>
      </c>
      <c r="AS5" s="72">
        <v>0.37853359888612809</v>
      </c>
      <c r="AT5" s="72">
        <v>0.38651022284765507</v>
      </c>
      <c r="AU5" s="72">
        <v>0.39204712312652235</v>
      </c>
      <c r="AV5" s="72">
        <v>0.38739213506660475</v>
      </c>
      <c r="AW5" s="72">
        <v>0.3806054726188986</v>
      </c>
      <c r="AX5" s="72">
        <v>0.36901183876152915</v>
      </c>
      <c r="AY5" s="72">
        <v>0.37581885477886884</v>
      </c>
      <c r="AZ5" s="72">
        <v>0.37690651424185428</v>
      </c>
      <c r="BA5" s="72">
        <v>0.38506480161944967</v>
      </c>
      <c r="BB5" s="72">
        <v>0.37997680498951752</v>
      </c>
      <c r="BC5" s="72">
        <v>0.38545350876657952</v>
      </c>
      <c r="BD5" s="72">
        <v>0.39264159871689791</v>
      </c>
      <c r="BE5" s="72">
        <v>0.39276562174392898</v>
      </c>
      <c r="BF5" s="72">
        <v>0.39532142643814377</v>
      </c>
      <c r="BG5" s="72">
        <v>0.39718481449161236</v>
      </c>
      <c r="BH5" s="72">
        <v>0.36945784214122335</v>
      </c>
      <c r="BI5" s="72">
        <v>0.35583018319759485</v>
      </c>
      <c r="BJ5" s="72">
        <v>0.35327708964860338</v>
      </c>
      <c r="BK5" s="72">
        <v>0.36318922096742573</v>
      </c>
      <c r="BL5" s="72">
        <v>0.35930883983920453</v>
      </c>
      <c r="BM5" s="72">
        <v>0.34950581478599657</v>
      </c>
      <c r="BN5" s="72">
        <v>0.32719943149020247</v>
      </c>
      <c r="BO5" s="72">
        <v>0.30288184303017796</v>
      </c>
      <c r="BP5" s="72">
        <v>0.27656979369546331</v>
      </c>
      <c r="BQ5" s="72">
        <v>0.30203149936329021</v>
      </c>
      <c r="BR5" s="72">
        <v>0.30815798238376291</v>
      </c>
    </row>
    <row r="6" spans="1:91" ht="16.25" customHeight="1" x14ac:dyDescent="0.3">
      <c r="A6" s="9" t="s">
        <v>7</v>
      </c>
      <c r="B6" s="81" t="s">
        <v>288</v>
      </c>
      <c r="C6" s="2" t="s">
        <v>8</v>
      </c>
      <c r="D6" s="2" t="s">
        <v>8</v>
      </c>
      <c r="F6" s="73">
        <v>0.20994940978077573</v>
      </c>
      <c r="G6" s="73">
        <v>0.2360294117647059</v>
      </c>
      <c r="H6" s="73">
        <v>0.22809667673716011</v>
      </c>
      <c r="I6" s="73">
        <v>0.24701195219123509</v>
      </c>
      <c r="J6" s="73">
        <v>0.24580682475419316</v>
      </c>
      <c r="K6" s="73">
        <v>0.2244333886124931</v>
      </c>
      <c r="L6" s="73">
        <v>0.21229338842975204</v>
      </c>
      <c r="M6" s="73">
        <v>0.21165966386554619</v>
      </c>
      <c r="N6" s="73">
        <v>0.23783031988873435</v>
      </c>
      <c r="O6" s="73">
        <v>0.21869565217391307</v>
      </c>
      <c r="P6" s="73">
        <v>0.21068001668752612</v>
      </c>
      <c r="Q6" s="73">
        <v>0.19871520342612417</v>
      </c>
      <c r="R6" s="73">
        <v>0.21897533206831118</v>
      </c>
      <c r="S6" s="73">
        <v>0.20739666424945616</v>
      </c>
      <c r="T6" s="73">
        <v>0.20783345095271699</v>
      </c>
      <c r="U6" s="73">
        <v>0.21845756695708296</v>
      </c>
      <c r="V6" s="73">
        <v>0.22484848484848485</v>
      </c>
      <c r="W6" s="73">
        <v>0.23003642476884281</v>
      </c>
      <c r="X6" s="73">
        <v>0.24075490946187197</v>
      </c>
      <c r="Y6" s="73">
        <v>0.23754075454122028</v>
      </c>
      <c r="Z6" s="73">
        <v>0.22490582760912917</v>
      </c>
      <c r="AA6" s="73">
        <v>0.2208650380456548</v>
      </c>
      <c r="AB6" s="73">
        <v>0.20457058606708439</v>
      </c>
      <c r="AC6" s="73">
        <v>0.18327974276527334</v>
      </c>
      <c r="AD6" s="73">
        <v>0.19202118854494291</v>
      </c>
      <c r="AE6" s="73">
        <v>0.19612807148175723</v>
      </c>
      <c r="AF6" s="73">
        <v>0.19275189167662282</v>
      </c>
      <c r="AG6" s="73">
        <v>0.17612863327149042</v>
      </c>
      <c r="AH6" s="73">
        <v>0.19193436561127805</v>
      </c>
      <c r="AI6" s="73">
        <v>0.19510947411499899</v>
      </c>
      <c r="AJ6" s="73">
        <v>0.19963817277250115</v>
      </c>
      <c r="AK6" s="73">
        <v>0.20028487773996997</v>
      </c>
      <c r="AL6" s="73">
        <v>0.18791514891793443</v>
      </c>
      <c r="AM6" s="73">
        <v>0.16996809359212975</v>
      </c>
      <c r="AN6" s="73">
        <v>0.1786429496996112</v>
      </c>
      <c r="AO6" s="73">
        <v>0.16908405664687073</v>
      </c>
      <c r="AP6" s="73">
        <v>0.18218880711600571</v>
      </c>
      <c r="AQ6" s="73">
        <v>0.19862178886180384</v>
      </c>
      <c r="AR6" s="73">
        <v>0.19558151791988754</v>
      </c>
      <c r="AS6" s="73">
        <v>0.18226268757376496</v>
      </c>
      <c r="AT6" s="73">
        <v>0.18763468244328646</v>
      </c>
      <c r="AU6" s="73">
        <v>0.19723830414613977</v>
      </c>
      <c r="AV6" s="73">
        <v>0.19602088523359384</v>
      </c>
      <c r="AW6" s="73">
        <v>0.18917419817938594</v>
      </c>
      <c r="AX6" s="73">
        <v>0.18800406426620944</v>
      </c>
      <c r="AY6" s="73">
        <v>0.18386706948640483</v>
      </c>
      <c r="AZ6" s="73">
        <v>0.1847093391715158</v>
      </c>
      <c r="BA6" s="73">
        <v>0.19531709927749535</v>
      </c>
      <c r="BB6" s="73">
        <v>0.20732105620179386</v>
      </c>
      <c r="BC6" s="73">
        <v>0.21532508842310155</v>
      </c>
      <c r="BD6" s="73">
        <v>0.21913081941833465</v>
      </c>
      <c r="BE6" s="73">
        <v>0.20210385427776734</v>
      </c>
      <c r="BF6" s="73">
        <v>0.19922482145316472</v>
      </c>
      <c r="BG6" s="73">
        <v>0.18569453405843855</v>
      </c>
      <c r="BH6" s="73">
        <v>0.17844875346260389</v>
      </c>
      <c r="BI6" s="73">
        <v>0.18413468553917992</v>
      </c>
      <c r="BJ6" s="73">
        <v>0.19001979920452752</v>
      </c>
      <c r="BK6" s="73">
        <v>0.2134347357770017</v>
      </c>
      <c r="BL6" s="73">
        <v>0.22875955498372819</v>
      </c>
      <c r="BM6" s="73">
        <v>0.23525145067698255</v>
      </c>
      <c r="BN6" s="73">
        <v>0.21706706216507396</v>
      </c>
      <c r="BO6" s="73">
        <v>0.18472323771020596</v>
      </c>
      <c r="BP6" s="73">
        <v>0.20949592630380459</v>
      </c>
      <c r="BQ6" s="73">
        <v>0.24128790507251405</v>
      </c>
      <c r="BR6" s="73">
        <v>0.24459241164650722</v>
      </c>
    </row>
    <row r="7" spans="1:91" ht="14.4" x14ac:dyDescent="0.3">
      <c r="A7" s="9" t="s">
        <v>5</v>
      </c>
      <c r="B7" s="81" t="s">
        <v>288</v>
      </c>
      <c r="C7" s="9" t="s">
        <v>6</v>
      </c>
      <c r="D7" s="9" t="s">
        <v>6</v>
      </c>
      <c r="E7" s="85"/>
      <c r="F7" s="74">
        <v>0.14374603640540254</v>
      </c>
      <c r="G7" s="74">
        <v>0.16396352075207296</v>
      </c>
      <c r="H7" s="74">
        <v>0.13697282511983766</v>
      </c>
      <c r="I7" s="74">
        <v>0.16228416548642546</v>
      </c>
      <c r="J7" s="74">
        <v>0.15983193761787534</v>
      </c>
      <c r="K7" s="74">
        <v>0.13620216468779806</v>
      </c>
      <c r="L7" s="74">
        <v>0.12804516198321894</v>
      </c>
      <c r="M7" s="74">
        <v>0.11761730156428303</v>
      </c>
      <c r="N7" s="74">
        <v>0.1435878447213399</v>
      </c>
      <c r="O7" s="74">
        <v>0.12550926044329552</v>
      </c>
      <c r="P7" s="74">
        <v>0.112054004990328</v>
      </c>
      <c r="Q7" s="74">
        <v>9.5054317592488641E-2</v>
      </c>
      <c r="R7" s="74">
        <v>0.11381225569497803</v>
      </c>
      <c r="S7" s="74">
        <v>0.10570307830889546</v>
      </c>
      <c r="T7" s="74">
        <v>0.10516657955813914</v>
      </c>
      <c r="U7" s="74">
        <v>0.11607789249317023</v>
      </c>
      <c r="V7" s="74">
        <v>0.12143069203177961</v>
      </c>
      <c r="W7" s="74">
        <v>0.12813738591915966</v>
      </c>
      <c r="X7" s="74">
        <v>0.13818209006945084</v>
      </c>
      <c r="Y7" s="74">
        <v>0.13780250259730348</v>
      </c>
      <c r="Z7" s="74">
        <v>0.12474159436916939</v>
      </c>
      <c r="AA7" s="74">
        <v>0.12385229726692695</v>
      </c>
      <c r="AB7" s="74">
        <v>0.11249342865334706</v>
      </c>
      <c r="AC7" s="74">
        <v>9.3316823727352866E-2</v>
      </c>
      <c r="AD7" s="74">
        <v>9.5633540573712553E-2</v>
      </c>
      <c r="AE7" s="74">
        <v>9.8414551200063552E-2</v>
      </c>
      <c r="AF7" s="74">
        <v>9.8506632073837239E-2</v>
      </c>
      <c r="AG7" s="74">
        <v>8.4508135966831432E-2</v>
      </c>
      <c r="AH7" s="74">
        <v>8.0262903524936688E-2</v>
      </c>
      <c r="AI7" s="74">
        <v>8.2822473401140337E-2</v>
      </c>
      <c r="AJ7" s="74">
        <v>8.6158852860037966E-2</v>
      </c>
      <c r="AK7" s="74">
        <v>8.7859246888513418E-2</v>
      </c>
      <c r="AL7" s="74">
        <v>8.0104596994168886E-2</v>
      </c>
      <c r="AM7" s="74">
        <v>6.7360883638409169E-2</v>
      </c>
      <c r="AN7" s="74">
        <v>6.9632314572834308E-2</v>
      </c>
      <c r="AO7" s="74">
        <v>5.9876020520342882E-2</v>
      </c>
      <c r="AP7" s="74">
        <v>6.5276485109428808E-2</v>
      </c>
      <c r="AQ7" s="74">
        <v>7.7092955645063702E-2</v>
      </c>
      <c r="AR7" s="74">
        <v>7.5699648677669762E-2</v>
      </c>
      <c r="AS7" s="74">
        <v>6.8992551069955221E-2</v>
      </c>
      <c r="AT7" s="74">
        <v>7.2522722925103644E-2</v>
      </c>
      <c r="AU7" s="74">
        <v>7.7326709710848124E-2</v>
      </c>
      <c r="AV7" s="74">
        <v>7.5936949248287811E-2</v>
      </c>
      <c r="AW7" s="74">
        <v>7.2000735105366379E-2</v>
      </c>
      <c r="AX7" s="74">
        <v>6.9375725449514633E-2</v>
      </c>
      <c r="AY7" s="74">
        <v>6.9100711485927363E-2</v>
      </c>
      <c r="AZ7" s="74">
        <v>6.9618153175052405E-2</v>
      </c>
      <c r="BA7" s="74">
        <v>7.5209740086175092E-2</v>
      </c>
      <c r="BB7" s="74">
        <v>7.8777192542609828E-2</v>
      </c>
      <c r="BC7" s="74">
        <v>8.2997810858158494E-2</v>
      </c>
      <c r="BD7" s="74">
        <v>8.6039875264558766E-2</v>
      </c>
      <c r="BE7" s="74">
        <v>7.9379445982251703E-2</v>
      </c>
      <c r="BF7" s="74">
        <v>7.8757840598749601E-2</v>
      </c>
      <c r="BG7" s="74">
        <v>7.3755049062107308E-2</v>
      </c>
      <c r="BH7" s="74">
        <v>6.5929291387084796E-2</v>
      </c>
      <c r="BI7" s="74">
        <v>6.5520678888437919E-2</v>
      </c>
      <c r="BJ7" s="74">
        <v>6.7129641638587478E-2</v>
      </c>
      <c r="BK7" s="74">
        <v>7.75171954142376E-2</v>
      </c>
      <c r="BL7" s="74">
        <v>8.2195330303336089E-2</v>
      </c>
      <c r="BM7" s="74">
        <v>8.2221749948446471E-2</v>
      </c>
      <c r="BN7" s="74">
        <v>7.1024219335660638E-2</v>
      </c>
      <c r="BO7" s="74">
        <v>5.5949314688168855E-2</v>
      </c>
      <c r="BP7" s="74">
        <v>5.7940245117883211E-2</v>
      </c>
      <c r="BQ7" s="74">
        <v>7.2876547747278655E-2</v>
      </c>
      <c r="BR7" s="74">
        <v>7.5373104079366454E-2</v>
      </c>
    </row>
    <row r="9" spans="1:91" ht="14.4" x14ac:dyDescent="0.3">
      <c r="A9" s="2"/>
      <c r="B9" s="2"/>
      <c r="C9" s="2"/>
      <c r="D9" s="2"/>
    </row>
    <row r="10" spans="1:91" ht="14.4" x14ac:dyDescent="0.3">
      <c r="A10" s="9"/>
      <c r="B10" s="61"/>
      <c r="C10" s="2"/>
      <c r="D10" s="2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</row>
    <row r="11" spans="1:91" ht="15" x14ac:dyDescent="0.35">
      <c r="A11" s="81" t="s">
        <v>9</v>
      </c>
      <c r="B11" s="81" t="s">
        <v>288</v>
      </c>
      <c r="C11" s="86" t="s">
        <v>289</v>
      </c>
      <c r="D11" s="86" t="s">
        <v>289</v>
      </c>
      <c r="E11" s="87"/>
      <c r="F11" s="88">
        <v>0.88510638475418102</v>
      </c>
      <c r="G11" s="88">
        <v>0.92389321327209495</v>
      </c>
      <c r="H11" s="88">
        <v>0.86980038881301902</v>
      </c>
      <c r="I11" s="88">
        <v>0.87900775671005205</v>
      </c>
      <c r="J11" s="88">
        <v>0.92584294080734297</v>
      </c>
      <c r="K11" s="88">
        <v>0.91023296117782604</v>
      </c>
      <c r="L11" s="88">
        <v>0.92477166652679399</v>
      </c>
      <c r="M11" s="88">
        <v>0.87672096490859996</v>
      </c>
      <c r="N11" s="88">
        <v>0.90311419963836703</v>
      </c>
      <c r="O11" s="88">
        <v>0.86929577589035001</v>
      </c>
      <c r="P11" s="88">
        <v>0.84395122528076205</v>
      </c>
      <c r="Q11" s="88">
        <v>0.79810518026351895</v>
      </c>
      <c r="R11" s="88">
        <v>0.861047804355621</v>
      </c>
      <c r="S11" s="88">
        <v>0.88093119859695401</v>
      </c>
      <c r="T11" s="88">
        <v>0.88277721405029297</v>
      </c>
      <c r="U11" s="88">
        <v>0.93909597396850597</v>
      </c>
      <c r="V11" s="88">
        <v>0.97143566608428999</v>
      </c>
      <c r="W11" s="88">
        <v>1.00164115428925</v>
      </c>
      <c r="X11" s="88">
        <v>1.0422728061676001</v>
      </c>
      <c r="Y11" s="88">
        <v>1.06474781036377</v>
      </c>
      <c r="Z11" s="88">
        <v>1.04273521900177</v>
      </c>
      <c r="AA11" s="88">
        <v>1.0570937395095801</v>
      </c>
      <c r="AB11" s="88">
        <v>1.0494517087936399</v>
      </c>
      <c r="AC11" s="88">
        <v>0.98441243171691895</v>
      </c>
      <c r="AD11" s="88">
        <v>0.97354418039321899</v>
      </c>
      <c r="AE11" s="88">
        <v>1.00391101837158</v>
      </c>
      <c r="AF11" s="88">
        <v>1.00486552715302</v>
      </c>
      <c r="AG11" s="88">
        <v>0.88432848453521695</v>
      </c>
      <c r="AH11" s="88">
        <v>0.85354691743850697</v>
      </c>
      <c r="AI11" s="88">
        <v>0.87999582290649403</v>
      </c>
      <c r="AJ11" s="88">
        <v>0.90109199285507202</v>
      </c>
      <c r="AK11" s="88">
        <v>0.91149121522903398</v>
      </c>
      <c r="AL11" s="88">
        <v>0.88534152507782005</v>
      </c>
      <c r="AM11" s="88">
        <v>0.83406603336334195</v>
      </c>
      <c r="AN11" s="88">
        <v>0.843342185020447</v>
      </c>
      <c r="AO11" s="88">
        <v>0.82005542516708396</v>
      </c>
      <c r="AP11" s="88">
        <v>0.85865700244903598</v>
      </c>
      <c r="AQ11" s="88">
        <v>0.92487084865570102</v>
      </c>
      <c r="AR11" s="88">
        <v>0.93559807538986195</v>
      </c>
      <c r="AS11" s="88">
        <v>0.92921441793441795</v>
      </c>
      <c r="AT11" s="88">
        <v>0.94841212034225497</v>
      </c>
      <c r="AU11" s="88">
        <v>0.97139304876327504</v>
      </c>
      <c r="AV11" s="88">
        <v>0.96777576208114602</v>
      </c>
      <c r="AW11" s="88">
        <v>0.96064013242721602</v>
      </c>
      <c r="AX11" s="88">
        <v>0.95897972583770796</v>
      </c>
      <c r="AY11" s="88">
        <v>0.97564613819122303</v>
      </c>
      <c r="AZ11" s="88">
        <v>0.97915554046630904</v>
      </c>
      <c r="BA11" s="88">
        <v>1.0114442110061601</v>
      </c>
      <c r="BB11" s="88">
        <v>1.01938092708588</v>
      </c>
      <c r="BC11" s="88">
        <v>1.0421992540359499</v>
      </c>
      <c r="BD11" s="88">
        <v>1.0718289613723799</v>
      </c>
      <c r="BE11" s="88">
        <v>1.09457731246948</v>
      </c>
      <c r="BF11" s="88">
        <v>1.1084233522415201</v>
      </c>
      <c r="BG11" s="88">
        <v>1.1150987148284901</v>
      </c>
      <c r="BH11" s="88">
        <v>1.0632525682449301</v>
      </c>
      <c r="BI11" s="88">
        <v>1.0390701293945299</v>
      </c>
      <c r="BJ11" s="88">
        <v>1.04768621921539</v>
      </c>
      <c r="BK11" s="88">
        <v>1.0378708839416499</v>
      </c>
      <c r="BL11" s="88">
        <v>1.03080022335052</v>
      </c>
      <c r="BM11" s="88">
        <v>1.0236576795578001</v>
      </c>
      <c r="BN11" s="88">
        <v>0.98620384931564298</v>
      </c>
      <c r="BO11" s="88">
        <v>0.92536759376525901</v>
      </c>
      <c r="BP11" s="88">
        <v>0.89943754673004195</v>
      </c>
      <c r="BQ11" s="88">
        <v>0.92929506301879905</v>
      </c>
      <c r="BR11" s="88">
        <v>0.94152617454528797</v>
      </c>
    </row>
    <row r="12" spans="1:91" ht="14.4" x14ac:dyDescent="0.3">
      <c r="A12" s="9" t="s">
        <v>10</v>
      </c>
      <c r="B12" s="81" t="s">
        <v>288</v>
      </c>
      <c r="C12" s="79" t="s">
        <v>252</v>
      </c>
      <c r="D12" s="79" t="s">
        <v>252</v>
      </c>
      <c r="E12" s="89"/>
      <c r="F12" s="6">
        <f>F5/F11</f>
        <v>0.77354529128408678</v>
      </c>
      <c r="G12" s="6">
        <f t="shared" ref="G12:BR12" si="0">G5/G11</f>
        <v>0.75189870066569708</v>
      </c>
      <c r="H12" s="6">
        <f t="shared" si="0"/>
        <v>0.69039217126780617</v>
      </c>
      <c r="I12" s="6">
        <f t="shared" si="0"/>
        <v>0.74742130151955632</v>
      </c>
      <c r="J12" s="6">
        <f t="shared" si="0"/>
        <v>0.70231558840556796</v>
      </c>
      <c r="K12" s="6">
        <f t="shared" si="0"/>
        <v>0.66672077079378633</v>
      </c>
      <c r="L12" s="6">
        <f t="shared" si="0"/>
        <v>0.65221711304525576</v>
      </c>
      <c r="M12" s="6">
        <f t="shared" si="0"/>
        <v>0.63382843301638681</v>
      </c>
      <c r="N12" s="6">
        <f t="shared" si="0"/>
        <v>0.66850981201500215</v>
      </c>
      <c r="O12" s="6">
        <f t="shared" si="0"/>
        <v>0.66018864779876218</v>
      </c>
      <c r="P12" s="6">
        <f t="shared" si="0"/>
        <v>0.63021203336630149</v>
      </c>
      <c r="Q12" s="6">
        <f t="shared" si="0"/>
        <v>0.59935015639268507</v>
      </c>
      <c r="R12" s="6">
        <f t="shared" si="0"/>
        <v>0.60362410385788201</v>
      </c>
      <c r="S12" s="6">
        <f t="shared" si="0"/>
        <v>0.57855396883253207</v>
      </c>
      <c r="T12" s="6">
        <f t="shared" si="0"/>
        <v>0.57320660421858483</v>
      </c>
      <c r="U12" s="6">
        <f t="shared" si="0"/>
        <v>0.5658123770531498</v>
      </c>
      <c r="V12" s="6">
        <f t="shared" si="0"/>
        <v>0.55593556760495844</v>
      </c>
      <c r="W12" s="6">
        <f t="shared" si="0"/>
        <v>0.55611817730754431</v>
      </c>
      <c r="X12" s="6">
        <f t="shared" si="0"/>
        <v>0.55067479466322189</v>
      </c>
      <c r="Y12" s="6">
        <f t="shared" si="0"/>
        <v>0.5448440562069824</v>
      </c>
      <c r="Z12" s="6">
        <f t="shared" si="0"/>
        <v>0.53190802120818204</v>
      </c>
      <c r="AA12" s="6">
        <f t="shared" si="0"/>
        <v>0.53047337520759164</v>
      </c>
      <c r="AB12" s="6">
        <f t="shared" si="0"/>
        <v>0.52398819801596119</v>
      </c>
      <c r="AC12" s="6">
        <f t="shared" si="0"/>
        <v>0.51721176099583943</v>
      </c>
      <c r="AD12" s="6">
        <f t="shared" si="0"/>
        <v>0.51157040982841295</v>
      </c>
      <c r="AE12" s="6">
        <f t="shared" si="0"/>
        <v>0.49983232299418379</v>
      </c>
      <c r="AF12" s="6">
        <f t="shared" si="0"/>
        <v>0.50857952790536864</v>
      </c>
      <c r="AG12" s="6">
        <f t="shared" si="0"/>
        <v>0.54256895857892262</v>
      </c>
      <c r="AH12" s="6">
        <f t="shared" si="0"/>
        <v>0.48993078178632776</v>
      </c>
      <c r="AI12" s="6">
        <f t="shared" si="0"/>
        <v>0.48237992654149747</v>
      </c>
      <c r="AJ12" s="6">
        <f t="shared" si="0"/>
        <v>0.47894670658190797</v>
      </c>
      <c r="AK12" s="6">
        <f t="shared" si="0"/>
        <v>0.4812678263203285</v>
      </c>
      <c r="AL12" s="6">
        <f t="shared" si="0"/>
        <v>0.48148727404084879</v>
      </c>
      <c r="AM12" s="6">
        <f t="shared" si="0"/>
        <v>0.47516006934304039</v>
      </c>
      <c r="AN12" s="6">
        <f t="shared" si="0"/>
        <v>0.46219061794914756</v>
      </c>
      <c r="AO12" s="6">
        <f t="shared" si="0"/>
        <v>0.43182428603389855</v>
      </c>
      <c r="AP12" s="6">
        <f t="shared" si="0"/>
        <v>0.41726826204045908</v>
      </c>
      <c r="AQ12" s="6">
        <f t="shared" si="0"/>
        <v>0.41966883212470674</v>
      </c>
      <c r="AR12" s="6">
        <f t="shared" si="0"/>
        <v>0.41369162776975305</v>
      </c>
      <c r="AS12" s="6">
        <f t="shared" si="0"/>
        <v>0.40736948499742737</v>
      </c>
      <c r="AT12" s="6">
        <f t="shared" si="0"/>
        <v>0.40753403985197334</v>
      </c>
      <c r="AU12" s="6">
        <f t="shared" si="0"/>
        <v>0.40359267922048186</v>
      </c>
      <c r="AV12" s="6">
        <f t="shared" si="0"/>
        <v>0.40029121439613274</v>
      </c>
      <c r="AW12" s="6">
        <f t="shared" si="0"/>
        <v>0.39619984609349601</v>
      </c>
      <c r="AX12" s="6">
        <f t="shared" si="0"/>
        <v>0.38479628799157589</v>
      </c>
      <c r="AY12" s="6">
        <f t="shared" si="0"/>
        <v>0.38519996140773916</v>
      </c>
      <c r="AZ12" s="6">
        <f t="shared" si="0"/>
        <v>0.3849301757127962</v>
      </c>
      <c r="BA12" s="6">
        <f t="shared" si="0"/>
        <v>0.38070790007923083</v>
      </c>
      <c r="BB12" s="6">
        <f t="shared" si="0"/>
        <v>0.37275251566238649</v>
      </c>
      <c r="BC12" s="6">
        <f t="shared" si="0"/>
        <v>0.36984627198100412</v>
      </c>
      <c r="BD12" s="6">
        <f t="shared" si="0"/>
        <v>0.36632859613548407</v>
      </c>
      <c r="BE12" s="6">
        <f t="shared" si="0"/>
        <v>0.35882857909580546</v>
      </c>
      <c r="BF12" s="6">
        <f t="shared" si="0"/>
        <v>0.3566520189589123</v>
      </c>
      <c r="BG12" s="6">
        <f t="shared" si="0"/>
        <v>0.35618803000118437</v>
      </c>
      <c r="BH12" s="6">
        <f t="shared" si="0"/>
        <v>0.34747890875173065</v>
      </c>
      <c r="BI12" s="6">
        <f t="shared" si="0"/>
        <v>0.34245059417205886</v>
      </c>
      <c r="BJ12" s="6">
        <f t="shared" si="0"/>
        <v>0.3371974195796637</v>
      </c>
      <c r="BK12" s="6">
        <f t="shared" si="0"/>
        <v>0.34993680484425704</v>
      </c>
      <c r="BL12" s="6">
        <f t="shared" si="0"/>
        <v>0.34857272214329238</v>
      </c>
      <c r="BM12" s="6">
        <f t="shared" si="0"/>
        <v>0.34142841085017422</v>
      </c>
      <c r="BN12" s="6">
        <f t="shared" si="0"/>
        <v>0.33177667245697345</v>
      </c>
      <c r="BO12" s="6">
        <f t="shared" si="0"/>
        <v>0.32730975784203975</v>
      </c>
      <c r="BP12" s="6">
        <f t="shared" si="0"/>
        <v>0.3074919372678504</v>
      </c>
      <c r="BQ12" s="6">
        <f t="shared" si="0"/>
        <v>0.32501141067310318</v>
      </c>
      <c r="BR12" s="6">
        <f t="shared" si="0"/>
        <v>0.32729624594089318</v>
      </c>
    </row>
    <row r="13" spans="1:91" ht="14.4" x14ac:dyDescent="0.3">
      <c r="A13" s="90" t="s">
        <v>11</v>
      </c>
      <c r="B13" s="81" t="s">
        <v>288</v>
      </c>
      <c r="C13" s="91" t="s">
        <v>253</v>
      </c>
      <c r="D13" s="79" t="s">
        <v>253</v>
      </c>
      <c r="E13" s="89"/>
      <c r="F13" s="73">
        <v>0.22944928491167099</v>
      </c>
      <c r="G13" s="73">
        <v>0.22932417478327899</v>
      </c>
      <c r="H13" s="73">
        <v>0.22900357180577</v>
      </c>
      <c r="I13" s="73">
        <v>0.228358741382195</v>
      </c>
      <c r="J13" s="73">
        <v>0.22725191319754801</v>
      </c>
      <c r="K13" s="73">
        <v>0.225731729522999</v>
      </c>
      <c r="L13" s="73">
        <v>0.224032313497744</v>
      </c>
      <c r="M13" s="73">
        <v>0.222374470965749</v>
      </c>
      <c r="N13" s="73">
        <v>0.220861684636002</v>
      </c>
      <c r="O13" s="73">
        <v>0.21949069250783301</v>
      </c>
      <c r="P13" s="73">
        <v>0.21842761573421501</v>
      </c>
      <c r="Q13" s="73">
        <v>0.21783066854303801</v>
      </c>
      <c r="R13" s="73">
        <v>0.21778078900485401</v>
      </c>
      <c r="S13" s="73">
        <v>0.21816760850478301</v>
      </c>
      <c r="T13" s="73">
        <v>0.21889295053789601</v>
      </c>
      <c r="U13" s="73">
        <v>0.219750962514216</v>
      </c>
      <c r="V13" s="73">
        <v>0.22042486233839001</v>
      </c>
      <c r="W13" s="73">
        <v>0.22058535828991899</v>
      </c>
      <c r="X13" s="73">
        <v>0.219946910024922</v>
      </c>
      <c r="Y13" s="73">
        <v>0.21831812361661701</v>
      </c>
      <c r="Z13" s="73">
        <v>0.21571613603797599</v>
      </c>
      <c r="AA13" s="73">
        <v>0.21234990302580201</v>
      </c>
      <c r="AB13" s="73">
        <v>0.20852021895652001</v>
      </c>
      <c r="AC13" s="73">
        <v>0.20461337917629499</v>
      </c>
      <c r="AD13" s="73">
        <v>0.20097647684172801</v>
      </c>
      <c r="AE13" s="73">
        <v>0.19774347131765699</v>
      </c>
      <c r="AF13" s="73">
        <v>0.19495855720050201</v>
      </c>
      <c r="AG13" s="73">
        <v>0.19264949437350801</v>
      </c>
      <c r="AH13" s="73">
        <v>0.19082245714791299</v>
      </c>
      <c r="AI13" s="73">
        <v>0.18931812489122199</v>
      </c>
      <c r="AJ13" s="73">
        <v>0.18798795239945801</v>
      </c>
      <c r="AK13" s="73">
        <v>0.186741213219735</v>
      </c>
      <c r="AL13" s="73">
        <v>0.18560330137517</v>
      </c>
      <c r="AM13" s="73">
        <v>0.18473519875668401</v>
      </c>
      <c r="AN13" s="73">
        <v>0.18432085424144701</v>
      </c>
      <c r="AO13" s="73">
        <v>0.184396864719059</v>
      </c>
      <c r="AP13" s="73">
        <v>0.18494261853671001</v>
      </c>
      <c r="AQ13" s="73">
        <v>0.18578453539439499</v>
      </c>
      <c r="AR13" s="73">
        <v>0.18672160880674599</v>
      </c>
      <c r="AS13" s="73">
        <v>0.18768098693444801</v>
      </c>
      <c r="AT13" s="73">
        <v>0.188678601850119</v>
      </c>
      <c r="AU13" s="73">
        <v>0.189676575757035</v>
      </c>
      <c r="AV13" s="73">
        <v>0.19062624483996701</v>
      </c>
      <c r="AW13" s="73">
        <v>0.191554179526118</v>
      </c>
      <c r="AX13" s="73">
        <v>0.19254068779429001</v>
      </c>
      <c r="AY13" s="73">
        <v>0.19364253582802601</v>
      </c>
      <c r="AZ13" s="73">
        <v>0.19487108293292299</v>
      </c>
      <c r="BA13" s="73">
        <v>0.1961402630563</v>
      </c>
      <c r="BB13" s="73">
        <v>0.197262299316146</v>
      </c>
      <c r="BC13" s="73">
        <v>0.19804101219988701</v>
      </c>
      <c r="BD13" s="73">
        <v>0.19838059920178799</v>
      </c>
      <c r="BE13" s="73">
        <v>0.19835784769411399</v>
      </c>
      <c r="BF13" s="73">
        <v>0.198256739057113</v>
      </c>
      <c r="BG13" s="73">
        <v>0.19839867619409299</v>
      </c>
      <c r="BH13" s="73">
        <v>0.19911449461778899</v>
      </c>
      <c r="BI13" s="73">
        <v>0.20060804307899699</v>
      </c>
      <c r="BJ13" s="73">
        <v>0.20287602538233199</v>
      </c>
      <c r="BK13" s="73">
        <v>0.20575006490162301</v>
      </c>
      <c r="BL13" s="73">
        <v>0.208933024756873</v>
      </c>
      <c r="BM13" s="73">
        <v>0.212204267419069</v>
      </c>
      <c r="BN13" s="73">
        <v>0.215541825111632</v>
      </c>
      <c r="BO13" s="73">
        <v>0.21915468738378799</v>
      </c>
      <c r="BP13" s="73">
        <v>0.22326742553365</v>
      </c>
      <c r="BQ13" s="73">
        <v>0.22776006398549201</v>
      </c>
      <c r="BR13" s="73">
        <v>0.232374952908252</v>
      </c>
    </row>
    <row r="14" spans="1:91" ht="14.4" x14ac:dyDescent="0.3">
      <c r="A14" s="9" t="s">
        <v>12</v>
      </c>
      <c r="B14" s="81" t="s">
        <v>288</v>
      </c>
      <c r="C14" s="79" t="s">
        <v>254</v>
      </c>
      <c r="D14" s="79" t="s">
        <v>254</v>
      </c>
      <c r="E14" s="89"/>
      <c r="F14" s="6">
        <f>F13*F12</f>
        <v>0.17748941393192397</v>
      </c>
      <c r="G14" s="6">
        <f t="shared" ref="G14:BR14" si="1">G13*G12</f>
        <v>0.1724285490507807</v>
      </c>
      <c r="H14" s="6">
        <f t="shared" si="1"/>
        <v>0.15810227316706851</v>
      </c>
      <c r="I14" s="6">
        <f t="shared" si="1"/>
        <v>0.17068018769724796</v>
      </c>
      <c r="J14" s="6">
        <f t="shared" si="1"/>
        <v>0.15960256113362697</v>
      </c>
      <c r="K14" s="6">
        <f t="shared" si="1"/>
        <v>0.15050003270018839</v>
      </c>
      <c r="L14" s="6">
        <f t="shared" si="1"/>
        <v>0.14611770873834828</v>
      </c>
      <c r="M14" s="6">
        <f t="shared" si="1"/>
        <v>0.1409472624750687</v>
      </c>
      <c r="N14" s="6">
        <f t="shared" si="1"/>
        <v>0.14764820327733039</v>
      </c>
      <c r="O14" s="6">
        <f t="shared" si="1"/>
        <v>0.14490526349116017</v>
      </c>
      <c r="P14" s="6">
        <f t="shared" si="1"/>
        <v>0.1376557118552128</v>
      </c>
      <c r="Q14" s="6">
        <f t="shared" si="1"/>
        <v>0.13055684525839298</v>
      </c>
      <c r="R14" s="6">
        <f t="shared" si="1"/>
        <v>0.13145773360051749</v>
      </c>
      <c r="S14" s="6">
        <f t="shared" si="1"/>
        <v>0.12622173577114429</v>
      </c>
      <c r="T14" s="6">
        <f t="shared" si="1"/>
        <v>0.12547088486521402</v>
      </c>
      <c r="U14" s="6">
        <f t="shared" si="1"/>
        <v>0.12433781445988616</v>
      </c>
      <c r="V14" s="6">
        <f t="shared" si="1"/>
        <v>0.12254202095833767</v>
      </c>
      <c r="W14" s="6">
        <f t="shared" si="1"/>
        <v>0.12267152739292135</v>
      </c>
      <c r="X14" s="6">
        <f t="shared" si="1"/>
        <v>0.12111921951478406</v>
      </c>
      <c r="Y14" s="6">
        <f t="shared" si="1"/>
        <v>0.11894933201477501</v>
      </c>
      <c r="Z14" s="6">
        <f t="shared" si="1"/>
        <v>0.11474114306263482</v>
      </c>
      <c r="AA14" s="6">
        <f t="shared" si="1"/>
        <v>0.11264596978310197</v>
      </c>
      <c r="AB14" s="6">
        <f t="shared" si="1"/>
        <v>0.10926213378092059</v>
      </c>
      <c r="AC14" s="6">
        <f t="shared" si="1"/>
        <v>0.10582844616708095</v>
      </c>
      <c r="AD14" s="6">
        <f t="shared" si="1"/>
        <v>0.10281361862379335</v>
      </c>
      <c r="AE14" s="6">
        <f t="shared" si="1"/>
        <v>9.8838578625638246E-2</v>
      </c>
      <c r="AF14" s="6">
        <f t="shared" si="1"/>
        <v>9.9151930982143116E-2</v>
      </c>
      <c r="AG14" s="6">
        <f t="shared" si="1"/>
        <v>0.10452563553299025</v>
      </c>
      <c r="AH14" s="6">
        <f t="shared" si="1"/>
        <v>9.3489795612865037E-2</v>
      </c>
      <c r="AI14" s="6">
        <f t="shared" si="1"/>
        <v>9.1323263178001712E-2</v>
      </c>
      <c r="AJ14" s="6">
        <f t="shared" si="1"/>
        <v>9.0036210678796899E-2</v>
      </c>
      <c r="AK14" s="6">
        <f t="shared" si="1"/>
        <v>8.9872537770682853E-2</v>
      </c>
      <c r="AL14" s="6">
        <f t="shared" si="1"/>
        <v>8.9365627632112726E-2</v>
      </c>
      <c r="AM14" s="6">
        <f t="shared" si="1"/>
        <v>8.7778789851326325E-2</v>
      </c>
      <c r="AN14" s="6">
        <f t="shared" si="1"/>
        <v>8.519136952276915E-2</v>
      </c>
      <c r="AO14" s="6">
        <f t="shared" si="1"/>
        <v>7.9627044454197035E-2</v>
      </c>
      <c r="AP14" s="6">
        <f t="shared" si="1"/>
        <v>7.7170685014024576E-2</v>
      </c>
      <c r="AQ14" s="6">
        <f t="shared" si="1"/>
        <v>7.7967978995796994E-2</v>
      </c>
      <c r="AR14" s="6">
        <f t="shared" si="1"/>
        <v>7.7245166287049805E-2</v>
      </c>
      <c r="AS14" s="6">
        <f t="shared" si="1"/>
        <v>7.6455506991294983E-2</v>
      </c>
      <c r="AT14" s="6">
        <f t="shared" si="1"/>
        <v>7.6892952845601006E-2</v>
      </c>
      <c r="AU14" s="6">
        <f t="shared" si="1"/>
        <v>7.6552077395148452E-2</v>
      </c>
      <c r="AV14" s="6">
        <f t="shared" si="1"/>
        <v>7.6306011042764924E-2</v>
      </c>
      <c r="AW14" s="6">
        <f t="shared" si="1"/>
        <v>7.5893736446813853E-2</v>
      </c>
      <c r="AX14" s="6">
        <f t="shared" si="1"/>
        <v>7.4088941950587725E-2</v>
      </c>
      <c r="AY14" s="6">
        <f t="shared" si="1"/>
        <v>7.4591097327852365E-2</v>
      </c>
      <c r="AZ14" s="6">
        <f t="shared" si="1"/>
        <v>7.5011760194712923E-2</v>
      </c>
      <c r="BA14" s="6">
        <f t="shared" si="1"/>
        <v>7.4672147669151909E-2</v>
      </c>
      <c r="BB14" s="6">
        <f t="shared" si="1"/>
        <v>7.3530018315440079E-2</v>
      </c>
      <c r="BC14" s="6">
        <f t="shared" si="1"/>
        <v>7.3244730061472765E-2</v>
      </c>
      <c r="BD14" s="6">
        <f t="shared" si="1"/>
        <v>7.2672486406107129E-2</v>
      </c>
      <c r="BE14" s="6">
        <f t="shared" si="1"/>
        <v>7.1176464640581111E-2</v>
      </c>
      <c r="BF14" s="6">
        <f t="shared" si="1"/>
        <v>7.0708666256929592E-2</v>
      </c>
      <c r="BG14" s="6">
        <f t="shared" si="1"/>
        <v>7.0667233628416856E-2</v>
      </c>
      <c r="BH14" s="6">
        <f t="shared" si="1"/>
        <v>6.9188087306441659E-2</v>
      </c>
      <c r="BI14" s="6">
        <f t="shared" si="1"/>
        <v>6.8698343548096494E-2</v>
      </c>
      <c r="BJ14" s="6">
        <f t="shared" si="1"/>
        <v>6.84092722535007E-2</v>
      </c>
      <c r="BK14" s="6">
        <f t="shared" si="1"/>
        <v>7.1999520308172471E-2</v>
      </c>
      <c r="BL14" s="6">
        <f t="shared" si="1"/>
        <v>7.2828353185135128E-2</v>
      </c>
      <c r="BM14" s="6">
        <f t="shared" si="1"/>
        <v>7.2452565800518134E-2</v>
      </c>
      <c r="BN14" s="6">
        <f t="shared" si="1"/>
        <v>7.1511749510840189E-2</v>
      </c>
      <c r="BO14" s="6">
        <f t="shared" si="1"/>
        <v>7.1731467657535575E-2</v>
      </c>
      <c r="BP14" s="6">
        <f t="shared" si="1"/>
        <v>6.8652933206147571E-2</v>
      </c>
      <c r="BQ14" s="6">
        <f t="shared" si="1"/>
        <v>7.4024619690921001E-2</v>
      </c>
      <c r="BR14" s="6">
        <f t="shared" si="1"/>
        <v>7.6055449737562716E-2</v>
      </c>
    </row>
    <row r="15" spans="1:91" ht="14.4" x14ac:dyDescent="0.3">
      <c r="A15" s="2"/>
      <c r="B15" s="2"/>
      <c r="C15" s="2"/>
      <c r="D15" s="2"/>
    </row>
    <row r="16" spans="1:91" ht="27" customHeight="1" x14ac:dyDescent="0.3">
      <c r="A16" s="2"/>
      <c r="B16" s="63" t="s">
        <v>258</v>
      </c>
      <c r="C16" s="59" t="s">
        <v>20</v>
      </c>
      <c r="D16" s="59" t="s">
        <v>13</v>
      </c>
      <c r="E16" s="3" t="s">
        <v>14</v>
      </c>
    </row>
    <row r="17" spans="1:72" ht="14.4" x14ac:dyDescent="0.3">
      <c r="A17" s="2"/>
      <c r="B17" s="79" t="s">
        <v>255</v>
      </c>
      <c r="C17" s="65">
        <f>AVERAGE(G17:AA17)</f>
        <v>-1.717877998203457E-2</v>
      </c>
      <c r="D17" s="66">
        <f>AVERAGE(AB17:AO17)</f>
        <v>-1.3932724315717907E-2</v>
      </c>
      <c r="E17" s="6">
        <f>AVERAGE(AP17:BN17)</f>
        <v>-1.0389587602032979E-2</v>
      </c>
      <c r="G17" s="1">
        <f t="shared" ref="G17:AL17" si="2">(G12-F12)/F12</f>
        <v>-2.798361112438072E-2</v>
      </c>
      <c r="H17" s="1">
        <f t="shared" si="2"/>
        <v>-8.1801616818111031E-2</v>
      </c>
      <c r="I17" s="1">
        <f t="shared" si="2"/>
        <v>8.2603964275875755E-2</v>
      </c>
      <c r="J17" s="1">
        <f t="shared" si="2"/>
        <v>-6.0348444742323377E-2</v>
      </c>
      <c r="K17" s="1">
        <f t="shared" si="2"/>
        <v>-5.0682083951163269E-2</v>
      </c>
      <c r="L17" s="1">
        <f t="shared" si="2"/>
        <v>-2.1753721173652305E-2</v>
      </c>
      <c r="M17" s="1">
        <f t="shared" si="2"/>
        <v>-2.819410846644407E-2</v>
      </c>
      <c r="N17" s="1">
        <f t="shared" si="2"/>
        <v>5.4717297603022963E-2</v>
      </c>
      <c r="O17" s="1">
        <f t="shared" si="2"/>
        <v>-1.2447332958597212E-2</v>
      </c>
      <c r="P17" s="1">
        <f t="shared" si="2"/>
        <v>-4.5406134341162016E-2</v>
      </c>
      <c r="Q17" s="1">
        <f t="shared" si="2"/>
        <v>-4.8970624709856032E-2</v>
      </c>
      <c r="R17" s="1">
        <f t="shared" si="2"/>
        <v>7.1309691331701459E-3</v>
      </c>
      <c r="S17" s="1">
        <f t="shared" si="2"/>
        <v>-4.1532693716373657E-2</v>
      </c>
      <c r="T17" s="1">
        <f t="shared" si="2"/>
        <v>-9.2426375100973391E-3</v>
      </c>
      <c r="U17" s="1">
        <f t="shared" si="2"/>
        <v>-1.2899759198544298E-2</v>
      </c>
      <c r="V17" s="1">
        <f t="shared" si="2"/>
        <v>-1.7455979841995536E-2</v>
      </c>
      <c r="W17" s="1">
        <f t="shared" si="2"/>
        <v>3.2847278214737108E-4</v>
      </c>
      <c r="X17" s="1">
        <f t="shared" si="2"/>
        <v>-9.7881760863790784E-3</v>
      </c>
      <c r="Y17" s="1">
        <f t="shared" si="2"/>
        <v>-1.0588351805361671E-2</v>
      </c>
      <c r="Z17" s="1">
        <f t="shared" si="2"/>
        <v>-2.3742637643616053E-2</v>
      </c>
      <c r="AA17" s="1">
        <f t="shared" si="2"/>
        <v>-2.6971693288845859E-3</v>
      </c>
      <c r="AB17" s="1">
        <f t="shared" si="2"/>
        <v>-1.2225264254011957E-2</v>
      </c>
      <c r="AC17" s="1">
        <f t="shared" si="2"/>
        <v>-1.2932422993075399E-2</v>
      </c>
      <c r="AD17" s="1">
        <f t="shared" si="2"/>
        <v>-1.0907236828034655E-2</v>
      </c>
      <c r="AE17" s="1">
        <f t="shared" si="2"/>
        <v>-2.2945202866925526E-2</v>
      </c>
      <c r="AF17" s="1">
        <f t="shared" si="2"/>
        <v>1.7500278611006604E-2</v>
      </c>
      <c r="AG17" s="1">
        <f t="shared" si="2"/>
        <v>6.6832085855957596E-2</v>
      </c>
      <c r="AH17" s="1">
        <f t="shared" si="2"/>
        <v>-9.701656528685848E-2</v>
      </c>
      <c r="AI17" s="1">
        <f t="shared" si="2"/>
        <v>-1.5412085799751658E-2</v>
      </c>
      <c r="AJ17" s="1">
        <f t="shared" si="2"/>
        <v>-7.1172529591033021E-3</v>
      </c>
      <c r="AK17" s="1">
        <f t="shared" si="2"/>
        <v>4.846300656258044E-3</v>
      </c>
      <c r="AL17" s="1">
        <f t="shared" si="2"/>
        <v>4.559783732025979E-4</v>
      </c>
      <c r="AM17" s="1">
        <f t="shared" ref="AM17:BR17" si="3">(AM12-AL12)/AL12</f>
        <v>-1.314095935435171E-2</v>
      </c>
      <c r="AN17" s="1">
        <f t="shared" si="3"/>
        <v>-2.7294910138018293E-2</v>
      </c>
      <c r="AO17" s="1">
        <f t="shared" si="3"/>
        <v>-6.5700883436344573E-2</v>
      </c>
      <c r="AP17" s="1">
        <f t="shared" si="3"/>
        <v>-3.3708210640790152E-2</v>
      </c>
      <c r="AQ17" s="1">
        <f t="shared" si="3"/>
        <v>5.7530617653707185E-3</v>
      </c>
      <c r="AR17" s="1">
        <f t="shared" si="3"/>
        <v>-1.4242669212989195E-2</v>
      </c>
      <c r="AS17" s="1">
        <f t="shared" si="3"/>
        <v>-1.528225941242488E-2</v>
      </c>
      <c r="AT17" s="1">
        <f t="shared" si="3"/>
        <v>4.0394497036765569E-4</v>
      </c>
      <c r="AU17" s="1">
        <f t="shared" si="3"/>
        <v>-9.6712427578395099E-3</v>
      </c>
      <c r="AV17" s="1">
        <f t="shared" si="3"/>
        <v>-8.1801900637190131E-3</v>
      </c>
      <c r="AW17" s="1">
        <f t="shared" si="3"/>
        <v>-1.0220979515647996E-2</v>
      </c>
      <c r="AX17" s="1">
        <f t="shared" si="3"/>
        <v>-2.8782338545454873E-2</v>
      </c>
      <c r="AY17" s="1">
        <f t="shared" si="3"/>
        <v>1.04905745913043E-3</v>
      </c>
      <c r="AZ17" s="1">
        <f t="shared" si="3"/>
        <v>-7.0037830210836196E-4</v>
      </c>
      <c r="BA17" s="1">
        <f t="shared" si="3"/>
        <v>-1.0968939043936336E-2</v>
      </c>
      <c r="BB17" s="1">
        <f t="shared" si="3"/>
        <v>-2.0896294548100304E-2</v>
      </c>
      <c r="BC17" s="1">
        <f t="shared" si="3"/>
        <v>-7.7967111133185347E-3</v>
      </c>
      <c r="BD17" s="1">
        <f t="shared" si="3"/>
        <v>-9.5111837323067945E-3</v>
      </c>
      <c r="BE17" s="1">
        <f t="shared" si="3"/>
        <v>-2.0473468680301414E-2</v>
      </c>
      <c r="BF17" s="1">
        <f t="shared" si="3"/>
        <v>-6.0657379698622798E-3</v>
      </c>
      <c r="BG17" s="1">
        <f t="shared" si="3"/>
        <v>-1.3009570479436332E-3</v>
      </c>
      <c r="BH17" s="1">
        <f t="shared" si="3"/>
        <v>-2.4450909395873754E-2</v>
      </c>
      <c r="BI17" s="1">
        <f t="shared" si="3"/>
        <v>-1.4470848310578922E-2</v>
      </c>
      <c r="BJ17" s="1">
        <f t="shared" si="3"/>
        <v>-1.5339948832898756E-2</v>
      </c>
      <c r="BK17" s="1">
        <f t="shared" si="3"/>
        <v>3.7780197963773646E-2</v>
      </c>
      <c r="BL17" s="1">
        <f t="shared" si="3"/>
        <v>-3.8980829740723126E-3</v>
      </c>
      <c r="BM17" s="1">
        <f t="shared" si="3"/>
        <v>-2.0495898959589986E-2</v>
      </c>
      <c r="BN17" s="1">
        <f t="shared" si="3"/>
        <v>-2.8268703149709914E-2</v>
      </c>
      <c r="BO17" s="1">
        <f t="shared" si="3"/>
        <v>-1.3463618710302777E-2</v>
      </c>
      <c r="BP17" s="1">
        <f t="shared" si="3"/>
        <v>-6.0547600856291801E-2</v>
      </c>
      <c r="BQ17" s="1">
        <f t="shared" si="3"/>
        <v>5.6975391162832026E-2</v>
      </c>
      <c r="BR17" s="1">
        <f t="shared" si="3"/>
        <v>7.0300155402484845E-3</v>
      </c>
    </row>
    <row r="18" spans="1:72" ht="14.4" x14ac:dyDescent="0.3">
      <c r="A18" s="2"/>
      <c r="B18" s="79" t="s">
        <v>256</v>
      </c>
      <c r="C18" s="65">
        <f t="shared" ref="C18:C19" si="4">AVERAGE(G18:AA18)</f>
        <v>-3.6689070956257273E-3</v>
      </c>
      <c r="D18" s="66">
        <f t="shared" ref="D18:D19" si="5">AVERAGE(AB18:AO18)</f>
        <v>-1.0013262261099359E-2</v>
      </c>
      <c r="E18" s="6">
        <f t="shared" ref="E18:E19" si="6">AVERAGE(AP18:BN18)</f>
        <v>6.2725443973308155E-3</v>
      </c>
      <c r="G18" s="6">
        <f t="shared" ref="G18:AL18" si="7">(G13-F13)/F13</f>
        <v>-5.4526266420993903E-4</v>
      </c>
      <c r="H18" s="12">
        <f t="shared" si="7"/>
        <v>-1.3980339308403786E-3</v>
      </c>
      <c r="I18" s="12">
        <f t="shared" si="7"/>
        <v>-2.8158094587359024E-3</v>
      </c>
      <c r="J18" s="12">
        <f t="shared" si="7"/>
        <v>-4.846883364077321E-3</v>
      </c>
      <c r="K18" s="12">
        <f t="shared" si="7"/>
        <v>-6.6894207980881838E-3</v>
      </c>
      <c r="L18" s="12">
        <f t="shared" si="7"/>
        <v>-7.5284765187689498E-3</v>
      </c>
      <c r="M18" s="12">
        <f t="shared" si="7"/>
        <v>-7.4000152304443834E-3</v>
      </c>
      <c r="N18" s="12">
        <f t="shared" si="7"/>
        <v>-6.8028777007411115E-3</v>
      </c>
      <c r="O18" s="12">
        <f t="shared" si="7"/>
        <v>-6.2074693056357747E-3</v>
      </c>
      <c r="P18" s="12">
        <f t="shared" si="7"/>
        <v>-4.8433797418542517E-3</v>
      </c>
      <c r="Q18" s="12">
        <f t="shared" si="7"/>
        <v>-2.7329291178244458E-3</v>
      </c>
      <c r="R18" s="12">
        <f t="shared" si="7"/>
        <v>-2.2898308359249728E-4</v>
      </c>
      <c r="S18" s="12">
        <f t="shared" si="7"/>
        <v>1.7761874300142053E-3</v>
      </c>
      <c r="T18" s="12">
        <f t="shared" si="7"/>
        <v>3.3247008485088663E-3</v>
      </c>
      <c r="U18" s="12">
        <f t="shared" si="7"/>
        <v>3.9197789340020108E-3</v>
      </c>
      <c r="V18" s="12">
        <f t="shared" si="7"/>
        <v>3.066652434482133E-3</v>
      </c>
      <c r="W18" s="12">
        <f t="shared" si="7"/>
        <v>7.281209108008351E-4</v>
      </c>
      <c r="X18" s="12">
        <f t="shared" si="7"/>
        <v>-2.8943365504697704E-3</v>
      </c>
      <c r="Y18" s="12">
        <f t="shared" si="7"/>
        <v>-7.4053616307700691E-3</v>
      </c>
      <c r="Z18" s="12">
        <f t="shared" si="7"/>
        <v>-1.1918330624764389E-2</v>
      </c>
      <c r="AA18" s="12">
        <f t="shared" si="7"/>
        <v>-1.5604919845130955E-2</v>
      </c>
      <c r="AB18" s="12">
        <f t="shared" si="7"/>
        <v>-1.8034781343020737E-2</v>
      </c>
      <c r="AC18" s="12">
        <f t="shared" si="7"/>
        <v>-1.8736023776378542E-2</v>
      </c>
      <c r="AD18" s="12">
        <f t="shared" si="7"/>
        <v>-1.7774508926092392E-2</v>
      </c>
      <c r="AE18" s="12">
        <f t="shared" si="7"/>
        <v>-1.6086487209232253E-2</v>
      </c>
      <c r="AF18" s="12">
        <f t="shared" si="7"/>
        <v>-1.4083469348433087E-2</v>
      </c>
      <c r="AG18" s="12">
        <f t="shared" si="7"/>
        <v>-1.1843864973925115E-2</v>
      </c>
      <c r="AH18" s="12">
        <f t="shared" si="7"/>
        <v>-9.4837374556133881E-3</v>
      </c>
      <c r="AI18" s="12">
        <f t="shared" si="7"/>
        <v>-7.8834130907607988E-3</v>
      </c>
      <c r="AJ18" s="12">
        <f t="shared" si="7"/>
        <v>-7.0261233177133404E-3</v>
      </c>
      <c r="AK18" s="12">
        <f t="shared" si="7"/>
        <v>-6.6320163808891268E-3</v>
      </c>
      <c r="AL18" s="12">
        <f t="shared" si="7"/>
        <v>-6.0935228220137597E-3</v>
      </c>
      <c r="AM18" s="12">
        <f t="shared" ref="AM18:BR18" si="8">(AM13-AL13)/AL13</f>
        <v>-4.6771938432886564E-3</v>
      </c>
      <c r="AN18" s="12">
        <f t="shared" si="8"/>
        <v>-2.2429104903973329E-3</v>
      </c>
      <c r="AO18" s="12">
        <f t="shared" si="8"/>
        <v>4.123813223674883E-4</v>
      </c>
      <c r="AP18" s="12">
        <f t="shared" si="8"/>
        <v>2.9596697236826935E-3</v>
      </c>
      <c r="AQ18" s="12">
        <f t="shared" si="8"/>
        <v>4.5523139249694427E-3</v>
      </c>
      <c r="AR18" s="12">
        <f t="shared" si="8"/>
        <v>5.0438719797733398E-3</v>
      </c>
      <c r="AS18" s="12">
        <f t="shared" si="8"/>
        <v>5.138013397768911E-3</v>
      </c>
      <c r="AT18" s="12">
        <f t="shared" si="8"/>
        <v>5.3154820419791995E-3</v>
      </c>
      <c r="AU18" s="12">
        <f t="shared" si="8"/>
        <v>5.2892797441268001E-3</v>
      </c>
      <c r="AV18" s="12">
        <f t="shared" si="8"/>
        <v>5.0067810384160517E-3</v>
      </c>
      <c r="AW18" s="12">
        <f t="shared" si="8"/>
        <v>4.8678223029048314E-3</v>
      </c>
      <c r="AX18" s="12">
        <f t="shared" si="8"/>
        <v>5.1500221535886728E-3</v>
      </c>
      <c r="AY18" s="12">
        <f t="shared" si="8"/>
        <v>5.7226763151132726E-3</v>
      </c>
      <c r="AZ18" s="12">
        <f t="shared" si="8"/>
        <v>6.3444072328615311E-3</v>
      </c>
      <c r="BA18" s="12">
        <f t="shared" si="8"/>
        <v>6.5129217956564596E-3</v>
      </c>
      <c r="BB18" s="12">
        <f t="shared" si="8"/>
        <v>5.7205809881264924E-3</v>
      </c>
      <c r="BC18" s="12">
        <f t="shared" si="8"/>
        <v>3.9476011708298783E-3</v>
      </c>
      <c r="BD18" s="12">
        <f t="shared" si="8"/>
        <v>1.7147306920357955E-3</v>
      </c>
      <c r="BE18" s="12">
        <f t="shared" si="8"/>
        <v>-1.1468615260537237E-4</v>
      </c>
      <c r="BF18" s="12">
        <f t="shared" si="8"/>
        <v>-5.0972844370097698E-4</v>
      </c>
      <c r="BG18" s="12">
        <f t="shared" si="8"/>
        <v>7.1592591331335719E-4</v>
      </c>
      <c r="BH18" s="12">
        <f t="shared" si="8"/>
        <v>3.6079798385132283E-3</v>
      </c>
      <c r="BI18" s="12">
        <f t="shared" si="8"/>
        <v>7.5009529772051328E-3</v>
      </c>
      <c r="BJ18" s="12">
        <f t="shared" si="8"/>
        <v>1.1305540239191178E-2</v>
      </c>
      <c r="BK18" s="12">
        <f t="shared" si="8"/>
        <v>1.416648179041719E-2</v>
      </c>
      <c r="BL18" s="12">
        <f t="shared" si="8"/>
        <v>1.5470030868626408E-2</v>
      </c>
      <c r="BM18" s="12">
        <f t="shared" si="8"/>
        <v>1.5656896108227094E-2</v>
      </c>
      <c r="BN18" s="12">
        <f t="shared" si="8"/>
        <v>1.5728042292249774E-2</v>
      </c>
      <c r="BO18" s="12">
        <f t="shared" si="8"/>
        <v>1.6761768952660752E-2</v>
      </c>
      <c r="BP18" s="12">
        <f t="shared" si="8"/>
        <v>1.8766370908871816E-2</v>
      </c>
      <c r="BQ18" s="12">
        <f t="shared" si="8"/>
        <v>2.0122229837620843E-2</v>
      </c>
      <c r="BR18" s="12">
        <f t="shared" si="8"/>
        <v>2.0262063691086567E-2</v>
      </c>
    </row>
    <row r="19" spans="1:72" ht="14.4" x14ac:dyDescent="0.3">
      <c r="A19" s="2"/>
      <c r="B19" s="79" t="s">
        <v>257</v>
      </c>
      <c r="C19" s="65">
        <f t="shared" si="4"/>
        <v>-2.0791422037938039E-2</v>
      </c>
      <c r="D19" s="66">
        <f t="shared" si="5"/>
        <v>-2.3864557880230747E-2</v>
      </c>
      <c r="E19" s="6">
        <f t="shared" si="6"/>
        <v>-4.1732301268885257E-3</v>
      </c>
      <c r="G19" s="1">
        <f t="shared" ref="G19:AL19" si="9">(G14-F14)/F14</f>
        <v>-2.8513615370234766E-2</v>
      </c>
      <c r="H19" s="1">
        <f t="shared" si="9"/>
        <v>-8.3085289313042099E-2</v>
      </c>
      <c r="I19" s="1">
        <f t="shared" si="9"/>
        <v>7.955555779320278E-2</v>
      </c>
      <c r="J19" s="1">
        <f t="shared" si="9"/>
        <v>-6.4902826233531288E-2</v>
      </c>
      <c r="K19" s="1">
        <f t="shared" si="9"/>
        <v>-5.7032470962778054E-2</v>
      </c>
      <c r="L19" s="1">
        <f t="shared" si="9"/>
        <v>-2.9118425313369486E-2</v>
      </c>
      <c r="M19" s="1">
        <f t="shared" si="9"/>
        <v>-3.5385486864828009E-2</v>
      </c>
      <c r="N19" s="1">
        <f t="shared" si="9"/>
        <v>4.7542184818573391E-2</v>
      </c>
      <c r="O19" s="1">
        <f t="shared" si="9"/>
        <v>-1.8577535826955489E-2</v>
      </c>
      <c r="P19" s="1">
        <f t="shared" si="9"/>
        <v>-5.0029594931792272E-2</v>
      </c>
      <c r="Q19" s="1">
        <f t="shared" si="9"/>
        <v>-5.1569720581492909E-2</v>
      </c>
      <c r="R19" s="1">
        <f t="shared" si="9"/>
        <v>6.9003531782765503E-3</v>
      </c>
      <c r="S19" s="1">
        <f t="shared" si="9"/>
        <v>-3.9830276134873131E-2</v>
      </c>
      <c r="T19" s="1">
        <f t="shared" si="9"/>
        <v>-5.9486656663608134E-3</v>
      </c>
      <c r="U19" s="1">
        <f t="shared" si="9"/>
        <v>-9.0305444689024496E-3</v>
      </c>
      <c r="V19" s="1">
        <f t="shared" si="9"/>
        <v>-1.4442858830592086E-2</v>
      </c>
      <c r="W19" s="1">
        <f t="shared" si="9"/>
        <v>1.0568328608494728E-3</v>
      </c>
      <c r="X19" s="1">
        <f t="shared" si="9"/>
        <v>-1.2654182361039571E-2</v>
      </c>
      <c r="Y19" s="1">
        <f t="shared" si="9"/>
        <v>-1.7915302861939233E-2</v>
      </c>
      <c r="Z19" s="1">
        <f t="shared" si="9"/>
        <v>-3.5377995663039771E-2</v>
      </c>
      <c r="AA19" s="1">
        <f t="shared" si="9"/>
        <v>-1.8260000062829559E-2</v>
      </c>
      <c r="AB19" s="1">
        <f t="shared" si="9"/>
        <v>-3.0039565629350999E-2</v>
      </c>
      <c r="AC19" s="1">
        <f t="shared" si="9"/>
        <v>-3.1426144584769486E-2</v>
      </c>
      <c r="AD19" s="1">
        <f t="shared" si="9"/>
        <v>-2.8487874975768102E-2</v>
      </c>
      <c r="AE19" s="1">
        <f t="shared" si="9"/>
        <v>-3.8662582363725766E-2</v>
      </c>
      <c r="AF19" s="1">
        <f t="shared" si="9"/>
        <v>3.1703446251663122E-3</v>
      </c>
      <c r="AG19" s="1">
        <f t="shared" si="9"/>
        <v>5.4196670681228812E-2</v>
      </c>
      <c r="AH19" s="1">
        <f t="shared" si="9"/>
        <v>-0.10558022310844596</v>
      </c>
      <c r="AI19" s="1">
        <f t="shared" si="9"/>
        <v>-2.3173999051562696E-2</v>
      </c>
      <c r="AJ19" s="1">
        <f t="shared" si="9"/>
        <v>-1.4093369579842644E-2</v>
      </c>
      <c r="AK19" s="1">
        <f t="shared" si="9"/>
        <v>-1.8178564699701438E-3</v>
      </c>
      <c r="AL19" s="1">
        <f t="shared" si="9"/>
        <v>-5.6403229634346104E-3</v>
      </c>
      <c r="AM19" s="1">
        <f t="shared" ref="AM19:BR19" si="10">(AM14-AL14)/AL14</f>
        <v>-1.7756690383453264E-2</v>
      </c>
      <c r="AN19" s="1">
        <f t="shared" si="10"/>
        <v>-2.9476600588132611E-2</v>
      </c>
      <c r="AO19" s="1">
        <f t="shared" si="10"/>
        <v>-6.5315595931169229E-2</v>
      </c>
      <c r="AP19" s="1">
        <f t="shared" si="10"/>
        <v>-3.0848306087580622E-2</v>
      </c>
      <c r="AQ19" s="1">
        <f t="shared" si="10"/>
        <v>1.0331565433525982E-2</v>
      </c>
      <c r="AR19" s="1">
        <f t="shared" si="10"/>
        <v>-9.270635433376485E-3</v>
      </c>
      <c r="AS19" s="1">
        <f t="shared" si="10"/>
        <v>-1.0222766468265192E-2</v>
      </c>
      <c r="AT19" s="1">
        <f t="shared" si="10"/>
        <v>5.7215741745827381E-3</v>
      </c>
      <c r="AU19" s="1">
        <f t="shared" si="10"/>
        <v>-4.4331169221322976E-3</v>
      </c>
      <c r="AV19" s="1">
        <f t="shared" si="10"/>
        <v>-3.2143654458046478E-3</v>
      </c>
      <c r="AW19" s="1">
        <f t="shared" si="10"/>
        <v>-5.4029111247869497E-3</v>
      </c>
      <c r="AX19" s="1">
        <f t="shared" si="10"/>
        <v>-2.3780546073007273E-2</v>
      </c>
      <c r="AY19" s="1">
        <f t="shared" si="10"/>
        <v>6.7777371905181714E-3</v>
      </c>
      <c r="AZ19" s="1">
        <f t="shared" si="10"/>
        <v>5.6395854455875121E-3</v>
      </c>
      <c r="BA19" s="1">
        <f t="shared" si="10"/>
        <v>-4.5274570904543501E-3</v>
      </c>
      <c r="BB19" s="1">
        <f t="shared" si="10"/>
        <v>-1.5295252505287975E-2</v>
      </c>
      <c r="BC19" s="1">
        <f t="shared" si="10"/>
        <v>-3.8798882484081779E-3</v>
      </c>
      <c r="BD19" s="1">
        <f t="shared" si="10"/>
        <v>-7.8127621589343665E-3</v>
      </c>
      <c r="BE19" s="1">
        <f t="shared" si="10"/>
        <v>-2.0585806809553409E-2</v>
      </c>
      <c r="BF19" s="1">
        <f t="shared" si="10"/>
        <v>-6.5723745343879364E-3</v>
      </c>
      <c r="BG19" s="1">
        <f t="shared" si="10"/>
        <v>-5.859625234930152E-4</v>
      </c>
      <c r="BH19" s="1">
        <f t="shared" si="10"/>
        <v>-2.0931147945494215E-2</v>
      </c>
      <c r="BI19" s="1">
        <f t="shared" si="10"/>
        <v>-7.0784404860917199E-3</v>
      </c>
      <c r="BJ19" s="1">
        <f t="shared" si="10"/>
        <v>-4.2078350025050015E-3</v>
      </c>
      <c r="BK19" s="1">
        <f t="shared" si="10"/>
        <v>5.2481892240683031E-2</v>
      </c>
      <c r="BL19" s="1">
        <f t="shared" si="10"/>
        <v>1.1511644430616828E-2</v>
      </c>
      <c r="BM19" s="1">
        <f t="shared" si="10"/>
        <v>-5.1599050120179676E-3</v>
      </c>
      <c r="BN19" s="1">
        <f t="shared" si="10"/>
        <v>-1.2985272216145826E-2</v>
      </c>
      <c r="BO19" s="1">
        <f t="shared" si="10"/>
        <v>3.0724761762691804E-3</v>
      </c>
      <c r="BP19" s="1">
        <f t="shared" si="10"/>
        <v>-4.2917488682731507E-2</v>
      </c>
      <c r="BQ19" s="1">
        <f t="shared" si="10"/>
        <v>7.8244092916519681E-2</v>
      </c>
      <c r="BR19" s="1">
        <f t="shared" si="10"/>
        <v>2.7434521853960888E-2</v>
      </c>
    </row>
    <row r="20" spans="1:72" ht="14.4" x14ac:dyDescent="0.3">
      <c r="A20" s="80" t="s">
        <v>16</v>
      </c>
      <c r="B20" s="67"/>
      <c r="C20" s="65"/>
      <c r="D20" s="65"/>
      <c r="E20" s="6"/>
    </row>
    <row r="21" spans="1:72" ht="14.4" x14ac:dyDescent="0.3">
      <c r="A21" s="1" t="s">
        <v>290</v>
      </c>
      <c r="B21" s="81" t="s">
        <v>288</v>
      </c>
      <c r="C21" s="76" t="s">
        <v>291</v>
      </c>
      <c r="D21" s="76" t="s">
        <v>291</v>
      </c>
      <c r="E21" s="75">
        <f>AVERAGE(G21:BR21)</f>
        <v>9.5010927393296599E-2</v>
      </c>
      <c r="G21" s="12">
        <v>0.31468453732815793</v>
      </c>
      <c r="H21" s="12">
        <v>-0.11933291420477785</v>
      </c>
      <c r="I21" s="12">
        <v>0.43918643202486496</v>
      </c>
      <c r="J21" s="12">
        <v>7.4239480264395474E-2</v>
      </c>
      <c r="K21" s="12">
        <v>-8.6527611964125437E-2</v>
      </c>
      <c r="L21" s="12">
        <v>1.6692636395081967E-2</v>
      </c>
      <c r="M21" s="12">
        <v>-1.3296796656494017E-2</v>
      </c>
      <c r="N21" s="12">
        <v>0.46831152881907867</v>
      </c>
      <c r="O21" s="12">
        <v>-0.11792891015619376</v>
      </c>
      <c r="P21" s="12">
        <v>-4.4956258585891827E-2</v>
      </c>
      <c r="Q21" s="12">
        <v>-9.8439768243135731E-2</v>
      </c>
      <c r="R21" s="12">
        <v>0.32134547190682972</v>
      </c>
      <c r="S21" s="12">
        <v>-5.165949114381718E-3</v>
      </c>
      <c r="T21" s="12">
        <v>6.9796687903433852E-2</v>
      </c>
      <c r="U21" s="12">
        <v>0.24580980440920561</v>
      </c>
      <c r="V21" s="12">
        <v>0.16852802621985055</v>
      </c>
      <c r="W21" s="12">
        <v>0.18526608515762</v>
      </c>
      <c r="X21" s="12">
        <v>0.25778757374461897</v>
      </c>
      <c r="Y21" s="12">
        <v>0.13306828610762145</v>
      </c>
      <c r="Z21" s="12">
        <v>-2.2424706322610095E-3</v>
      </c>
      <c r="AA21" s="12">
        <v>0.10367347595546927</v>
      </c>
      <c r="AB21" s="12">
        <v>-9.0829713397683354E-3</v>
      </c>
      <c r="AC21" s="12">
        <v>-0.11060145594467521</v>
      </c>
      <c r="AD21" s="12">
        <v>0.13102393909408358</v>
      </c>
      <c r="AE21" s="12">
        <v>0.16809635773610299</v>
      </c>
      <c r="AF21" s="12">
        <v>0.10700337043676085</v>
      </c>
      <c r="AG21" s="12">
        <v>-7.6671436144077884E-2</v>
      </c>
      <c r="AH21" s="12">
        <v>5.1206658271717657E-2</v>
      </c>
      <c r="AI21" s="12">
        <v>0.1788507473506982</v>
      </c>
      <c r="AJ21" s="12">
        <v>0.134696972032776</v>
      </c>
      <c r="AK21" s="12">
        <v>0.13130832605576967</v>
      </c>
      <c r="AL21" s="12">
        <v>1.1555534987356892E-3</v>
      </c>
      <c r="AM21" s="12">
        <v>-5.7693773752115082E-2</v>
      </c>
      <c r="AN21" s="12">
        <v>0.11016305866131283</v>
      </c>
      <c r="AO21" s="12">
        <v>-3.3414013114430263E-2</v>
      </c>
      <c r="AP21" s="12">
        <v>0.20666415066877158</v>
      </c>
      <c r="AQ21" s="12">
        <v>0.25708339108277573</v>
      </c>
      <c r="AR21" s="12">
        <v>8.2613775561874422E-2</v>
      </c>
      <c r="AS21" s="12">
        <v>-3.1225928221011914E-3</v>
      </c>
      <c r="AT21" s="12">
        <v>0.13243243643085692</v>
      </c>
      <c r="AU21" s="12">
        <v>0.13325542097379225</v>
      </c>
      <c r="AV21" s="12">
        <v>6.974879910377059E-2</v>
      </c>
      <c r="AW21" s="12">
        <v>2.4543904586603178E-2</v>
      </c>
      <c r="AX21" s="12">
        <v>3.7014024297708101E-2</v>
      </c>
      <c r="AY21" s="12">
        <v>7.4990776582276028E-2</v>
      </c>
      <c r="AZ21" s="12">
        <v>9.0080624814904017E-2</v>
      </c>
      <c r="BA21" s="12">
        <v>0.1834304860350543</v>
      </c>
      <c r="BB21" s="12">
        <v>0.14505241942746389</v>
      </c>
      <c r="BC21" s="12">
        <v>0.23496825570050367</v>
      </c>
      <c r="BD21" s="12">
        <v>0.17648785889732291</v>
      </c>
      <c r="BE21" s="12">
        <v>6.0699689047568624E-2</v>
      </c>
      <c r="BF21" s="12">
        <v>0.12254337168588664</v>
      </c>
      <c r="BG21" s="12">
        <v>4.926210833552673E-2</v>
      </c>
      <c r="BH21" s="12">
        <v>8.1704566531175665E-3</v>
      </c>
      <c r="BI21" s="12">
        <v>7.7220454033274086E-2</v>
      </c>
      <c r="BJ21" s="12">
        <v>9.976838279811491E-2</v>
      </c>
      <c r="BK21" s="12">
        <v>0.23399438615982346</v>
      </c>
      <c r="BL21" s="12">
        <v>0.16602402095016847</v>
      </c>
      <c r="BM21" s="12">
        <v>9.608433635981628E-2</v>
      </c>
      <c r="BN21" s="12">
        <v>-7.4286320232904074E-2</v>
      </c>
      <c r="BO21" s="12">
        <v>-0.19323625012382256</v>
      </c>
      <c r="BP21" s="12">
        <v>0.13034514527972388</v>
      </c>
      <c r="BQ21" s="12">
        <v>0.34151928004860438</v>
      </c>
      <c r="BR21" s="12">
        <v>8.0805881312647154E-2</v>
      </c>
    </row>
    <row r="22" spans="1:72" ht="14.4" x14ac:dyDescent="0.3">
      <c r="B22" s="81"/>
      <c r="C22" s="76" t="s">
        <v>300</v>
      </c>
      <c r="D22" s="76" t="s">
        <v>300</v>
      </c>
      <c r="E22" s="75"/>
      <c r="F22" s="6"/>
      <c r="G22" s="6">
        <v>0.16202197919092801</v>
      </c>
      <c r="H22" s="6">
        <v>0.14326290783603601</v>
      </c>
      <c r="I22" s="6">
        <v>0.12603061668923299</v>
      </c>
      <c r="J22" s="6">
        <v>0.109226256880253</v>
      </c>
      <c r="K22" s="6">
        <v>9.48826733719315E-2</v>
      </c>
      <c r="L22" s="6">
        <v>8.4682448558304896E-2</v>
      </c>
      <c r="M22" s="6">
        <v>7.8494338099689503E-2</v>
      </c>
      <c r="N22" s="6">
        <v>7.5507273170818498E-2</v>
      </c>
      <c r="O22" s="6">
        <v>7.3992241565428302E-2</v>
      </c>
      <c r="P22" s="6">
        <v>7.6148158345547098E-2</v>
      </c>
      <c r="Q22" s="6">
        <v>8.2255016157548794E-2</v>
      </c>
      <c r="R22" s="6">
        <v>9.13813260643518E-2</v>
      </c>
      <c r="S22" s="6">
        <v>0.100789048967299</v>
      </c>
      <c r="T22" s="6">
        <v>0.110039332507089</v>
      </c>
      <c r="U22" s="6">
        <v>0.11763343383475</v>
      </c>
      <c r="V22" s="6">
        <v>0.121670216776237</v>
      </c>
      <c r="W22" s="6">
        <v>0.12153021081915701</v>
      </c>
      <c r="X22" s="6">
        <v>0.117062243283357</v>
      </c>
      <c r="Y22" s="6">
        <v>0.10875283938049</v>
      </c>
      <c r="Z22" s="6">
        <v>9.8495901889376597E-2</v>
      </c>
      <c r="AA22" s="6">
        <v>8.8428805195032198E-2</v>
      </c>
      <c r="AB22" s="6">
        <v>7.9681964663578797E-2</v>
      </c>
      <c r="AC22" s="6">
        <v>7.3538507609187703E-2</v>
      </c>
      <c r="AD22" s="6">
        <v>7.0393741699394705E-2</v>
      </c>
      <c r="AE22" s="6">
        <v>6.8801589525643303E-2</v>
      </c>
      <c r="AF22" s="6">
        <v>6.7922036262383398E-2</v>
      </c>
      <c r="AG22" s="6">
        <v>6.7908051188808299E-2</v>
      </c>
      <c r="AH22" s="6">
        <v>6.9303383221487505E-2</v>
      </c>
      <c r="AI22" s="6">
        <v>7.1205700765102506E-2</v>
      </c>
      <c r="AJ22" s="6">
        <v>7.2531638392119693E-2</v>
      </c>
      <c r="AK22" s="6">
        <v>7.3274773667354895E-2</v>
      </c>
      <c r="AL22" s="6">
        <v>7.4050367771702194E-2</v>
      </c>
      <c r="AM22" s="6">
        <v>7.6053934149382704E-2</v>
      </c>
      <c r="AN22" s="6">
        <v>7.9752482566899999E-2</v>
      </c>
      <c r="AO22" s="6">
        <v>8.4275483449264402E-2</v>
      </c>
      <c r="AP22" s="6">
        <v>8.9056882395816703E-2</v>
      </c>
      <c r="AQ22" s="6">
        <v>9.2353870171405394E-2</v>
      </c>
      <c r="AR22" s="6">
        <v>9.3600068716920795E-2</v>
      </c>
      <c r="AS22" s="6">
        <v>9.3876561271538997E-2</v>
      </c>
      <c r="AT22" s="6">
        <v>9.4154430387267202E-2</v>
      </c>
      <c r="AU22" s="6">
        <v>9.4434993003396805E-2</v>
      </c>
      <c r="AV22" s="6">
        <v>9.5102021755346794E-2</v>
      </c>
      <c r="AW22" s="6">
        <v>9.6927939348502107E-2</v>
      </c>
      <c r="AX22" s="6">
        <v>0.10043114827069401</v>
      </c>
      <c r="AY22" s="6">
        <v>0.105405771616269</v>
      </c>
      <c r="AZ22" s="6">
        <v>0.111011620996867</v>
      </c>
      <c r="BA22" s="6">
        <v>0.116104450307964</v>
      </c>
      <c r="BB22" s="6">
        <v>0.119330897235069</v>
      </c>
      <c r="BC22" s="6">
        <v>0.120010554960609</v>
      </c>
      <c r="BD22" s="6">
        <v>0.117720707694663</v>
      </c>
      <c r="BE22" s="6">
        <v>0.11318853409770301</v>
      </c>
      <c r="BF22" s="6">
        <v>0.107729005753253</v>
      </c>
      <c r="BG22" s="6">
        <v>0.102132208903861</v>
      </c>
      <c r="BH22" s="6">
        <v>9.7335939734544505E-2</v>
      </c>
      <c r="BI22" s="6">
        <v>9.3749672341278303E-2</v>
      </c>
      <c r="BJ22" s="6">
        <v>9.0891521422694702E-2</v>
      </c>
      <c r="BK22" s="6">
        <v>8.8114104954012507E-2</v>
      </c>
      <c r="BL22" s="6">
        <v>8.4859125696223697E-2</v>
      </c>
      <c r="BM22" s="6">
        <v>8.2027145360779805E-2</v>
      </c>
      <c r="BN22" s="6">
        <v>8.1330134402170504E-2</v>
      </c>
      <c r="BO22" s="6">
        <v>8.4620791821277297E-2</v>
      </c>
      <c r="BP22" s="6">
        <v>9.2195515274960296E-2</v>
      </c>
      <c r="BQ22" s="6">
        <v>0.10157249450186601</v>
      </c>
      <c r="BR22" s="6">
        <v>0.110650964087894</v>
      </c>
    </row>
    <row r="23" spans="1:72" ht="14.4" x14ac:dyDescent="0.3">
      <c r="B23" s="81"/>
      <c r="C23" s="76" t="s">
        <v>301</v>
      </c>
      <c r="D23" s="76" t="s">
        <v>301</v>
      </c>
      <c r="E23" s="75"/>
      <c r="G23" s="12"/>
      <c r="H23" s="12">
        <f>G22</f>
        <v>0.16202197919092801</v>
      </c>
      <c r="I23" s="12">
        <f t="shared" ref="I23:BR23" si="11">H22</f>
        <v>0.14326290783603601</v>
      </c>
      <c r="J23" s="12">
        <f t="shared" si="11"/>
        <v>0.12603061668923299</v>
      </c>
      <c r="K23" s="12">
        <f t="shared" si="11"/>
        <v>0.109226256880253</v>
      </c>
      <c r="L23" s="12">
        <f t="shared" si="11"/>
        <v>9.48826733719315E-2</v>
      </c>
      <c r="M23" s="12">
        <f t="shared" si="11"/>
        <v>8.4682448558304896E-2</v>
      </c>
      <c r="N23" s="12">
        <f t="shared" si="11"/>
        <v>7.8494338099689503E-2</v>
      </c>
      <c r="O23" s="12">
        <f t="shared" si="11"/>
        <v>7.5507273170818498E-2</v>
      </c>
      <c r="P23" s="12">
        <f t="shared" si="11"/>
        <v>7.3992241565428302E-2</v>
      </c>
      <c r="Q23" s="12">
        <f t="shared" si="11"/>
        <v>7.6148158345547098E-2</v>
      </c>
      <c r="R23" s="12">
        <f t="shared" si="11"/>
        <v>8.2255016157548794E-2</v>
      </c>
      <c r="S23" s="12">
        <f t="shared" si="11"/>
        <v>9.13813260643518E-2</v>
      </c>
      <c r="T23" s="12">
        <f t="shared" si="11"/>
        <v>0.100789048967299</v>
      </c>
      <c r="U23" s="12">
        <f t="shared" si="11"/>
        <v>0.110039332507089</v>
      </c>
      <c r="V23" s="12">
        <f t="shared" si="11"/>
        <v>0.11763343383475</v>
      </c>
      <c r="W23" s="12">
        <f t="shared" si="11"/>
        <v>0.121670216776237</v>
      </c>
      <c r="X23" s="12">
        <f t="shared" si="11"/>
        <v>0.12153021081915701</v>
      </c>
      <c r="Y23" s="12">
        <f t="shared" si="11"/>
        <v>0.117062243283357</v>
      </c>
      <c r="Z23" s="12">
        <f t="shared" si="11"/>
        <v>0.10875283938049</v>
      </c>
      <c r="AA23" s="12">
        <f t="shared" si="11"/>
        <v>9.8495901889376597E-2</v>
      </c>
      <c r="AB23" s="12">
        <f t="shared" si="11"/>
        <v>8.8428805195032198E-2</v>
      </c>
      <c r="AC23" s="12">
        <f t="shared" si="11"/>
        <v>7.9681964663578797E-2</v>
      </c>
      <c r="AD23" s="12">
        <f t="shared" si="11"/>
        <v>7.3538507609187703E-2</v>
      </c>
      <c r="AE23" s="12">
        <f t="shared" si="11"/>
        <v>7.0393741699394705E-2</v>
      </c>
      <c r="AF23" s="12">
        <f t="shared" si="11"/>
        <v>6.8801589525643303E-2</v>
      </c>
      <c r="AG23" s="12">
        <f t="shared" si="11"/>
        <v>6.7922036262383398E-2</v>
      </c>
      <c r="AH23" s="12">
        <f t="shared" si="11"/>
        <v>6.7908051188808299E-2</v>
      </c>
      <c r="AI23" s="12">
        <f t="shared" si="11"/>
        <v>6.9303383221487505E-2</v>
      </c>
      <c r="AJ23" s="12">
        <f t="shared" si="11"/>
        <v>7.1205700765102506E-2</v>
      </c>
      <c r="AK23" s="12">
        <f t="shared" si="11"/>
        <v>7.2531638392119693E-2</v>
      </c>
      <c r="AL23" s="12">
        <f t="shared" si="11"/>
        <v>7.3274773667354895E-2</v>
      </c>
      <c r="AM23" s="12">
        <f t="shared" si="11"/>
        <v>7.4050367771702194E-2</v>
      </c>
      <c r="AN23" s="12">
        <f t="shared" si="11"/>
        <v>7.6053934149382704E-2</v>
      </c>
      <c r="AO23" s="12">
        <f t="shared" si="11"/>
        <v>7.9752482566899999E-2</v>
      </c>
      <c r="AP23" s="12">
        <f t="shared" si="11"/>
        <v>8.4275483449264402E-2</v>
      </c>
      <c r="AQ23" s="12">
        <f t="shared" si="11"/>
        <v>8.9056882395816703E-2</v>
      </c>
      <c r="AR23" s="12">
        <f t="shared" si="11"/>
        <v>9.2353870171405394E-2</v>
      </c>
      <c r="AS23" s="12">
        <f t="shared" si="11"/>
        <v>9.3600068716920795E-2</v>
      </c>
      <c r="AT23" s="12">
        <f t="shared" si="11"/>
        <v>9.3876561271538997E-2</v>
      </c>
      <c r="AU23" s="12">
        <f t="shared" si="11"/>
        <v>9.4154430387267202E-2</v>
      </c>
      <c r="AV23" s="12">
        <f t="shared" si="11"/>
        <v>9.4434993003396805E-2</v>
      </c>
      <c r="AW23" s="12">
        <f t="shared" si="11"/>
        <v>9.5102021755346794E-2</v>
      </c>
      <c r="AX23" s="12">
        <f t="shared" si="11"/>
        <v>9.6927939348502107E-2</v>
      </c>
      <c r="AY23" s="12">
        <f t="shared" si="11"/>
        <v>0.10043114827069401</v>
      </c>
      <c r="AZ23" s="12">
        <f t="shared" si="11"/>
        <v>0.105405771616269</v>
      </c>
      <c r="BA23" s="12">
        <f t="shared" si="11"/>
        <v>0.111011620996867</v>
      </c>
      <c r="BB23" s="12">
        <f t="shared" si="11"/>
        <v>0.116104450307964</v>
      </c>
      <c r="BC23" s="12">
        <f t="shared" si="11"/>
        <v>0.119330897235069</v>
      </c>
      <c r="BD23" s="12">
        <f t="shared" si="11"/>
        <v>0.120010554960609</v>
      </c>
      <c r="BE23" s="12">
        <f t="shared" si="11"/>
        <v>0.117720707694663</v>
      </c>
      <c r="BF23" s="12">
        <f t="shared" si="11"/>
        <v>0.11318853409770301</v>
      </c>
      <c r="BG23" s="12">
        <f t="shared" si="11"/>
        <v>0.107729005753253</v>
      </c>
      <c r="BH23" s="12">
        <f t="shared" si="11"/>
        <v>0.102132208903861</v>
      </c>
      <c r="BI23" s="12">
        <f t="shared" si="11"/>
        <v>9.7335939734544505E-2</v>
      </c>
      <c r="BJ23" s="12">
        <f t="shared" si="11"/>
        <v>9.3749672341278303E-2</v>
      </c>
      <c r="BK23" s="12">
        <f t="shared" si="11"/>
        <v>9.0891521422694702E-2</v>
      </c>
      <c r="BL23" s="12">
        <f t="shared" si="11"/>
        <v>8.8114104954012507E-2</v>
      </c>
      <c r="BM23" s="12">
        <f t="shared" si="11"/>
        <v>8.4859125696223697E-2</v>
      </c>
      <c r="BN23" s="12">
        <f t="shared" si="11"/>
        <v>8.2027145360779805E-2</v>
      </c>
      <c r="BO23" s="12">
        <f t="shared" si="11"/>
        <v>8.1330134402170504E-2</v>
      </c>
      <c r="BP23" s="12">
        <f t="shared" si="11"/>
        <v>8.4620791821277297E-2</v>
      </c>
      <c r="BQ23" s="12">
        <f t="shared" si="11"/>
        <v>9.2195515274960296E-2</v>
      </c>
      <c r="BR23" s="12">
        <f t="shared" si="11"/>
        <v>0.10157249450186601</v>
      </c>
    </row>
    <row r="24" spans="1:72" ht="14.4" x14ac:dyDescent="0.3">
      <c r="A24" s="1" t="s">
        <v>259</v>
      </c>
      <c r="B24" s="4" t="s">
        <v>268</v>
      </c>
      <c r="C24" s="68" t="s">
        <v>17</v>
      </c>
      <c r="D24" s="68" t="s">
        <v>17</v>
      </c>
      <c r="E24" s="19"/>
      <c r="F24" s="10"/>
      <c r="G24" s="10">
        <v>1.04E-2</v>
      </c>
      <c r="H24" s="10">
        <v>1.102E-2</v>
      </c>
      <c r="I24" s="10">
        <v>1.218E-2</v>
      </c>
      <c r="J24" s="10">
        <v>1.5520000000000001E-2</v>
      </c>
      <c r="K24" s="10">
        <v>1.7659999999999999E-2</v>
      </c>
      <c r="L24" s="10">
        <v>1.9310000000000001E-2</v>
      </c>
      <c r="M24" s="10">
        <v>9.5300000000000003E-3</v>
      </c>
      <c r="N24" s="10">
        <v>1.753E-2</v>
      </c>
      <c r="O24" s="10">
        <v>2.6579999999999999E-2</v>
      </c>
      <c r="P24" s="10">
        <v>3.2669999999999998E-2</v>
      </c>
      <c r="Q24" s="10">
        <v>1.839E-2</v>
      </c>
      <c r="R24" s="10">
        <v>3.4049999999999997E-2</v>
      </c>
      <c r="S24" s="10">
        <v>2.928E-2</v>
      </c>
      <c r="T24" s="10">
        <v>2.3780000000000003E-2</v>
      </c>
      <c r="U24" s="10">
        <v>2.7779999999999999E-2</v>
      </c>
      <c r="V24" s="10">
        <v>3.1570000000000001E-2</v>
      </c>
      <c r="W24" s="10">
        <v>3.5490000000000001E-2</v>
      </c>
      <c r="X24" s="10">
        <v>3.9539999999999999E-2</v>
      </c>
      <c r="Y24" s="10">
        <v>4.8809999999999999E-2</v>
      </c>
      <c r="Z24" s="10">
        <v>4.3209999999999998E-2</v>
      </c>
      <c r="AA24" s="10">
        <v>5.3390000000000007E-2</v>
      </c>
      <c r="AB24" s="10">
        <v>6.6769999999999996E-2</v>
      </c>
      <c r="AC24" s="10">
        <v>6.4579999999999999E-2</v>
      </c>
      <c r="AD24" s="10">
        <v>4.3479999999999998E-2</v>
      </c>
      <c r="AE24" s="10">
        <v>4.0709999999999996E-2</v>
      </c>
      <c r="AF24" s="10">
        <v>7.041E-2</v>
      </c>
      <c r="AG24" s="10">
        <v>7.886E-2</v>
      </c>
      <c r="AH24" s="10">
        <v>5.8380000000000001E-2</v>
      </c>
      <c r="AI24" s="10">
        <v>4.9889999999999997E-2</v>
      </c>
      <c r="AJ24" s="10">
        <v>5.2649999999999995E-2</v>
      </c>
      <c r="AK24" s="10">
        <v>7.2209999999999996E-2</v>
      </c>
      <c r="AL24" s="10">
        <v>0.10041</v>
      </c>
      <c r="AM24" s="10">
        <v>0.11506</v>
      </c>
      <c r="AN24" s="10">
        <v>0.14029</v>
      </c>
      <c r="AO24" s="10">
        <v>0.10686</v>
      </c>
      <c r="AP24" s="10">
        <v>8.6300000000000002E-2</v>
      </c>
      <c r="AQ24" s="10">
        <v>9.5799999999999996E-2</v>
      </c>
      <c r="AR24" s="10">
        <v>7.4800000000000005E-2</v>
      </c>
      <c r="AS24" s="10">
        <v>5.9800000000000006E-2</v>
      </c>
      <c r="AT24" s="10">
        <v>5.8200000000000002E-2</v>
      </c>
      <c r="AU24" s="10">
        <v>6.6900000000000001E-2</v>
      </c>
      <c r="AV24" s="10">
        <v>8.1199999999999994E-2</v>
      </c>
      <c r="AW24" s="10">
        <v>7.51E-2</v>
      </c>
      <c r="AX24" s="10">
        <v>5.4199999999999998E-2</v>
      </c>
      <c r="AY24" s="10">
        <v>3.4500000000000003E-2</v>
      </c>
      <c r="AZ24" s="10">
        <v>3.0200000000000001E-2</v>
      </c>
      <c r="BA24" s="10">
        <v>4.2900000000000001E-2</v>
      </c>
      <c r="BB24" s="10">
        <v>5.5099999999999996E-2</v>
      </c>
      <c r="BC24" s="10">
        <v>5.0199999999999995E-2</v>
      </c>
      <c r="BD24" s="10">
        <v>5.0700000000000002E-2</v>
      </c>
      <c r="BE24" s="10">
        <v>4.8099999999999997E-2</v>
      </c>
      <c r="BF24" s="10">
        <v>4.6600000000000003E-2</v>
      </c>
      <c r="BG24" s="10">
        <v>5.8499999999999996E-2</v>
      </c>
      <c r="BH24" s="10">
        <v>3.4500000000000003E-2</v>
      </c>
      <c r="BI24" s="10">
        <v>1.6200000000000003E-2</v>
      </c>
      <c r="BJ24" s="10">
        <v>1.0200000000000001E-2</v>
      </c>
      <c r="BK24" s="10">
        <v>1.38E-2</v>
      </c>
      <c r="BL24" s="10">
        <v>3.1600000000000003E-2</v>
      </c>
      <c r="BM24" s="10">
        <v>4.7300000000000002E-2</v>
      </c>
      <c r="BN24" s="10">
        <v>4.41E-2</v>
      </c>
      <c r="BO24" s="10">
        <v>1.4800000000000001E-2</v>
      </c>
      <c r="BP24" s="10">
        <v>1.6000000000000001E-3</v>
      </c>
      <c r="BQ24" s="10">
        <v>1.4000000000000002E-3</v>
      </c>
      <c r="BR24" s="10">
        <v>5.9999999999999995E-4</v>
      </c>
    </row>
    <row r="25" spans="1:72" ht="14.4" x14ac:dyDescent="0.3">
      <c r="A25" s="1" t="s">
        <v>260</v>
      </c>
      <c r="B25" s="82" t="s">
        <v>261</v>
      </c>
      <c r="C25" s="68" t="s">
        <v>19</v>
      </c>
      <c r="D25" s="68" t="s">
        <v>19</v>
      </c>
      <c r="E25" s="19"/>
      <c r="F25" s="10">
        <f t="shared" ref="F25:AK25" si="12">F7-F24</f>
        <v>0.14374603640540254</v>
      </c>
      <c r="G25" s="10">
        <f t="shared" si="12"/>
        <v>0.15356352075207297</v>
      </c>
      <c r="H25" s="10">
        <f t="shared" si="12"/>
        <v>0.12595282511983766</v>
      </c>
      <c r="I25" s="10">
        <f t="shared" si="12"/>
        <v>0.15010416548642547</v>
      </c>
      <c r="J25" s="10">
        <f t="shared" si="12"/>
        <v>0.14431193761787534</v>
      </c>
      <c r="K25" s="10">
        <f t="shared" si="12"/>
        <v>0.11854216468779806</v>
      </c>
      <c r="L25" s="10">
        <f t="shared" si="12"/>
        <v>0.10873516198321895</v>
      </c>
      <c r="M25" s="10">
        <f t="shared" si="12"/>
        <v>0.10808730156428303</v>
      </c>
      <c r="N25" s="10">
        <f t="shared" si="12"/>
        <v>0.12605784472133991</v>
      </c>
      <c r="O25" s="10">
        <f t="shared" si="12"/>
        <v>9.892926044329553E-2</v>
      </c>
      <c r="P25" s="10">
        <f t="shared" si="12"/>
        <v>7.9384004990327994E-2</v>
      </c>
      <c r="Q25" s="10">
        <f t="shared" si="12"/>
        <v>7.6664317592488637E-2</v>
      </c>
      <c r="R25" s="10">
        <f t="shared" si="12"/>
        <v>7.9762255694978038E-2</v>
      </c>
      <c r="S25" s="10">
        <f t="shared" si="12"/>
        <v>7.6423078308895456E-2</v>
      </c>
      <c r="T25" s="10">
        <f t="shared" si="12"/>
        <v>8.1386579558139133E-2</v>
      </c>
      <c r="U25" s="10">
        <f t="shared" si="12"/>
        <v>8.829789249317023E-2</v>
      </c>
      <c r="V25" s="10">
        <f t="shared" si="12"/>
        <v>8.9860692031779613E-2</v>
      </c>
      <c r="W25" s="10">
        <f t="shared" si="12"/>
        <v>9.2647385919159664E-2</v>
      </c>
      <c r="X25" s="10">
        <f t="shared" si="12"/>
        <v>9.864209006945085E-2</v>
      </c>
      <c r="Y25" s="10">
        <f t="shared" si="12"/>
        <v>8.8992502597303486E-2</v>
      </c>
      <c r="Z25" s="10">
        <f t="shared" si="12"/>
        <v>8.1531594369169388E-2</v>
      </c>
      <c r="AA25" s="10">
        <f t="shared" si="12"/>
        <v>7.0462297266926946E-2</v>
      </c>
      <c r="AB25" s="10">
        <f t="shared" si="12"/>
        <v>4.5723428653347067E-2</v>
      </c>
      <c r="AC25" s="10">
        <f t="shared" si="12"/>
        <v>2.8736823727352867E-2</v>
      </c>
      <c r="AD25" s="10">
        <f t="shared" si="12"/>
        <v>5.2153540573712555E-2</v>
      </c>
      <c r="AE25" s="10">
        <f t="shared" si="12"/>
        <v>5.7704551200063556E-2</v>
      </c>
      <c r="AF25" s="10">
        <f t="shared" si="12"/>
        <v>2.8096632073837238E-2</v>
      </c>
      <c r="AG25" s="10">
        <f t="shared" si="12"/>
        <v>5.6481359668314329E-3</v>
      </c>
      <c r="AH25" s="10">
        <f t="shared" si="12"/>
        <v>2.1882903524936687E-2</v>
      </c>
      <c r="AI25" s="10">
        <f t="shared" si="12"/>
        <v>3.293247340114034E-2</v>
      </c>
      <c r="AJ25" s="10">
        <f t="shared" si="12"/>
        <v>3.350885286003797E-2</v>
      </c>
      <c r="AK25" s="10">
        <f t="shared" si="12"/>
        <v>1.5649246888513421E-2</v>
      </c>
      <c r="AL25" s="10">
        <f t="shared" ref="AL25:BQ25" si="13">AL7-AL24</f>
        <v>-2.0305403005831113E-2</v>
      </c>
      <c r="AM25" s="10">
        <f t="shared" si="13"/>
        <v>-4.7699116361590826E-2</v>
      </c>
      <c r="AN25" s="10">
        <f t="shared" si="13"/>
        <v>-7.065768542716569E-2</v>
      </c>
      <c r="AO25" s="10">
        <f t="shared" si="13"/>
        <v>-4.6983979479657115E-2</v>
      </c>
      <c r="AP25" s="10">
        <f t="shared" si="13"/>
        <v>-2.1023514890571193E-2</v>
      </c>
      <c r="AQ25" s="10">
        <f t="shared" si="13"/>
        <v>-1.8707044354936295E-2</v>
      </c>
      <c r="AR25" s="10">
        <f t="shared" si="13"/>
        <v>8.9964867766975654E-4</v>
      </c>
      <c r="AS25" s="10">
        <f t="shared" si="13"/>
        <v>9.1925510699552154E-3</v>
      </c>
      <c r="AT25" s="10">
        <f t="shared" si="13"/>
        <v>1.4322722925103643E-2</v>
      </c>
      <c r="AU25" s="10">
        <f t="shared" si="13"/>
        <v>1.0426709710848123E-2</v>
      </c>
      <c r="AV25" s="10">
        <f t="shared" si="13"/>
        <v>-5.2630507517121838E-3</v>
      </c>
      <c r="AW25" s="10">
        <f t="shared" si="13"/>
        <v>-3.0992648946336215E-3</v>
      </c>
      <c r="AX25" s="10">
        <f t="shared" si="13"/>
        <v>1.5175725449514635E-2</v>
      </c>
      <c r="AY25" s="10">
        <f t="shared" si="13"/>
        <v>3.460071148592736E-2</v>
      </c>
      <c r="AZ25" s="10">
        <f t="shared" si="13"/>
        <v>3.9418153175052401E-2</v>
      </c>
      <c r="BA25" s="10">
        <f t="shared" si="13"/>
        <v>3.2309740086175091E-2</v>
      </c>
      <c r="BB25" s="10">
        <f t="shared" si="13"/>
        <v>2.3677192542609832E-2</v>
      </c>
      <c r="BC25" s="10">
        <f t="shared" si="13"/>
        <v>3.2797810858158499E-2</v>
      </c>
      <c r="BD25" s="10">
        <f t="shared" si="13"/>
        <v>3.5339875264558764E-2</v>
      </c>
      <c r="BE25" s="10">
        <f t="shared" si="13"/>
        <v>3.1279445982251707E-2</v>
      </c>
      <c r="BF25" s="10">
        <f t="shared" si="13"/>
        <v>3.2157840598749599E-2</v>
      </c>
      <c r="BG25" s="10">
        <f t="shared" si="13"/>
        <v>1.5255049062107312E-2</v>
      </c>
      <c r="BH25" s="10">
        <f t="shared" si="13"/>
        <v>3.1429291387084793E-2</v>
      </c>
      <c r="BI25" s="10">
        <f t="shared" si="13"/>
        <v>4.9320678888437913E-2</v>
      </c>
      <c r="BJ25" s="10">
        <f t="shared" si="13"/>
        <v>5.6929641638587478E-2</v>
      </c>
      <c r="BK25" s="10">
        <f t="shared" si="13"/>
        <v>6.3717195414237593E-2</v>
      </c>
      <c r="BL25" s="10">
        <f t="shared" si="13"/>
        <v>5.0595330303336086E-2</v>
      </c>
      <c r="BM25" s="10">
        <f t="shared" si="13"/>
        <v>3.4921749948446469E-2</v>
      </c>
      <c r="BN25" s="10">
        <f t="shared" si="13"/>
        <v>2.6924219335660637E-2</v>
      </c>
      <c r="BO25" s="10">
        <f t="shared" si="13"/>
        <v>4.1149314688168855E-2</v>
      </c>
      <c r="BP25" s="10">
        <f t="shared" si="13"/>
        <v>5.6340245117883214E-2</v>
      </c>
      <c r="BQ25" s="10">
        <f t="shared" si="13"/>
        <v>7.1476547747278657E-2</v>
      </c>
      <c r="BR25" s="10">
        <f t="shared" ref="BR25:CW25" si="14">BR7-BR24</f>
        <v>7.4773104079366451E-2</v>
      </c>
    </row>
    <row r="26" spans="1:72" ht="14.4" x14ac:dyDescent="0.3">
      <c r="B26" s="7"/>
      <c r="C26" s="68" t="s">
        <v>286</v>
      </c>
      <c r="D26" s="68" t="s">
        <v>286</v>
      </c>
      <c r="E26" s="83"/>
      <c r="F26" s="83"/>
      <c r="G26" s="83">
        <v>0.30622076533557502</v>
      </c>
      <c r="H26" s="83">
        <v>0.27053430225915498</v>
      </c>
      <c r="I26" s="83">
        <v>0.237222631529379</v>
      </c>
      <c r="J26" s="83">
        <v>0.20528320247029999</v>
      </c>
      <c r="K26" s="83">
        <v>0.175972238090677</v>
      </c>
      <c r="L26" s="83">
        <v>0.15204612937456699</v>
      </c>
      <c r="M26" s="83">
        <v>0.13386454492511901</v>
      </c>
      <c r="N26" s="83">
        <v>0.12069069205173499</v>
      </c>
      <c r="O26" s="83">
        <v>0.11043413261457</v>
      </c>
      <c r="P26" s="83">
        <v>0.104269521553258</v>
      </c>
      <c r="Q26" s="83">
        <v>0.10241517248128899</v>
      </c>
      <c r="R26" s="83">
        <v>0.10434070379662</v>
      </c>
      <c r="S26" s="83">
        <v>0.10756258217239401</v>
      </c>
      <c r="T26" s="83">
        <v>0.11231886724378901</v>
      </c>
      <c r="U26" s="83">
        <v>0.11741799282426001</v>
      </c>
      <c r="V26" s="83">
        <v>0.120897204054823</v>
      </c>
      <c r="W26" s="83">
        <v>0.121983566148251</v>
      </c>
      <c r="X26" s="83">
        <v>0.12028517227676901</v>
      </c>
      <c r="Y26" s="83">
        <v>0.116038279951119</v>
      </c>
      <c r="Z26" s="83">
        <v>0.110896294959277</v>
      </c>
      <c r="AA26" s="83">
        <v>0.106842240289706</v>
      </c>
      <c r="AB26" s="83">
        <v>0.10471017598127701</v>
      </c>
      <c r="AC26" s="83">
        <v>0.10554973966996301</v>
      </c>
      <c r="AD26" s="83">
        <v>0.10935746723192601</v>
      </c>
      <c r="AE26" s="83">
        <v>0.114037397146627</v>
      </c>
      <c r="AF26" s="83">
        <v>0.118225993221208</v>
      </c>
      <c r="AG26" s="83">
        <v>0.121400345291345</v>
      </c>
      <c r="AH26" s="83">
        <v>0.123157283260501</v>
      </c>
      <c r="AI26" s="83">
        <v>0.121726633579226</v>
      </c>
      <c r="AJ26" s="83">
        <v>0.116350649865466</v>
      </c>
      <c r="AK26" s="83">
        <v>0.107204319401374</v>
      </c>
      <c r="AL26" s="83">
        <v>9.5794122970448495E-2</v>
      </c>
      <c r="AM26" s="83">
        <v>8.4459498162173199E-2</v>
      </c>
      <c r="AN26" s="83">
        <v>7.4791941336328494E-2</v>
      </c>
      <c r="AO26" s="83">
        <v>6.6938353871072998E-2</v>
      </c>
      <c r="AP26" s="83">
        <v>6.1424717731201797E-2</v>
      </c>
      <c r="AQ26" s="83">
        <v>5.7433631342799302E-2</v>
      </c>
      <c r="AR26" s="83">
        <v>5.4327445954637898E-2</v>
      </c>
      <c r="AS26" s="83">
        <v>5.2506176502062102E-2</v>
      </c>
      <c r="AT26" s="83">
        <v>5.2024563460869797E-2</v>
      </c>
      <c r="AU26" s="83">
        <v>5.2001285541838402E-2</v>
      </c>
      <c r="AV26" s="83">
        <v>5.2165775821136601E-2</v>
      </c>
      <c r="AW26" s="83">
        <v>5.33224545195147E-2</v>
      </c>
      <c r="AX26" s="83">
        <v>5.5884084099511497E-2</v>
      </c>
      <c r="AY26" s="83">
        <v>5.9547202478470902E-2</v>
      </c>
      <c r="AZ26" s="83">
        <v>6.3520506732741303E-2</v>
      </c>
      <c r="BA26" s="83">
        <v>6.6605221913886695E-2</v>
      </c>
      <c r="BB26" s="83">
        <v>6.7741368006143596E-2</v>
      </c>
      <c r="BC26" s="83">
        <v>6.6845912774609606E-2</v>
      </c>
      <c r="BD26" s="83">
        <v>6.4655410304320801E-2</v>
      </c>
      <c r="BE26" s="83">
        <v>6.22559555525675E-2</v>
      </c>
      <c r="BF26" s="83">
        <v>6.1313089373596599E-2</v>
      </c>
      <c r="BG26" s="83">
        <v>6.2327793066129497E-2</v>
      </c>
      <c r="BH26" s="83">
        <v>6.5769917035151504E-2</v>
      </c>
      <c r="BI26" s="83">
        <v>7.1219033754986699E-2</v>
      </c>
      <c r="BJ26" s="83">
        <v>7.7131016529607702E-2</v>
      </c>
      <c r="BK26" s="83">
        <v>8.20195483254373E-2</v>
      </c>
      <c r="BL26" s="83">
        <v>8.4699001943601901E-2</v>
      </c>
      <c r="BM26" s="83">
        <v>8.5859554701974095E-2</v>
      </c>
      <c r="BN26" s="83">
        <v>8.7612393898989893E-2</v>
      </c>
      <c r="BO26" s="83">
        <v>9.2779111286066099E-2</v>
      </c>
      <c r="BP26" s="83">
        <v>0.102281174675629</v>
      </c>
      <c r="BQ26" s="83">
        <v>0.114075260767245</v>
      </c>
      <c r="BR26" s="83">
        <v>0.126111234513724</v>
      </c>
    </row>
    <row r="27" spans="1:72" ht="14.4" x14ac:dyDescent="0.3">
      <c r="B27" s="7"/>
      <c r="C27" s="68" t="s">
        <v>287</v>
      </c>
      <c r="D27" s="68" t="s">
        <v>287</v>
      </c>
      <c r="E27" s="83"/>
      <c r="F27" s="83"/>
      <c r="G27" s="83"/>
      <c r="H27" s="83">
        <f>G26</f>
        <v>0.30622076533557502</v>
      </c>
      <c r="I27" s="83">
        <f t="shared" ref="I27:BR27" si="15">H26</f>
        <v>0.27053430225915498</v>
      </c>
      <c r="J27" s="83">
        <f t="shared" si="15"/>
        <v>0.237222631529379</v>
      </c>
      <c r="K27" s="83">
        <f t="shared" si="15"/>
        <v>0.20528320247029999</v>
      </c>
      <c r="L27" s="83">
        <f t="shared" si="15"/>
        <v>0.175972238090677</v>
      </c>
      <c r="M27" s="83">
        <f t="shared" si="15"/>
        <v>0.15204612937456699</v>
      </c>
      <c r="N27" s="83">
        <f t="shared" si="15"/>
        <v>0.13386454492511901</v>
      </c>
      <c r="O27" s="83">
        <f t="shared" si="15"/>
        <v>0.12069069205173499</v>
      </c>
      <c r="P27" s="83">
        <f t="shared" si="15"/>
        <v>0.11043413261457</v>
      </c>
      <c r="Q27" s="83">
        <f t="shared" si="15"/>
        <v>0.104269521553258</v>
      </c>
      <c r="R27" s="83">
        <f t="shared" si="15"/>
        <v>0.10241517248128899</v>
      </c>
      <c r="S27" s="83">
        <f t="shared" si="15"/>
        <v>0.10434070379662</v>
      </c>
      <c r="T27" s="83">
        <f t="shared" si="15"/>
        <v>0.10756258217239401</v>
      </c>
      <c r="U27" s="83">
        <f t="shared" si="15"/>
        <v>0.11231886724378901</v>
      </c>
      <c r="V27" s="83">
        <f t="shared" si="15"/>
        <v>0.11741799282426001</v>
      </c>
      <c r="W27" s="83">
        <f t="shared" si="15"/>
        <v>0.120897204054823</v>
      </c>
      <c r="X27" s="83">
        <f t="shared" si="15"/>
        <v>0.121983566148251</v>
      </c>
      <c r="Y27" s="83">
        <f t="shared" si="15"/>
        <v>0.12028517227676901</v>
      </c>
      <c r="Z27" s="83">
        <f t="shared" si="15"/>
        <v>0.116038279951119</v>
      </c>
      <c r="AA27" s="83">
        <f t="shared" si="15"/>
        <v>0.110896294959277</v>
      </c>
      <c r="AB27" s="83">
        <f t="shared" si="15"/>
        <v>0.106842240289706</v>
      </c>
      <c r="AC27" s="83">
        <f t="shared" si="15"/>
        <v>0.10471017598127701</v>
      </c>
      <c r="AD27" s="83">
        <f t="shared" si="15"/>
        <v>0.10554973966996301</v>
      </c>
      <c r="AE27" s="83">
        <f t="shared" si="15"/>
        <v>0.10935746723192601</v>
      </c>
      <c r="AF27" s="83">
        <f t="shared" si="15"/>
        <v>0.114037397146627</v>
      </c>
      <c r="AG27" s="83">
        <f t="shared" si="15"/>
        <v>0.118225993221208</v>
      </c>
      <c r="AH27" s="83">
        <f t="shared" si="15"/>
        <v>0.121400345291345</v>
      </c>
      <c r="AI27" s="83">
        <f t="shared" si="15"/>
        <v>0.123157283260501</v>
      </c>
      <c r="AJ27" s="83">
        <f t="shared" si="15"/>
        <v>0.121726633579226</v>
      </c>
      <c r="AK27" s="83">
        <f t="shared" si="15"/>
        <v>0.116350649865466</v>
      </c>
      <c r="AL27" s="83">
        <f t="shared" si="15"/>
        <v>0.107204319401374</v>
      </c>
      <c r="AM27" s="83">
        <f t="shared" si="15"/>
        <v>9.5794122970448495E-2</v>
      </c>
      <c r="AN27" s="83">
        <f t="shared" si="15"/>
        <v>8.4459498162173199E-2</v>
      </c>
      <c r="AO27" s="83">
        <f t="shared" si="15"/>
        <v>7.4791941336328494E-2</v>
      </c>
      <c r="AP27" s="83">
        <f t="shared" si="15"/>
        <v>6.6938353871072998E-2</v>
      </c>
      <c r="AQ27" s="83">
        <f t="shared" si="15"/>
        <v>6.1424717731201797E-2</v>
      </c>
      <c r="AR27" s="83">
        <f t="shared" si="15"/>
        <v>5.7433631342799302E-2</v>
      </c>
      <c r="AS27" s="83">
        <f t="shared" si="15"/>
        <v>5.4327445954637898E-2</v>
      </c>
      <c r="AT27" s="83">
        <f t="shared" si="15"/>
        <v>5.2506176502062102E-2</v>
      </c>
      <c r="AU27" s="83">
        <f t="shared" si="15"/>
        <v>5.2024563460869797E-2</v>
      </c>
      <c r="AV27" s="83">
        <f t="shared" si="15"/>
        <v>5.2001285541838402E-2</v>
      </c>
      <c r="AW27" s="83">
        <f t="shared" si="15"/>
        <v>5.2165775821136601E-2</v>
      </c>
      <c r="AX27" s="83">
        <f t="shared" si="15"/>
        <v>5.33224545195147E-2</v>
      </c>
      <c r="AY27" s="83">
        <f t="shared" si="15"/>
        <v>5.5884084099511497E-2</v>
      </c>
      <c r="AZ27" s="83">
        <f t="shared" si="15"/>
        <v>5.9547202478470902E-2</v>
      </c>
      <c r="BA27" s="83">
        <f t="shared" si="15"/>
        <v>6.3520506732741303E-2</v>
      </c>
      <c r="BB27" s="83">
        <f t="shared" si="15"/>
        <v>6.6605221913886695E-2</v>
      </c>
      <c r="BC27" s="83">
        <f t="shared" si="15"/>
        <v>6.7741368006143596E-2</v>
      </c>
      <c r="BD27" s="83">
        <f t="shared" si="15"/>
        <v>6.6845912774609606E-2</v>
      </c>
      <c r="BE27" s="83">
        <f t="shared" si="15"/>
        <v>6.4655410304320801E-2</v>
      </c>
      <c r="BF27" s="83">
        <f t="shared" si="15"/>
        <v>6.22559555525675E-2</v>
      </c>
      <c r="BG27" s="83">
        <f t="shared" si="15"/>
        <v>6.1313089373596599E-2</v>
      </c>
      <c r="BH27" s="83">
        <f t="shared" si="15"/>
        <v>6.2327793066129497E-2</v>
      </c>
      <c r="BI27" s="83">
        <f t="shared" si="15"/>
        <v>6.5769917035151504E-2</v>
      </c>
      <c r="BJ27" s="83">
        <f t="shared" si="15"/>
        <v>7.1219033754986699E-2</v>
      </c>
      <c r="BK27" s="83">
        <f t="shared" si="15"/>
        <v>7.7131016529607702E-2</v>
      </c>
      <c r="BL27" s="83">
        <f t="shared" si="15"/>
        <v>8.20195483254373E-2</v>
      </c>
      <c r="BM27" s="83">
        <f t="shared" si="15"/>
        <v>8.4699001943601901E-2</v>
      </c>
      <c r="BN27" s="83">
        <f t="shared" si="15"/>
        <v>8.5859554701974095E-2</v>
      </c>
      <c r="BO27" s="83">
        <f t="shared" si="15"/>
        <v>8.7612393898989893E-2</v>
      </c>
      <c r="BP27" s="83">
        <f t="shared" si="15"/>
        <v>9.2779111286066099E-2</v>
      </c>
      <c r="BQ27" s="83">
        <f t="shared" si="15"/>
        <v>0.102281174675629</v>
      </c>
      <c r="BR27" s="83">
        <f t="shared" si="15"/>
        <v>0.114075260767245</v>
      </c>
      <c r="BS27" s="83"/>
    </row>
    <row r="28" spans="1:72" ht="14.4" x14ac:dyDescent="0.3">
      <c r="A28" s="1" t="s">
        <v>262</v>
      </c>
      <c r="B28" s="7" t="s">
        <v>299</v>
      </c>
      <c r="C28" s="1" t="s">
        <v>18</v>
      </c>
      <c r="D28" s="1" t="s">
        <v>18</v>
      </c>
      <c r="E28" s="3"/>
      <c r="G28" s="12">
        <f t="shared" ref="G28:AL28" si="16">G21-G24</f>
        <v>0.30428453732815791</v>
      </c>
      <c r="H28" s="12">
        <f t="shared" si="16"/>
        <v>-0.13035291420477785</v>
      </c>
      <c r="I28" s="12">
        <f t="shared" si="16"/>
        <v>0.42700643202486493</v>
      </c>
      <c r="J28" s="12">
        <f t="shared" si="16"/>
        <v>5.8719480264395475E-2</v>
      </c>
      <c r="K28" s="12">
        <f t="shared" si="16"/>
        <v>-0.10418761196412543</v>
      </c>
      <c r="L28" s="12">
        <f t="shared" si="16"/>
        <v>-2.6173636049180334E-3</v>
      </c>
      <c r="M28" s="12">
        <f t="shared" si="16"/>
        <v>-2.2826796656494015E-2</v>
      </c>
      <c r="N28" s="12">
        <f t="shared" si="16"/>
        <v>0.45078152881907868</v>
      </c>
      <c r="O28" s="12">
        <f t="shared" si="16"/>
        <v>-0.14450891015619377</v>
      </c>
      <c r="P28" s="12">
        <f t="shared" si="16"/>
        <v>-7.7626258585891825E-2</v>
      </c>
      <c r="Q28" s="12">
        <f t="shared" si="16"/>
        <v>-0.11682976824313573</v>
      </c>
      <c r="R28" s="12">
        <f t="shared" si="16"/>
        <v>0.28729547190682969</v>
      </c>
      <c r="S28" s="12">
        <f t="shared" si="16"/>
        <v>-3.4445949114381716E-2</v>
      </c>
      <c r="T28" s="12">
        <f t="shared" si="16"/>
        <v>4.6016687903433849E-2</v>
      </c>
      <c r="U28" s="12">
        <f t="shared" si="16"/>
        <v>0.21802980440920561</v>
      </c>
      <c r="V28" s="12">
        <f t="shared" si="16"/>
        <v>0.13695802621985054</v>
      </c>
      <c r="W28" s="12">
        <f t="shared" si="16"/>
        <v>0.14977608515762</v>
      </c>
      <c r="X28" s="12">
        <f t="shared" si="16"/>
        <v>0.21824757374461898</v>
      </c>
      <c r="Y28" s="12">
        <f t="shared" si="16"/>
        <v>8.4258286107621455E-2</v>
      </c>
      <c r="Z28" s="12">
        <f t="shared" si="16"/>
        <v>-4.5452470632261009E-2</v>
      </c>
      <c r="AA28" s="12">
        <f t="shared" si="16"/>
        <v>5.0283475955469267E-2</v>
      </c>
      <c r="AB28" s="12">
        <f t="shared" si="16"/>
        <v>-7.585297133976833E-2</v>
      </c>
      <c r="AC28" s="12">
        <f t="shared" si="16"/>
        <v>-0.17518145594467521</v>
      </c>
      <c r="AD28" s="12">
        <f t="shared" si="16"/>
        <v>8.7543939094083589E-2</v>
      </c>
      <c r="AE28" s="12">
        <f t="shared" si="16"/>
        <v>0.12738635773610299</v>
      </c>
      <c r="AF28" s="12">
        <f t="shared" si="16"/>
        <v>3.659337043676085E-2</v>
      </c>
      <c r="AG28" s="12">
        <f t="shared" si="16"/>
        <v>-0.15553143614407788</v>
      </c>
      <c r="AH28" s="12">
        <f t="shared" si="16"/>
        <v>-7.1733417282823439E-3</v>
      </c>
      <c r="AI28" s="12">
        <f t="shared" si="16"/>
        <v>0.12896074735069821</v>
      </c>
      <c r="AJ28" s="12">
        <f t="shared" si="16"/>
        <v>8.2046972032776E-2</v>
      </c>
      <c r="AK28" s="12">
        <f t="shared" si="16"/>
        <v>5.9098326055769673E-2</v>
      </c>
      <c r="AL28" s="12">
        <f t="shared" si="16"/>
        <v>-9.9254446501264304E-2</v>
      </c>
      <c r="AM28" s="12">
        <f t="shared" ref="AM28:BR28" si="17">AM21-AM24</f>
        <v>-0.17275377375211509</v>
      </c>
      <c r="AN28" s="12">
        <f t="shared" si="17"/>
        <v>-3.0126941338687166E-2</v>
      </c>
      <c r="AO28" s="12">
        <f t="shared" si="17"/>
        <v>-0.14027401311443027</v>
      </c>
      <c r="AP28" s="12">
        <f t="shared" si="17"/>
        <v>0.12036415066877158</v>
      </c>
      <c r="AQ28" s="12">
        <f t="shared" si="17"/>
        <v>0.16128339108277573</v>
      </c>
      <c r="AR28" s="12">
        <f t="shared" si="17"/>
        <v>7.813775561874417E-3</v>
      </c>
      <c r="AS28" s="12">
        <f t="shared" si="17"/>
        <v>-6.2922592822101192E-2</v>
      </c>
      <c r="AT28" s="12">
        <f t="shared" si="17"/>
        <v>7.4232436430856918E-2</v>
      </c>
      <c r="AU28" s="12">
        <f t="shared" si="17"/>
        <v>6.6355420973792253E-2</v>
      </c>
      <c r="AV28" s="12">
        <f t="shared" si="17"/>
        <v>-1.1451200896229405E-2</v>
      </c>
      <c r="AW28" s="12">
        <f t="shared" si="17"/>
        <v>-5.0556095413396826E-2</v>
      </c>
      <c r="AX28" s="12">
        <f t="shared" si="17"/>
        <v>-1.7185975702291897E-2</v>
      </c>
      <c r="AY28" s="12">
        <f t="shared" si="17"/>
        <v>4.0490776582276025E-2</v>
      </c>
      <c r="AZ28" s="12">
        <f t="shared" si="17"/>
        <v>5.9880624814904013E-2</v>
      </c>
      <c r="BA28" s="12">
        <f t="shared" si="17"/>
        <v>0.1405304860350543</v>
      </c>
      <c r="BB28" s="12">
        <f t="shared" si="17"/>
        <v>8.9952419427463889E-2</v>
      </c>
      <c r="BC28" s="12">
        <f t="shared" si="17"/>
        <v>0.18476825570050368</v>
      </c>
      <c r="BD28" s="12">
        <f t="shared" si="17"/>
        <v>0.12578785889732291</v>
      </c>
      <c r="BE28" s="12">
        <f t="shared" si="17"/>
        <v>1.2599689047568627E-2</v>
      </c>
      <c r="BF28" s="12">
        <f t="shared" si="17"/>
        <v>7.5943371685886635E-2</v>
      </c>
      <c r="BG28" s="12">
        <f t="shared" si="17"/>
        <v>-9.2378916644732662E-3</v>
      </c>
      <c r="BH28" s="12">
        <f t="shared" si="17"/>
        <v>-2.6329543346882436E-2</v>
      </c>
      <c r="BI28" s="12">
        <f t="shared" si="17"/>
        <v>6.102045403327408E-2</v>
      </c>
      <c r="BJ28" s="12">
        <f t="shared" si="17"/>
        <v>8.9568382798114909E-2</v>
      </c>
      <c r="BK28" s="12">
        <f t="shared" si="17"/>
        <v>0.22019438615982345</v>
      </c>
      <c r="BL28" s="12">
        <f t="shared" si="17"/>
        <v>0.13442402095016848</v>
      </c>
      <c r="BM28" s="12">
        <f t="shared" si="17"/>
        <v>4.8784336359816279E-2</v>
      </c>
      <c r="BN28" s="12">
        <f t="shared" si="17"/>
        <v>-0.11838632023290407</v>
      </c>
      <c r="BO28" s="12">
        <f t="shared" si="17"/>
        <v>-0.20803625012382257</v>
      </c>
      <c r="BP28" s="12">
        <f t="shared" si="17"/>
        <v>0.12874514527972389</v>
      </c>
      <c r="BQ28" s="12">
        <f t="shared" si="17"/>
        <v>0.34011928004860437</v>
      </c>
      <c r="BR28" s="12">
        <f t="shared" si="17"/>
        <v>8.0205881312647151E-2</v>
      </c>
    </row>
    <row r="29" spans="1:72" ht="14.4" x14ac:dyDescent="0.3">
      <c r="B29" s="1" t="s">
        <v>264</v>
      </c>
      <c r="C29" s="20" t="s">
        <v>297</v>
      </c>
      <c r="D29" s="20" t="s">
        <v>297</v>
      </c>
      <c r="E29" s="13"/>
      <c r="F29" s="6"/>
      <c r="G29" s="6">
        <v>0.15210622652831399</v>
      </c>
      <c r="H29" s="6">
        <v>0.13192995709819899</v>
      </c>
      <c r="I29" s="6">
        <v>0.11327562540280101</v>
      </c>
      <c r="J29" s="6">
        <v>9.5041869605855797E-2</v>
      </c>
      <c r="K29" s="6">
        <v>7.9264571617068694E-2</v>
      </c>
      <c r="L29" s="6">
        <v>6.7616194650088807E-2</v>
      </c>
      <c r="M29" s="6">
        <v>5.9934556202393803E-2</v>
      </c>
      <c r="N29" s="6">
        <v>5.5355311824960597E-2</v>
      </c>
      <c r="O29" s="6">
        <v>5.2186771506742197E-2</v>
      </c>
      <c r="P29" s="6">
        <v>5.2691692118441699E-2</v>
      </c>
      <c r="Q29" s="6">
        <v>5.71659628156952E-2</v>
      </c>
      <c r="R29" s="6">
        <v>6.4602555832954003E-2</v>
      </c>
      <c r="S29" s="6">
        <v>7.2254783776512704E-2</v>
      </c>
      <c r="T29" s="6">
        <v>7.9602933694336103E-2</v>
      </c>
      <c r="U29" s="6">
        <v>8.5060744796624302E-2</v>
      </c>
      <c r="V29" s="6">
        <v>8.6705926956633705E-2</v>
      </c>
      <c r="W29" s="6">
        <v>8.3945582599654706E-2</v>
      </c>
      <c r="X29" s="6">
        <v>7.6689754881411096E-2</v>
      </c>
      <c r="Y29" s="6">
        <v>6.55070311316302E-2</v>
      </c>
      <c r="Z29" s="6">
        <v>5.2381101131225197E-2</v>
      </c>
      <c r="AA29" s="6">
        <v>3.9483584349793197E-2</v>
      </c>
      <c r="AB29" s="6">
        <v>2.80072892456187E-2</v>
      </c>
      <c r="AC29" s="6">
        <v>1.92531884334885E-2</v>
      </c>
      <c r="AD29" s="6">
        <v>1.3483181635733201E-2</v>
      </c>
      <c r="AE29" s="6">
        <v>9.0146366903484498E-3</v>
      </c>
      <c r="AF29" s="6">
        <v>4.9050896189725404E-3</v>
      </c>
      <c r="AG29" s="6">
        <v>1.39593007634034E-3</v>
      </c>
      <c r="AH29" s="6">
        <v>-9.5450317900302702E-4</v>
      </c>
      <c r="AI29" s="6">
        <v>-3.1568306892758502E-3</v>
      </c>
      <c r="AJ29" s="6">
        <v>-6.2841279649063801E-3</v>
      </c>
      <c r="AK29" s="6">
        <v>-1.0087902209430099E-2</v>
      </c>
      <c r="AL29" s="6">
        <v>-1.34368193467335E-2</v>
      </c>
      <c r="AM29" s="6">
        <v>-1.45076662786086E-2</v>
      </c>
      <c r="AN29" s="6">
        <v>-1.2335861713380299E-2</v>
      </c>
      <c r="AO29" s="6">
        <v>-7.5397476965874E-3</v>
      </c>
      <c r="AP29" s="6">
        <v>-9.1530765663465005E-4</v>
      </c>
      <c r="AQ29" s="6">
        <v>5.4138724550388401E-3</v>
      </c>
      <c r="AR29" s="6">
        <v>1.05373597635603E-2</v>
      </c>
      <c r="AS29" s="6">
        <v>1.51035826695068E-2</v>
      </c>
      <c r="AT29" s="6">
        <v>1.9733595975819501E-2</v>
      </c>
      <c r="AU29" s="6">
        <v>2.4268418658744802E-2</v>
      </c>
      <c r="AV29" s="6">
        <v>2.9093733734770501E-2</v>
      </c>
      <c r="AW29" s="6">
        <v>3.5016540033797401E-2</v>
      </c>
      <c r="AX29" s="6">
        <v>4.2437899048378303E-2</v>
      </c>
      <c r="AY29" s="6">
        <v>5.09027068707281E-2</v>
      </c>
      <c r="AZ29" s="6">
        <v>5.9359480602577799E-2</v>
      </c>
      <c r="BA29" s="6">
        <v>6.6652710276951299E-2</v>
      </c>
      <c r="BB29" s="6">
        <v>7.1632291120846597E-2</v>
      </c>
      <c r="BC29" s="6">
        <v>7.3886591258492104E-2</v>
      </c>
      <c r="BD29" s="6">
        <v>7.3187655902908003E-2</v>
      </c>
      <c r="BE29" s="6">
        <v>7.0416664354529396E-2</v>
      </c>
      <c r="BF29" s="6">
        <v>6.6980919354762497E-2</v>
      </c>
      <c r="BG29" s="6">
        <v>6.3709557001468103E-2</v>
      </c>
      <c r="BH29" s="6">
        <v>6.1520904198959399E-2</v>
      </c>
      <c r="BI29" s="6">
        <v>6.0604192281534998E-2</v>
      </c>
      <c r="BJ29" s="6">
        <v>6.02704435415038E-2</v>
      </c>
      <c r="BK29" s="6">
        <v>5.9834638348359399E-2</v>
      </c>
      <c r="BL29" s="6">
        <v>5.8905052636180497E-2</v>
      </c>
      <c r="BM29" s="6">
        <v>5.8693615955562099E-2</v>
      </c>
      <c r="BN29" s="6">
        <v>6.1167207330737203E-2</v>
      </c>
      <c r="BO29" s="6">
        <v>6.8193769626383502E-2</v>
      </c>
      <c r="BP29" s="6">
        <v>7.9845573633871195E-2</v>
      </c>
      <c r="BQ29" s="6">
        <v>9.3432952448306697E-2</v>
      </c>
      <c r="BR29" s="6">
        <v>0.106754783428457</v>
      </c>
      <c r="BS29" s="78"/>
      <c r="BT29" s="78"/>
    </row>
    <row r="30" spans="1:72" ht="27" x14ac:dyDescent="0.3">
      <c r="B30" s="7" t="s">
        <v>263</v>
      </c>
      <c r="C30" s="20" t="s">
        <v>298</v>
      </c>
      <c r="D30" s="20" t="s">
        <v>298</v>
      </c>
      <c r="E30" s="13"/>
      <c r="F30" s="6"/>
      <c r="G30" s="6"/>
      <c r="H30" s="6">
        <f t="shared" ref="H30:AM30" si="18">G29</f>
        <v>0.15210622652831399</v>
      </c>
      <c r="I30" s="6">
        <f t="shared" si="18"/>
        <v>0.13192995709819899</v>
      </c>
      <c r="J30" s="6">
        <f t="shared" si="18"/>
        <v>0.11327562540280101</v>
      </c>
      <c r="K30" s="6">
        <f t="shared" si="18"/>
        <v>9.5041869605855797E-2</v>
      </c>
      <c r="L30" s="6">
        <f t="shared" si="18"/>
        <v>7.9264571617068694E-2</v>
      </c>
      <c r="M30" s="6">
        <f t="shared" si="18"/>
        <v>6.7616194650088807E-2</v>
      </c>
      <c r="N30" s="6">
        <f t="shared" si="18"/>
        <v>5.9934556202393803E-2</v>
      </c>
      <c r="O30" s="6">
        <f t="shared" si="18"/>
        <v>5.5355311824960597E-2</v>
      </c>
      <c r="P30" s="6">
        <f t="shared" si="18"/>
        <v>5.2186771506742197E-2</v>
      </c>
      <c r="Q30" s="6">
        <f t="shared" si="18"/>
        <v>5.2691692118441699E-2</v>
      </c>
      <c r="R30" s="6">
        <f t="shared" si="18"/>
        <v>5.71659628156952E-2</v>
      </c>
      <c r="S30" s="6">
        <f t="shared" si="18"/>
        <v>6.4602555832954003E-2</v>
      </c>
      <c r="T30" s="6">
        <f t="shared" si="18"/>
        <v>7.2254783776512704E-2</v>
      </c>
      <c r="U30" s="6">
        <f t="shared" si="18"/>
        <v>7.9602933694336103E-2</v>
      </c>
      <c r="V30" s="6">
        <f t="shared" si="18"/>
        <v>8.5060744796624302E-2</v>
      </c>
      <c r="W30" s="6">
        <f t="shared" si="18"/>
        <v>8.6705926956633705E-2</v>
      </c>
      <c r="X30" s="6">
        <f t="shared" si="18"/>
        <v>8.3945582599654706E-2</v>
      </c>
      <c r="Y30" s="6">
        <f t="shared" si="18"/>
        <v>7.6689754881411096E-2</v>
      </c>
      <c r="Z30" s="6">
        <f t="shared" si="18"/>
        <v>6.55070311316302E-2</v>
      </c>
      <c r="AA30" s="6">
        <f t="shared" si="18"/>
        <v>5.2381101131225197E-2</v>
      </c>
      <c r="AB30" s="6">
        <f t="shared" si="18"/>
        <v>3.9483584349793197E-2</v>
      </c>
      <c r="AC30" s="6">
        <f t="shared" si="18"/>
        <v>2.80072892456187E-2</v>
      </c>
      <c r="AD30" s="6">
        <f t="shared" si="18"/>
        <v>1.92531884334885E-2</v>
      </c>
      <c r="AE30" s="6">
        <f t="shared" si="18"/>
        <v>1.3483181635733201E-2</v>
      </c>
      <c r="AF30" s="6">
        <f t="shared" si="18"/>
        <v>9.0146366903484498E-3</v>
      </c>
      <c r="AG30" s="6">
        <f t="shared" si="18"/>
        <v>4.9050896189725404E-3</v>
      </c>
      <c r="AH30" s="6">
        <f t="shared" si="18"/>
        <v>1.39593007634034E-3</v>
      </c>
      <c r="AI30" s="6">
        <f t="shared" si="18"/>
        <v>-9.5450317900302702E-4</v>
      </c>
      <c r="AJ30" s="6">
        <f t="shared" si="18"/>
        <v>-3.1568306892758502E-3</v>
      </c>
      <c r="AK30" s="6">
        <f t="shared" si="18"/>
        <v>-6.2841279649063801E-3</v>
      </c>
      <c r="AL30" s="6">
        <f t="shared" si="18"/>
        <v>-1.0087902209430099E-2</v>
      </c>
      <c r="AM30" s="6">
        <f t="shared" si="18"/>
        <v>-1.34368193467335E-2</v>
      </c>
      <c r="AN30" s="6">
        <f t="shared" ref="AN30:BR30" si="19">AM29</f>
        <v>-1.45076662786086E-2</v>
      </c>
      <c r="AO30" s="6">
        <f t="shared" si="19"/>
        <v>-1.2335861713380299E-2</v>
      </c>
      <c r="AP30" s="6">
        <f t="shared" si="19"/>
        <v>-7.5397476965874E-3</v>
      </c>
      <c r="AQ30" s="6">
        <f t="shared" si="19"/>
        <v>-9.1530765663465005E-4</v>
      </c>
      <c r="AR30" s="6">
        <f t="shared" si="19"/>
        <v>5.4138724550388401E-3</v>
      </c>
      <c r="AS30" s="6">
        <f t="shared" si="19"/>
        <v>1.05373597635603E-2</v>
      </c>
      <c r="AT30" s="6">
        <f t="shared" si="19"/>
        <v>1.51035826695068E-2</v>
      </c>
      <c r="AU30" s="6">
        <f t="shared" si="19"/>
        <v>1.9733595975819501E-2</v>
      </c>
      <c r="AV30" s="6">
        <f t="shared" si="19"/>
        <v>2.4268418658744802E-2</v>
      </c>
      <c r="AW30" s="6">
        <f t="shared" si="19"/>
        <v>2.9093733734770501E-2</v>
      </c>
      <c r="AX30" s="6">
        <f t="shared" si="19"/>
        <v>3.5016540033797401E-2</v>
      </c>
      <c r="AY30" s="6">
        <f t="shared" si="19"/>
        <v>4.2437899048378303E-2</v>
      </c>
      <c r="AZ30" s="6">
        <f t="shared" si="19"/>
        <v>5.09027068707281E-2</v>
      </c>
      <c r="BA30" s="6">
        <f t="shared" si="19"/>
        <v>5.9359480602577799E-2</v>
      </c>
      <c r="BB30" s="6">
        <f t="shared" si="19"/>
        <v>6.6652710276951299E-2</v>
      </c>
      <c r="BC30" s="6">
        <f t="shared" si="19"/>
        <v>7.1632291120846597E-2</v>
      </c>
      <c r="BD30" s="6">
        <f t="shared" si="19"/>
        <v>7.3886591258492104E-2</v>
      </c>
      <c r="BE30" s="6">
        <f t="shared" si="19"/>
        <v>7.3187655902908003E-2</v>
      </c>
      <c r="BF30" s="6">
        <f t="shared" si="19"/>
        <v>7.0416664354529396E-2</v>
      </c>
      <c r="BG30" s="6">
        <f t="shared" si="19"/>
        <v>6.6980919354762497E-2</v>
      </c>
      <c r="BH30" s="6">
        <f t="shared" si="19"/>
        <v>6.3709557001468103E-2</v>
      </c>
      <c r="BI30" s="6">
        <f t="shared" si="19"/>
        <v>6.1520904198959399E-2</v>
      </c>
      <c r="BJ30" s="6">
        <f t="shared" si="19"/>
        <v>6.0604192281534998E-2</v>
      </c>
      <c r="BK30" s="6">
        <f t="shared" si="19"/>
        <v>6.02704435415038E-2</v>
      </c>
      <c r="BL30" s="6">
        <f t="shared" si="19"/>
        <v>5.9834638348359399E-2</v>
      </c>
      <c r="BM30" s="6">
        <f t="shared" si="19"/>
        <v>5.8905052636180497E-2</v>
      </c>
      <c r="BN30" s="6">
        <f t="shared" si="19"/>
        <v>5.8693615955562099E-2</v>
      </c>
      <c r="BO30" s="6">
        <f t="shared" si="19"/>
        <v>6.1167207330737203E-2</v>
      </c>
      <c r="BP30" s="6">
        <f t="shared" si="19"/>
        <v>6.8193769626383502E-2</v>
      </c>
      <c r="BQ30" s="6">
        <f t="shared" si="19"/>
        <v>7.9845573633871195E-2</v>
      </c>
      <c r="BR30" s="6">
        <f t="shared" si="19"/>
        <v>9.3432952448306697E-2</v>
      </c>
    </row>
    <row r="31" spans="1:72" ht="14.4" x14ac:dyDescent="0.3">
      <c r="D31" s="1" t="s">
        <v>173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</row>
    <row r="33" spans="1:136" ht="14.4" x14ac:dyDescent="0.3">
      <c r="A33" s="1" t="s">
        <v>21</v>
      </c>
      <c r="B33" s="69" t="s">
        <v>251</v>
      </c>
      <c r="C33" s="1" t="s">
        <v>22</v>
      </c>
      <c r="D33" s="1" t="s">
        <v>22</v>
      </c>
      <c r="F33" s="8"/>
      <c r="G33" s="8">
        <v>91.1</v>
      </c>
      <c r="H33" s="8">
        <v>88.8</v>
      </c>
      <c r="I33" s="8">
        <v>98.7</v>
      </c>
      <c r="J33" s="8">
        <v>114.6</v>
      </c>
      <c r="K33" s="8">
        <v>123</v>
      </c>
      <c r="L33" s="8">
        <v>134</v>
      </c>
      <c r="M33" s="8">
        <v>132.19999999999999</v>
      </c>
      <c r="N33" s="8">
        <v>144.6</v>
      </c>
      <c r="O33" s="8">
        <v>158.19999999999999</v>
      </c>
      <c r="P33" s="8">
        <v>166.5</v>
      </c>
      <c r="Q33" s="8">
        <v>164</v>
      </c>
      <c r="R33" s="8">
        <v>180.3</v>
      </c>
      <c r="S33" s="8">
        <v>190.7</v>
      </c>
      <c r="T33" s="8">
        <v>195.6</v>
      </c>
      <c r="U33" s="8">
        <v>211</v>
      </c>
      <c r="V33" s="8">
        <v>222.7</v>
      </c>
      <c r="W33" s="8">
        <v>239.2</v>
      </c>
      <c r="X33" s="8">
        <v>259.89999999999998</v>
      </c>
      <c r="Y33" s="8">
        <v>288.5</v>
      </c>
      <c r="Z33" s="8">
        <v>308.39999999999998</v>
      </c>
      <c r="AA33" s="8">
        <v>341.3</v>
      </c>
      <c r="AB33" s="8">
        <v>378.6</v>
      </c>
      <c r="AC33" s="8">
        <v>400.2</v>
      </c>
      <c r="AD33" s="8">
        <v>425.3</v>
      </c>
      <c r="AE33" s="8">
        <v>472.5</v>
      </c>
      <c r="AF33" s="8">
        <v>533.9</v>
      </c>
      <c r="AG33" s="8">
        <v>587.4</v>
      </c>
      <c r="AH33" s="8">
        <v>614.9</v>
      </c>
      <c r="AI33" s="8">
        <v>695.2</v>
      </c>
      <c r="AJ33" s="8">
        <v>784.8</v>
      </c>
      <c r="AK33" s="8">
        <v>901.8</v>
      </c>
      <c r="AL33" s="8">
        <v>1022</v>
      </c>
      <c r="AM33" s="8">
        <v>1120.0999999999999</v>
      </c>
      <c r="AN33" s="8">
        <v>1240</v>
      </c>
      <c r="AO33" s="8">
        <v>1293.8</v>
      </c>
      <c r="AP33" s="8">
        <v>1367.1</v>
      </c>
      <c r="AQ33" s="8">
        <v>1513.9</v>
      </c>
      <c r="AR33" s="8">
        <v>1622.4</v>
      </c>
      <c r="AS33" s="8">
        <v>1720.4</v>
      </c>
      <c r="AT33" s="8">
        <v>1840</v>
      </c>
      <c r="AU33" s="8">
        <v>1980.4</v>
      </c>
      <c r="AV33" s="8">
        <v>2088.3000000000002</v>
      </c>
      <c r="AW33" s="8">
        <v>2200.6</v>
      </c>
      <c r="AX33" s="8">
        <v>2249.4</v>
      </c>
      <c r="AY33" s="8">
        <v>2375.5</v>
      </c>
      <c r="AZ33" s="8">
        <v>2488.1999999999998</v>
      </c>
      <c r="BA33" s="8">
        <v>2634.8</v>
      </c>
      <c r="BB33" s="8">
        <v>2776</v>
      </c>
      <c r="BC33" s="8">
        <v>2914.9</v>
      </c>
      <c r="BD33" s="8">
        <v>3123.9</v>
      </c>
      <c r="BE33" s="8">
        <v>3396.8</v>
      </c>
      <c r="BF33" s="8">
        <v>3628.6</v>
      </c>
      <c r="BG33" s="8">
        <v>3950.7</v>
      </c>
      <c r="BH33" s="8">
        <v>3986.2</v>
      </c>
      <c r="BI33" s="8">
        <v>3980.7</v>
      </c>
      <c r="BJ33" s="8">
        <v>4105.5</v>
      </c>
      <c r="BK33" s="8">
        <v>4265.8999999999996</v>
      </c>
      <c r="BL33" s="8">
        <v>4498.5</v>
      </c>
      <c r="BM33" s="8">
        <v>4743.3999999999996</v>
      </c>
      <c r="BN33" s="8">
        <v>4944.1000000000004</v>
      </c>
      <c r="BO33" s="8">
        <v>5025.8999999999996</v>
      </c>
      <c r="BP33" s="8">
        <v>4709.6000000000004</v>
      </c>
      <c r="BQ33" s="8">
        <v>4807.8999999999996</v>
      </c>
      <c r="BR33" s="8">
        <v>5057.8</v>
      </c>
      <c r="BS33" s="92"/>
    </row>
    <row r="34" spans="1:136" ht="27" x14ac:dyDescent="0.3">
      <c r="A34" s="1" t="s">
        <v>265</v>
      </c>
      <c r="B34" s="20" t="s">
        <v>23</v>
      </c>
      <c r="D34" s="1" t="s">
        <v>266</v>
      </c>
      <c r="F34" s="93"/>
      <c r="G34" s="93">
        <v>1</v>
      </c>
      <c r="H34" s="93">
        <v>1</v>
      </c>
      <c r="I34" s="93">
        <v>1</v>
      </c>
      <c r="J34" s="93">
        <v>1</v>
      </c>
      <c r="K34" s="93">
        <v>1</v>
      </c>
      <c r="L34" s="93">
        <v>1</v>
      </c>
      <c r="M34" s="93">
        <v>1</v>
      </c>
      <c r="N34" s="93">
        <v>1</v>
      </c>
      <c r="O34" s="93">
        <v>1</v>
      </c>
      <c r="P34" s="93">
        <v>1</v>
      </c>
      <c r="Q34" s="93">
        <v>1</v>
      </c>
      <c r="R34" s="93">
        <v>1</v>
      </c>
      <c r="S34" s="93">
        <v>1</v>
      </c>
      <c r="T34" s="93">
        <v>1</v>
      </c>
      <c r="U34" s="93">
        <v>1</v>
      </c>
      <c r="V34" s="93">
        <v>1</v>
      </c>
      <c r="W34" s="93">
        <v>1</v>
      </c>
      <c r="X34" s="93">
        <v>1</v>
      </c>
      <c r="Y34" s="93">
        <v>1</v>
      </c>
      <c r="Z34" s="93">
        <v>1</v>
      </c>
      <c r="AA34" s="93">
        <v>1</v>
      </c>
      <c r="AB34" s="93">
        <v>1</v>
      </c>
      <c r="AC34" s="93">
        <v>1</v>
      </c>
      <c r="AD34" s="93">
        <v>1</v>
      </c>
      <c r="AE34" s="93">
        <v>1</v>
      </c>
      <c r="AF34" s="93">
        <v>1</v>
      </c>
      <c r="AG34" s="93">
        <v>1</v>
      </c>
      <c r="AH34" s="93">
        <v>1</v>
      </c>
      <c r="AI34" s="93">
        <v>1</v>
      </c>
      <c r="AJ34" s="93">
        <v>1</v>
      </c>
      <c r="AK34" s="93">
        <v>1</v>
      </c>
      <c r="AL34" s="93">
        <v>1</v>
      </c>
      <c r="AM34" s="93">
        <v>1</v>
      </c>
      <c r="AN34" s="93">
        <v>1</v>
      </c>
      <c r="AO34" s="93">
        <v>0.99809463064396353</v>
      </c>
      <c r="AP34" s="93">
        <v>1.0266001277587951</v>
      </c>
      <c r="AQ34" s="93">
        <v>1.0461352929180456</v>
      </c>
      <c r="AR34" s="93">
        <v>1.0508297867236818</v>
      </c>
      <c r="AS34" s="93">
        <v>1.0414728029591276</v>
      </c>
      <c r="AT34" s="93">
        <v>1.0425968807769848</v>
      </c>
      <c r="AU34" s="93">
        <v>1.040713037477115</v>
      </c>
      <c r="AV34" s="93">
        <v>1.0656168152495202</v>
      </c>
      <c r="AW34" s="93">
        <v>1.0699391787763184</v>
      </c>
      <c r="AX34" s="93">
        <v>1.0696622006355301</v>
      </c>
      <c r="AY34" s="93">
        <v>1.0775995514019276</v>
      </c>
      <c r="AZ34" s="93">
        <v>1.0834885484570795</v>
      </c>
      <c r="BA34" s="93">
        <v>1.0997710317657223</v>
      </c>
      <c r="BB34" s="93">
        <v>1.1047886520341375</v>
      </c>
      <c r="BC34" s="93">
        <v>1.1215398162853594</v>
      </c>
      <c r="BD34" s="93">
        <v>1.1266534782787281</v>
      </c>
      <c r="BE34" s="93">
        <v>1.100586439828074</v>
      </c>
      <c r="BF34" s="93">
        <v>1.0967370203587168</v>
      </c>
      <c r="BG34" s="93">
        <v>1.0917620407608748</v>
      </c>
      <c r="BH34" s="93">
        <v>1.0973629913609386</v>
      </c>
      <c r="BI34" s="93">
        <v>1.1199477829548072</v>
      </c>
      <c r="BJ34" s="93">
        <v>1.1254055725077678</v>
      </c>
      <c r="BK34" s="93">
        <v>1.1425301726844495</v>
      </c>
      <c r="BL34" s="93">
        <v>1.1510415966903016</v>
      </c>
      <c r="BM34" s="93">
        <v>1.1536728969972203</v>
      </c>
      <c r="BN34" s="93">
        <v>1.154711892675216</v>
      </c>
      <c r="BO34" s="93">
        <v>1.1838969133090169</v>
      </c>
      <c r="BP34" s="93">
        <v>1.1934116387006501</v>
      </c>
      <c r="BQ34" s="93">
        <v>1.1971811191904973</v>
      </c>
      <c r="BR34" s="93">
        <v>1.213824467466561</v>
      </c>
      <c r="BS34" s="1"/>
    </row>
    <row r="35" spans="1:136" ht="14.4" x14ac:dyDescent="0.3">
      <c r="A35" s="1" t="s">
        <v>24</v>
      </c>
      <c r="B35" s="1" t="s">
        <v>267</v>
      </c>
      <c r="C35" s="1" t="s">
        <v>25</v>
      </c>
      <c r="D35" s="1" t="s">
        <v>296</v>
      </c>
      <c r="G35" s="1">
        <f t="shared" ref="G35" si="20">G33*G34</f>
        <v>91.1</v>
      </c>
      <c r="H35" s="1">
        <f>H33*H34</f>
        <v>88.8</v>
      </c>
      <c r="I35" s="1">
        <f t="shared" ref="I35:BO35" si="21">I33*I34</f>
        <v>98.7</v>
      </c>
      <c r="J35" s="1">
        <f t="shared" si="21"/>
        <v>114.6</v>
      </c>
      <c r="K35" s="1">
        <f t="shared" si="21"/>
        <v>123</v>
      </c>
      <c r="L35" s="1">
        <f t="shared" si="21"/>
        <v>134</v>
      </c>
      <c r="M35" s="1">
        <f t="shared" si="21"/>
        <v>132.19999999999999</v>
      </c>
      <c r="N35" s="1">
        <f t="shared" si="21"/>
        <v>144.6</v>
      </c>
      <c r="O35" s="1">
        <f t="shared" si="21"/>
        <v>158.19999999999999</v>
      </c>
      <c r="P35" s="1">
        <f t="shared" si="21"/>
        <v>166.5</v>
      </c>
      <c r="Q35" s="1">
        <f t="shared" si="21"/>
        <v>164</v>
      </c>
      <c r="R35" s="1">
        <f t="shared" si="21"/>
        <v>180.3</v>
      </c>
      <c r="S35" s="1">
        <f t="shared" si="21"/>
        <v>190.7</v>
      </c>
      <c r="T35" s="1">
        <f t="shared" si="21"/>
        <v>195.6</v>
      </c>
      <c r="U35" s="1">
        <f t="shared" si="21"/>
        <v>211</v>
      </c>
      <c r="V35" s="1">
        <f t="shared" si="21"/>
        <v>222.7</v>
      </c>
      <c r="W35" s="1">
        <f t="shared" si="21"/>
        <v>239.2</v>
      </c>
      <c r="X35" s="1">
        <f t="shared" si="21"/>
        <v>259.89999999999998</v>
      </c>
      <c r="Y35" s="1">
        <f t="shared" si="21"/>
        <v>288.5</v>
      </c>
      <c r="Z35" s="1">
        <f t="shared" si="21"/>
        <v>308.39999999999998</v>
      </c>
      <c r="AA35" s="1">
        <f t="shared" si="21"/>
        <v>341.3</v>
      </c>
      <c r="AB35" s="1">
        <f t="shared" si="21"/>
        <v>378.6</v>
      </c>
      <c r="AC35" s="1">
        <f t="shared" si="21"/>
        <v>400.2</v>
      </c>
      <c r="AD35" s="1">
        <f t="shared" si="21"/>
        <v>425.3</v>
      </c>
      <c r="AE35" s="1">
        <f t="shared" si="21"/>
        <v>472.5</v>
      </c>
      <c r="AF35" s="1">
        <f t="shared" si="21"/>
        <v>533.9</v>
      </c>
      <c r="AG35" s="1">
        <f t="shared" si="21"/>
        <v>587.4</v>
      </c>
      <c r="AH35" s="1">
        <f t="shared" si="21"/>
        <v>614.9</v>
      </c>
      <c r="AI35" s="1">
        <f t="shared" si="21"/>
        <v>695.2</v>
      </c>
      <c r="AJ35" s="1">
        <f t="shared" si="21"/>
        <v>784.8</v>
      </c>
      <c r="AK35" s="1">
        <f t="shared" si="21"/>
        <v>901.8</v>
      </c>
      <c r="AL35" s="1">
        <f t="shared" si="21"/>
        <v>1022</v>
      </c>
      <c r="AM35" s="1">
        <f t="shared" si="21"/>
        <v>1120.0999999999999</v>
      </c>
      <c r="AN35" s="1">
        <f t="shared" si="21"/>
        <v>1240</v>
      </c>
      <c r="AO35" s="1">
        <f t="shared" si="21"/>
        <v>1291.33483312716</v>
      </c>
      <c r="AP35" s="1">
        <f t="shared" si="21"/>
        <v>1403.4650346590486</v>
      </c>
      <c r="AQ35" s="1">
        <f t="shared" si="21"/>
        <v>1583.7442199486293</v>
      </c>
      <c r="AR35" s="1">
        <f t="shared" si="21"/>
        <v>1704.8662459805014</v>
      </c>
      <c r="AS35" s="1">
        <f t="shared" si="21"/>
        <v>1791.7498102108832</v>
      </c>
      <c r="AT35" s="1">
        <f t="shared" si="21"/>
        <v>1918.378260629652</v>
      </c>
      <c r="AU35" s="1">
        <f t="shared" si="21"/>
        <v>2061.0280994196787</v>
      </c>
      <c r="AV35" s="1">
        <f t="shared" si="21"/>
        <v>2225.3275952855734</v>
      </c>
      <c r="AW35" s="1">
        <f t="shared" si="21"/>
        <v>2354.5081568151663</v>
      </c>
      <c r="AX35" s="1">
        <f t="shared" si="21"/>
        <v>2406.0981541095616</v>
      </c>
      <c r="AY35" s="1">
        <f t="shared" si="21"/>
        <v>2559.8377343552793</v>
      </c>
      <c r="AZ35" s="1">
        <f t="shared" si="21"/>
        <v>2695.9362062709051</v>
      </c>
      <c r="BA35" s="1">
        <f t="shared" si="21"/>
        <v>2897.6767144963255</v>
      </c>
      <c r="BB35" s="1">
        <f t="shared" si="21"/>
        <v>3066.8932980467657</v>
      </c>
      <c r="BC35" s="1">
        <f t="shared" si="21"/>
        <v>3269.176410490194</v>
      </c>
      <c r="BD35" s="1">
        <f t="shared" si="21"/>
        <v>3519.5528007949188</v>
      </c>
      <c r="BE35" s="1">
        <f t="shared" si="21"/>
        <v>3738.4720188080018</v>
      </c>
      <c r="BF35" s="1">
        <f t="shared" si="21"/>
        <v>3979.6199520736395</v>
      </c>
      <c r="BG35" s="1">
        <f t="shared" si="21"/>
        <v>4313.2242944339878</v>
      </c>
      <c r="BH35" s="1">
        <f t="shared" si="21"/>
        <v>4374.3083561629737</v>
      </c>
      <c r="BI35" s="1">
        <f t="shared" si="21"/>
        <v>4458.1761396082011</v>
      </c>
      <c r="BJ35" s="1">
        <f t="shared" si="21"/>
        <v>4620.352577930641</v>
      </c>
      <c r="BK35" s="1">
        <f t="shared" si="21"/>
        <v>4873.9194636545926</v>
      </c>
      <c r="BL35" s="1">
        <f t="shared" si="21"/>
        <v>5177.9606227113218</v>
      </c>
      <c r="BM35" s="1">
        <f t="shared" si="21"/>
        <v>5472.3320196166142</v>
      </c>
      <c r="BN35" s="1">
        <f t="shared" si="21"/>
        <v>5709.0110685755362</v>
      </c>
      <c r="BO35" s="1">
        <f t="shared" si="21"/>
        <v>5950.1474965997877</v>
      </c>
      <c r="BP35" s="1">
        <f>BP33*BP34</f>
        <v>5620.4914536245824</v>
      </c>
      <c r="BQ35" s="1">
        <f t="shared" ref="BQ35" si="22">BQ33*BQ34</f>
        <v>5755.9271029559914</v>
      </c>
      <c r="BR35" s="1">
        <f t="shared" ref="BR35" si="23">BR33*BR34</f>
        <v>6139.281391552373</v>
      </c>
    </row>
    <row r="36" spans="1:136" ht="14.4" x14ac:dyDescent="0.3">
      <c r="A36" s="1" t="s">
        <v>292</v>
      </c>
      <c r="B36" s="81" t="s">
        <v>288</v>
      </c>
      <c r="C36" s="1" t="s">
        <v>293</v>
      </c>
      <c r="D36" s="1" t="s">
        <v>293</v>
      </c>
      <c r="F36" s="77">
        <v>24.9</v>
      </c>
      <c r="G36" s="77">
        <v>32.1</v>
      </c>
      <c r="H36" s="77">
        <v>30.2</v>
      </c>
      <c r="I36" s="77">
        <v>37.200000000000003</v>
      </c>
      <c r="J36" s="77">
        <v>42.5</v>
      </c>
      <c r="K36" s="77">
        <v>40.6</v>
      </c>
      <c r="L36" s="77">
        <v>41.099999999999994</v>
      </c>
      <c r="M36" s="77">
        <v>40.299999999999997</v>
      </c>
      <c r="N36" s="77">
        <v>51.300000000000004</v>
      </c>
      <c r="O36" s="77">
        <v>50.300000000000004</v>
      </c>
      <c r="P36" s="77">
        <v>50.5</v>
      </c>
      <c r="Q36" s="77">
        <v>46.4</v>
      </c>
      <c r="R36" s="77">
        <v>57.699999999999996</v>
      </c>
      <c r="S36" s="77">
        <v>57.199999999999996</v>
      </c>
      <c r="T36" s="77">
        <v>58.900000000000006</v>
      </c>
      <c r="U36" s="77">
        <v>67.7</v>
      </c>
      <c r="V36" s="77">
        <v>74.2</v>
      </c>
      <c r="W36" s="77">
        <v>82.1</v>
      </c>
      <c r="X36" s="77">
        <v>94.4</v>
      </c>
      <c r="Y36" s="77">
        <v>102</v>
      </c>
      <c r="Z36" s="77">
        <v>101.5</v>
      </c>
      <c r="AA36" s="77">
        <v>110.3</v>
      </c>
      <c r="AB36" s="77">
        <v>111</v>
      </c>
      <c r="AC36" s="77">
        <v>102.60000000000001</v>
      </c>
      <c r="AD36" s="77">
        <v>116.00000000000001</v>
      </c>
      <c r="AE36" s="77">
        <v>131.69999999999999</v>
      </c>
      <c r="AF36" s="77">
        <v>145.19999999999999</v>
      </c>
      <c r="AG36" s="77">
        <v>142.4</v>
      </c>
      <c r="AH36" s="77">
        <v>166.10000000000002</v>
      </c>
      <c r="AI36" s="77">
        <v>190.70000000000002</v>
      </c>
      <c r="AJ36" s="77">
        <v>220.70000000000002</v>
      </c>
      <c r="AK36" s="77">
        <v>253.10000000000002</v>
      </c>
      <c r="AL36" s="77">
        <v>263.10000000000002</v>
      </c>
      <c r="AM36" s="77">
        <v>255.7</v>
      </c>
      <c r="AN36" s="77">
        <v>303.2999999999999</v>
      </c>
      <c r="AO36" s="77">
        <v>296.10000000000002</v>
      </c>
      <c r="AP36" s="77">
        <v>344.09999999999991</v>
      </c>
      <c r="AQ36" s="77">
        <v>423.69999999999993</v>
      </c>
      <c r="AR36" s="77">
        <v>445.29999999999995</v>
      </c>
      <c r="AS36" s="77">
        <v>432.39999999999992</v>
      </c>
      <c r="AT36" s="77">
        <v>478.9</v>
      </c>
      <c r="AU36" s="77">
        <v>548.5</v>
      </c>
      <c r="AV36" s="77">
        <v>574.4</v>
      </c>
      <c r="AW36" s="77">
        <v>579.79999999999995</v>
      </c>
      <c r="AX36" s="77">
        <v>592.1</v>
      </c>
      <c r="AY36" s="77">
        <v>608.6</v>
      </c>
      <c r="AZ36" s="77">
        <v>641.19999999999993</v>
      </c>
      <c r="BA36" s="77">
        <v>729.90000000000009</v>
      </c>
      <c r="BB36" s="77">
        <v>825.2</v>
      </c>
      <c r="BC36" s="77">
        <v>907.09999999999991</v>
      </c>
      <c r="BD36" s="77">
        <v>990.80000000000007</v>
      </c>
      <c r="BE36" s="77">
        <v>966.4</v>
      </c>
      <c r="BF36" s="77">
        <v>1012.6000000000004</v>
      </c>
      <c r="BG36" s="77">
        <v>1007.2999999999998</v>
      </c>
      <c r="BH36" s="77">
        <v>966.3</v>
      </c>
      <c r="BI36" s="77">
        <v>1009.5000000000001</v>
      </c>
      <c r="BJ36" s="77">
        <v>1084.5</v>
      </c>
      <c r="BK36" s="77">
        <v>1307.8000000000002</v>
      </c>
      <c r="BL36" s="77">
        <v>1511.3000000000002</v>
      </c>
      <c r="BM36" s="77">
        <v>1654.1</v>
      </c>
      <c r="BN36" s="77">
        <v>1551.4000000000003</v>
      </c>
      <c r="BO36" s="77">
        <v>1288.4999999999998</v>
      </c>
      <c r="BP36" s="77">
        <v>1416.8</v>
      </c>
      <c r="BQ36" s="77">
        <v>1738.6</v>
      </c>
      <c r="BR36" s="77">
        <v>1862.3999999999999</v>
      </c>
    </row>
    <row r="37" spans="1:136" ht="14.4" x14ac:dyDescent="0.3">
      <c r="A37" s="1" t="s">
        <v>26</v>
      </c>
      <c r="B37" s="1" t="s">
        <v>295</v>
      </c>
      <c r="C37" s="1" t="s">
        <v>294</v>
      </c>
      <c r="D37" s="1" t="s">
        <v>294</v>
      </c>
      <c r="G37" s="1">
        <f>G36+G33-G35</f>
        <v>32.099999999999994</v>
      </c>
      <c r="H37" s="1">
        <f t="shared" ref="H37:BR37" si="24">H36+H33-H35</f>
        <v>30.200000000000003</v>
      </c>
      <c r="I37" s="1">
        <f t="shared" si="24"/>
        <v>37.200000000000003</v>
      </c>
      <c r="J37" s="1">
        <f t="shared" si="24"/>
        <v>42.5</v>
      </c>
      <c r="K37" s="1">
        <f t="shared" si="24"/>
        <v>40.599999999999994</v>
      </c>
      <c r="L37" s="1">
        <f t="shared" si="24"/>
        <v>41.099999999999994</v>
      </c>
      <c r="M37" s="1">
        <f t="shared" si="24"/>
        <v>40.300000000000011</v>
      </c>
      <c r="N37" s="1">
        <f t="shared" si="24"/>
        <v>51.300000000000011</v>
      </c>
      <c r="O37" s="1">
        <f t="shared" si="24"/>
        <v>50.300000000000011</v>
      </c>
      <c r="P37" s="1">
        <f t="shared" si="24"/>
        <v>50.5</v>
      </c>
      <c r="Q37" s="1">
        <f t="shared" si="24"/>
        <v>46.400000000000006</v>
      </c>
      <c r="R37" s="1">
        <f t="shared" si="24"/>
        <v>57.699999999999989</v>
      </c>
      <c r="S37" s="1">
        <f t="shared" si="24"/>
        <v>57.199999999999989</v>
      </c>
      <c r="T37" s="1">
        <f t="shared" si="24"/>
        <v>58.900000000000006</v>
      </c>
      <c r="U37" s="1">
        <f t="shared" si="24"/>
        <v>67.699999999999989</v>
      </c>
      <c r="V37" s="1">
        <f t="shared" si="24"/>
        <v>74.199999999999989</v>
      </c>
      <c r="W37" s="1">
        <f t="shared" si="24"/>
        <v>82.099999999999966</v>
      </c>
      <c r="X37" s="1">
        <f t="shared" si="24"/>
        <v>94.399999999999977</v>
      </c>
      <c r="Y37" s="1">
        <f t="shared" si="24"/>
        <v>102</v>
      </c>
      <c r="Z37" s="1">
        <f t="shared" si="24"/>
        <v>101.5</v>
      </c>
      <c r="AA37" s="1">
        <f t="shared" si="24"/>
        <v>110.30000000000001</v>
      </c>
      <c r="AB37" s="1">
        <f t="shared" si="24"/>
        <v>111</v>
      </c>
      <c r="AC37" s="1">
        <f t="shared" si="24"/>
        <v>102.60000000000002</v>
      </c>
      <c r="AD37" s="1">
        <f t="shared" si="24"/>
        <v>116.00000000000006</v>
      </c>
      <c r="AE37" s="1">
        <f t="shared" si="24"/>
        <v>131.70000000000005</v>
      </c>
      <c r="AF37" s="1">
        <f t="shared" si="24"/>
        <v>145.19999999999993</v>
      </c>
      <c r="AG37" s="1">
        <f t="shared" si="24"/>
        <v>142.39999999999998</v>
      </c>
      <c r="AH37" s="1">
        <f t="shared" si="24"/>
        <v>166.10000000000002</v>
      </c>
      <c r="AI37" s="1">
        <f t="shared" si="24"/>
        <v>190.70000000000005</v>
      </c>
      <c r="AJ37" s="1">
        <f t="shared" si="24"/>
        <v>220.70000000000005</v>
      </c>
      <c r="AK37" s="1">
        <f t="shared" si="24"/>
        <v>253.10000000000014</v>
      </c>
      <c r="AL37" s="1">
        <f t="shared" si="24"/>
        <v>263.09999999999991</v>
      </c>
      <c r="AM37" s="1">
        <f t="shared" si="24"/>
        <v>255.70000000000005</v>
      </c>
      <c r="AN37" s="1">
        <f t="shared" si="24"/>
        <v>303.29999999999995</v>
      </c>
      <c r="AO37" s="3">
        <f t="shared" si="24"/>
        <v>298.56516687284011</v>
      </c>
      <c r="AP37" s="3">
        <f t="shared" si="24"/>
        <v>307.73496534095125</v>
      </c>
      <c r="AQ37" s="3">
        <f t="shared" si="24"/>
        <v>353.85578005137063</v>
      </c>
      <c r="AR37" s="3">
        <f t="shared" si="24"/>
        <v>362.83375401949843</v>
      </c>
      <c r="AS37" s="3">
        <f t="shared" si="24"/>
        <v>361.05018978911698</v>
      </c>
      <c r="AT37" s="3">
        <f t="shared" si="24"/>
        <v>400.52173937034809</v>
      </c>
      <c r="AU37" s="3">
        <f t="shared" si="24"/>
        <v>467.87190058032138</v>
      </c>
      <c r="AV37" s="3">
        <f t="shared" si="24"/>
        <v>437.37240471442692</v>
      </c>
      <c r="AW37" s="3">
        <f t="shared" si="24"/>
        <v>425.89184318483331</v>
      </c>
      <c r="AX37" s="3">
        <f t="shared" si="24"/>
        <v>435.40184589043838</v>
      </c>
      <c r="AY37" s="3">
        <f t="shared" si="24"/>
        <v>424.26226564472063</v>
      </c>
      <c r="AZ37" s="3">
        <f t="shared" si="24"/>
        <v>433.4637937290945</v>
      </c>
      <c r="BA37" s="3">
        <f t="shared" si="24"/>
        <v>467.02328550367474</v>
      </c>
      <c r="BB37" s="3">
        <f t="shared" si="24"/>
        <v>534.3067019532341</v>
      </c>
      <c r="BC37" s="3">
        <f t="shared" si="24"/>
        <v>552.82358950980597</v>
      </c>
      <c r="BD37" s="3">
        <f t="shared" si="24"/>
        <v>595.14719920508105</v>
      </c>
      <c r="BE37" s="3">
        <f t="shared" si="24"/>
        <v>624.72798119199797</v>
      </c>
      <c r="BF37" s="3">
        <f t="shared" si="24"/>
        <v>661.5800479263612</v>
      </c>
      <c r="BG37" s="3">
        <f t="shared" si="24"/>
        <v>644.77570556601222</v>
      </c>
      <c r="BH37" s="3">
        <f t="shared" si="24"/>
        <v>578.19164383702628</v>
      </c>
      <c r="BI37" s="3">
        <f t="shared" si="24"/>
        <v>532.02386039179873</v>
      </c>
      <c r="BJ37" s="3">
        <f t="shared" si="24"/>
        <v>569.64742206935898</v>
      </c>
      <c r="BK37" s="3">
        <f t="shared" si="24"/>
        <v>699.7805363454072</v>
      </c>
      <c r="BL37" s="3">
        <f t="shared" si="24"/>
        <v>831.83937728867841</v>
      </c>
      <c r="BM37" s="3">
        <f t="shared" si="24"/>
        <v>925.16798038338584</v>
      </c>
      <c r="BN37" s="3">
        <f t="shared" si="24"/>
        <v>786.48893142446468</v>
      </c>
      <c r="BO37" s="3">
        <f t="shared" si="24"/>
        <v>364.25250340021194</v>
      </c>
      <c r="BP37" s="3">
        <f t="shared" si="24"/>
        <v>505.90854637541815</v>
      </c>
      <c r="BQ37" s="3">
        <f t="shared" si="24"/>
        <v>790.57289704400864</v>
      </c>
      <c r="BR37" s="3">
        <f t="shared" si="24"/>
        <v>780.91860844762687</v>
      </c>
    </row>
    <row r="38" spans="1:136" ht="14.4" x14ac:dyDescent="0.3">
      <c r="A38" s="1" t="s">
        <v>27</v>
      </c>
      <c r="B38" s="1" t="s">
        <v>28</v>
      </c>
      <c r="C38" s="1" t="s">
        <v>29</v>
      </c>
      <c r="D38" s="1" t="s">
        <v>29</v>
      </c>
      <c r="F38" s="6"/>
      <c r="G38" s="6">
        <f t="shared" ref="G38:AL38" si="25">G7*G37/G36</f>
        <v>0.16396352075207293</v>
      </c>
      <c r="H38" s="6">
        <f t="shared" si="25"/>
        <v>0.13697282511983766</v>
      </c>
      <c r="I38" s="6">
        <f t="shared" si="25"/>
        <v>0.16228416548642546</v>
      </c>
      <c r="J38" s="6">
        <f t="shared" si="25"/>
        <v>0.15983193761787534</v>
      </c>
      <c r="K38" s="6">
        <f t="shared" si="25"/>
        <v>0.13620216468779803</v>
      </c>
      <c r="L38" s="6">
        <f t="shared" si="25"/>
        <v>0.12804516198321894</v>
      </c>
      <c r="M38" s="6">
        <f t="shared" si="25"/>
        <v>0.11761730156428307</v>
      </c>
      <c r="N38" s="6">
        <f t="shared" si="25"/>
        <v>0.14358784472133992</v>
      </c>
      <c r="O38" s="6">
        <f t="shared" si="25"/>
        <v>0.12550926044329555</v>
      </c>
      <c r="P38" s="6">
        <f t="shared" si="25"/>
        <v>0.11205400499032801</v>
      </c>
      <c r="Q38" s="6">
        <f t="shared" si="25"/>
        <v>9.5054317592488669E-2</v>
      </c>
      <c r="R38" s="6">
        <f t="shared" si="25"/>
        <v>0.11381225569497802</v>
      </c>
      <c r="S38" s="6">
        <f t="shared" si="25"/>
        <v>0.10570307830889546</v>
      </c>
      <c r="T38" s="6">
        <f t="shared" si="25"/>
        <v>0.10516657955813914</v>
      </c>
      <c r="U38" s="6">
        <f t="shared" si="25"/>
        <v>0.1160778924931702</v>
      </c>
      <c r="V38" s="6">
        <f t="shared" si="25"/>
        <v>0.12143069203177959</v>
      </c>
      <c r="W38" s="6">
        <f t="shared" si="25"/>
        <v>0.1281373859191596</v>
      </c>
      <c r="X38" s="6">
        <f t="shared" si="25"/>
        <v>0.13818209006945081</v>
      </c>
      <c r="Y38" s="6">
        <f t="shared" si="25"/>
        <v>0.13780250259730348</v>
      </c>
      <c r="Z38" s="6">
        <f t="shared" si="25"/>
        <v>0.12474159436916939</v>
      </c>
      <c r="AA38" s="6">
        <f t="shared" si="25"/>
        <v>0.12385229726692697</v>
      </c>
      <c r="AB38" s="6">
        <f t="shared" si="25"/>
        <v>0.11249342865334706</v>
      </c>
      <c r="AC38" s="6">
        <f t="shared" si="25"/>
        <v>9.3316823727352879E-2</v>
      </c>
      <c r="AD38" s="6">
        <f t="shared" si="25"/>
        <v>9.563354057371258E-2</v>
      </c>
      <c r="AE38" s="6">
        <f t="shared" si="25"/>
        <v>9.8414551200063594E-2</v>
      </c>
      <c r="AF38" s="6">
        <f t="shared" si="25"/>
        <v>9.8506632073837197E-2</v>
      </c>
      <c r="AG38" s="6">
        <f t="shared" si="25"/>
        <v>8.4508135966831419E-2</v>
      </c>
      <c r="AH38" s="6">
        <f t="shared" si="25"/>
        <v>8.0262903524936688E-2</v>
      </c>
      <c r="AI38" s="6">
        <f t="shared" si="25"/>
        <v>8.2822473401140351E-2</v>
      </c>
      <c r="AJ38" s="6">
        <f t="shared" si="25"/>
        <v>8.6158852860037966E-2</v>
      </c>
      <c r="AK38" s="6">
        <f t="shared" si="25"/>
        <v>8.7859246888513459E-2</v>
      </c>
      <c r="AL38" s="6">
        <f t="shared" si="25"/>
        <v>8.0104596994168845E-2</v>
      </c>
      <c r="AM38" s="6">
        <f t="shared" ref="AM38:BR38" si="26">AM7*AM37/AM36</f>
        <v>6.7360883638409183E-2</v>
      </c>
      <c r="AN38" s="6">
        <f t="shared" si="26"/>
        <v>6.9632314572834322E-2</v>
      </c>
      <c r="AO38" s="6">
        <f t="shared" si="26"/>
        <v>6.0374515563450762E-2</v>
      </c>
      <c r="AP38" s="6">
        <f t="shared" si="26"/>
        <v>5.837796246070677E-2</v>
      </c>
      <c r="AQ38" s="6">
        <f t="shared" si="26"/>
        <v>6.4384677734835347E-2</v>
      </c>
      <c r="AR38" s="6">
        <f t="shared" si="26"/>
        <v>6.1680637115823229E-2</v>
      </c>
      <c r="AS38" s="6">
        <f t="shared" si="26"/>
        <v>5.7608172196675952E-2</v>
      </c>
      <c r="AT38" s="6">
        <f t="shared" si="26"/>
        <v>6.0653428961863293E-2</v>
      </c>
      <c r="AU38" s="6">
        <f t="shared" si="26"/>
        <v>6.5959880835072565E-2</v>
      </c>
      <c r="AV38" s="6">
        <f t="shared" si="26"/>
        <v>5.7821598362466982E-2</v>
      </c>
      <c r="AW38" s="6">
        <f t="shared" si="26"/>
        <v>5.2888109321640953E-2</v>
      </c>
      <c r="AX38" s="6">
        <f t="shared" si="26"/>
        <v>5.1015569871148345E-2</v>
      </c>
      <c r="AY38" s="6">
        <f t="shared" si="26"/>
        <v>4.8170924108908497E-2</v>
      </c>
      <c r="AZ38" s="6">
        <f t="shared" si="26"/>
        <v>4.7063238907784508E-2</v>
      </c>
      <c r="BA38" s="6">
        <f t="shared" si="26"/>
        <v>4.8122619423103051E-2</v>
      </c>
      <c r="BB38" s="6">
        <f t="shared" si="26"/>
        <v>5.100724907486278E-2</v>
      </c>
      <c r="BC38" s="6">
        <f t="shared" si="26"/>
        <v>5.0582237592396793E-2</v>
      </c>
      <c r="BD38" s="6">
        <f t="shared" si="26"/>
        <v>5.1681863931829511E-2</v>
      </c>
      <c r="BE38" s="6">
        <f t="shared" si="26"/>
        <v>5.1314736172010933E-2</v>
      </c>
      <c r="BF38" s="6">
        <f t="shared" si="26"/>
        <v>5.1456266993775882E-2</v>
      </c>
      <c r="BG38" s="6">
        <f t="shared" si="26"/>
        <v>4.7210824777202516E-2</v>
      </c>
      <c r="BH38" s="6">
        <f t="shared" si="26"/>
        <v>3.9449203522828172E-2</v>
      </c>
      <c r="BI38" s="6">
        <f t="shared" si="26"/>
        <v>3.4530524534639097E-2</v>
      </c>
      <c r="BJ38" s="6">
        <f t="shared" si="26"/>
        <v>3.5260698297705166E-2</v>
      </c>
      <c r="BK38" s="6">
        <f t="shared" si="26"/>
        <v>4.1478073545623891E-2</v>
      </c>
      <c r="BL38" s="6">
        <f t="shared" si="26"/>
        <v>4.5241389780694974E-2</v>
      </c>
      <c r="BM38" s="6">
        <f t="shared" si="26"/>
        <v>4.5988108544460421E-2</v>
      </c>
      <c r="BN38" s="6">
        <f t="shared" si="26"/>
        <v>3.6006034788294783E-2</v>
      </c>
      <c r="BO38" s="6">
        <f t="shared" si="26"/>
        <v>1.5816591337750683E-2</v>
      </c>
      <c r="BP38" s="6">
        <f t="shared" si="26"/>
        <v>2.0689204675482579E-2</v>
      </c>
      <c r="BQ38" s="6">
        <f t="shared" si="26"/>
        <v>3.3138285677632641E-2</v>
      </c>
      <c r="BR38" s="6">
        <f t="shared" si="26"/>
        <v>3.1604520807580007E-2</v>
      </c>
    </row>
    <row r="40" spans="1:136" ht="14.4" x14ac:dyDescent="0.3">
      <c r="B40" s="1" t="s">
        <v>36</v>
      </c>
      <c r="AL40" s="12">
        <f>AL24</f>
        <v>0.10041</v>
      </c>
      <c r="AM40" s="12">
        <f>AM24</f>
        <v>0.11506</v>
      </c>
      <c r="AN40" s="12">
        <f>AN24</f>
        <v>0.14029</v>
      </c>
      <c r="BS40" s="83">
        <v>6.3054182033099402E-3</v>
      </c>
    </row>
    <row r="41" spans="1:136" ht="14.4" x14ac:dyDescent="0.3">
      <c r="B41" s="1" t="s">
        <v>285</v>
      </c>
      <c r="C41" s="1" t="s">
        <v>37</v>
      </c>
      <c r="D41" s="1" t="s">
        <v>37</v>
      </c>
      <c r="J41" s="12"/>
      <c r="K41" s="12"/>
      <c r="L41" s="12"/>
      <c r="M41" s="12"/>
      <c r="N41" s="12"/>
      <c r="O41" s="12"/>
      <c r="P41" s="12"/>
      <c r="Q41" s="12"/>
      <c r="R41" s="12"/>
      <c r="S41" s="12">
        <v>4.9133504407290293E-2</v>
      </c>
      <c r="T41" s="12">
        <v>4.638770654060418E-2</v>
      </c>
      <c r="U41" s="12">
        <v>4.5435947891659341E-2</v>
      </c>
      <c r="V41" s="12">
        <v>4.6036691150504794E-2</v>
      </c>
      <c r="W41" s="12">
        <v>4.9630778258356295E-2</v>
      </c>
      <c r="X41" s="12">
        <v>5.4616059692168754E-2</v>
      </c>
      <c r="Y41" s="12">
        <v>6.2255005889280388E-2</v>
      </c>
      <c r="Z41" s="12">
        <v>5.7028601564675679E-2</v>
      </c>
      <c r="AA41" s="12">
        <v>5.9307383361669297E-2</v>
      </c>
      <c r="AB41" s="12">
        <v>7.2530996045776619E-2</v>
      </c>
      <c r="AC41" s="12">
        <v>8.0787534737091993E-2</v>
      </c>
      <c r="AD41" s="12">
        <v>6.3591206491675295E-2</v>
      </c>
      <c r="AE41" s="12">
        <v>5.8279721464529609E-2</v>
      </c>
      <c r="AF41" s="12">
        <v>8.6254267740019944E-2</v>
      </c>
      <c r="AG41" s="12">
        <v>0.10422777381869762</v>
      </c>
      <c r="AH41" s="12">
        <v>7.6860798142148079E-2</v>
      </c>
      <c r="AI41" s="12">
        <v>7.7019208795629943E-2</v>
      </c>
      <c r="AJ41" s="12">
        <v>7.438839813427206E-2</v>
      </c>
      <c r="AK41" s="12">
        <v>7.7352934314325217E-2</v>
      </c>
      <c r="AL41" s="12">
        <v>9.9396432167403279E-2</v>
      </c>
      <c r="AM41" s="12">
        <v>0.12005181997346051</v>
      </c>
      <c r="AN41" s="12">
        <v>0.13930953820413353</v>
      </c>
      <c r="AO41" s="12">
        <v>0.11932403019271824</v>
      </c>
      <c r="AP41" s="12">
        <v>9.5058722668257822E-2</v>
      </c>
      <c r="AQ41" s="12">
        <v>9.7363551011295235E-2</v>
      </c>
      <c r="AR41" s="12">
        <v>8.588176626890473E-2</v>
      </c>
      <c r="AS41" s="12">
        <v>7.2059542941861551E-2</v>
      </c>
      <c r="AT41" s="12">
        <v>6.9447297022016713E-2</v>
      </c>
      <c r="AU41" s="12">
        <v>7.212436288682611E-2</v>
      </c>
      <c r="AV41" s="12">
        <v>8.8028155046519563E-2</v>
      </c>
      <c r="AW41" s="12">
        <v>9.6354915867203308E-2</v>
      </c>
      <c r="AX41" s="12">
        <v>8.5817108616379964E-2</v>
      </c>
      <c r="AY41" s="12">
        <v>7.3962792466979468E-2</v>
      </c>
      <c r="AZ41" s="12">
        <v>5.7132434192124756E-2</v>
      </c>
      <c r="BA41" s="12">
        <v>5.7989423546240267E-2</v>
      </c>
      <c r="BB41" s="12">
        <v>5.9400471566150283E-2</v>
      </c>
      <c r="BC41" s="12">
        <v>4.7785455321685245E-2</v>
      </c>
      <c r="BD41" s="12">
        <v>4.4430146778104251E-2</v>
      </c>
      <c r="BE41" s="12">
        <v>4.1352092186909661E-2</v>
      </c>
      <c r="BF41" s="12">
        <v>3.9510147219643993E-2</v>
      </c>
      <c r="BG41" s="12">
        <v>4.8764782564484258E-2</v>
      </c>
      <c r="BH41" s="12">
        <v>3.8688763607497109E-2</v>
      </c>
      <c r="BI41" s="12">
        <v>2.8962843053612804E-2</v>
      </c>
      <c r="BJ41" s="12">
        <v>2.2565492448344052E-2</v>
      </c>
      <c r="BK41" s="12">
        <v>2.4097420018320066E-2</v>
      </c>
      <c r="BL41" s="12">
        <v>2.7830400917681949E-2</v>
      </c>
      <c r="BM41" s="12">
        <v>3.657379469833752E-2</v>
      </c>
      <c r="BN41" s="12">
        <v>4.2307966373964855E-2</v>
      </c>
      <c r="BO41" s="12">
        <v>3.6497181944516122E-2</v>
      </c>
      <c r="BP41" s="12">
        <v>1.3606428754510924E-2</v>
      </c>
      <c r="BQ41" s="12">
        <v>8.96033113101939E-3</v>
      </c>
      <c r="BR41" s="12">
        <v>1.5376370706317224E-2</v>
      </c>
    </row>
    <row r="42" spans="1:136" ht="14.4" x14ac:dyDescent="0.3">
      <c r="C42" s="5"/>
      <c r="D42" s="1" t="s">
        <v>172</v>
      </c>
      <c r="E42" s="3" t="s">
        <v>40</v>
      </c>
      <c r="F42" s="3" t="s">
        <v>41</v>
      </c>
      <c r="G42" s="3" t="s">
        <v>42</v>
      </c>
      <c r="H42" s="3" t="s">
        <v>43</v>
      </c>
      <c r="I42" s="3" t="s">
        <v>44</v>
      </c>
      <c r="J42" s="3" t="s">
        <v>45</v>
      </c>
      <c r="K42" s="3" t="s">
        <v>46</v>
      </c>
      <c r="L42" s="3" t="s">
        <v>47</v>
      </c>
      <c r="M42" s="3" t="s">
        <v>48</v>
      </c>
      <c r="N42" s="3" t="s">
        <v>49</v>
      </c>
      <c r="O42" s="3" t="s">
        <v>50</v>
      </c>
      <c r="P42" s="3" t="s">
        <v>51</v>
      </c>
      <c r="Q42" s="3" t="s">
        <v>52</v>
      </c>
      <c r="R42" s="3" t="s">
        <v>53</v>
      </c>
      <c r="S42" s="3" t="s">
        <v>54</v>
      </c>
      <c r="T42" s="3" t="s">
        <v>55</v>
      </c>
      <c r="U42" s="3" t="s">
        <v>56</v>
      </c>
      <c r="V42" s="3" t="s">
        <v>57</v>
      </c>
      <c r="W42" s="3" t="s">
        <v>58</v>
      </c>
      <c r="X42" s="3" t="s">
        <v>59</v>
      </c>
      <c r="Y42" s="3" t="s">
        <v>60</v>
      </c>
      <c r="Z42" s="3" t="s">
        <v>61</v>
      </c>
      <c r="AA42" s="3" t="s">
        <v>62</v>
      </c>
      <c r="AB42" s="3" t="s">
        <v>63</v>
      </c>
      <c r="AC42" s="3" t="s">
        <v>64</v>
      </c>
      <c r="AD42" s="3" t="s">
        <v>65</v>
      </c>
      <c r="AE42" s="3" t="s">
        <v>66</v>
      </c>
      <c r="AF42" s="3" t="s">
        <v>67</v>
      </c>
      <c r="AG42" s="3" t="s">
        <v>68</v>
      </c>
      <c r="AH42" s="3" t="s">
        <v>69</v>
      </c>
      <c r="AI42" s="3" t="s">
        <v>70</v>
      </c>
      <c r="AJ42" s="3" t="s">
        <v>71</v>
      </c>
      <c r="AK42" s="3" t="s">
        <v>72</v>
      </c>
      <c r="AL42" s="3" t="s">
        <v>73</v>
      </c>
      <c r="AM42" s="3" t="s">
        <v>74</v>
      </c>
      <c r="AN42" s="3" t="s">
        <v>75</v>
      </c>
      <c r="AO42" s="3" t="s">
        <v>76</v>
      </c>
      <c r="AP42" s="3" t="s">
        <v>77</v>
      </c>
      <c r="AQ42" s="3" t="s">
        <v>78</v>
      </c>
      <c r="AR42" s="3" t="s">
        <v>79</v>
      </c>
      <c r="AS42" s="3" t="s">
        <v>80</v>
      </c>
      <c r="AT42" s="3" t="s">
        <v>81</v>
      </c>
      <c r="AU42" s="3" t="s">
        <v>82</v>
      </c>
      <c r="AV42" s="3" t="s">
        <v>83</v>
      </c>
      <c r="AW42" s="3" t="s">
        <v>84</v>
      </c>
      <c r="AX42" s="3" t="s">
        <v>85</v>
      </c>
      <c r="AY42" s="3" t="s">
        <v>86</v>
      </c>
      <c r="AZ42" s="3" t="s">
        <v>87</v>
      </c>
      <c r="BA42" s="3" t="s">
        <v>88</v>
      </c>
      <c r="BB42" s="3" t="s">
        <v>89</v>
      </c>
      <c r="BC42" s="3" t="s">
        <v>90</v>
      </c>
      <c r="BD42" s="3" t="s">
        <v>91</v>
      </c>
      <c r="BE42" s="3" t="s">
        <v>92</v>
      </c>
      <c r="BF42" s="3" t="s">
        <v>93</v>
      </c>
      <c r="BG42" s="3" t="s">
        <v>94</v>
      </c>
      <c r="BH42" s="3" t="s">
        <v>95</v>
      </c>
      <c r="BI42" s="3" t="s">
        <v>96</v>
      </c>
      <c r="BJ42" s="3" t="s">
        <v>97</v>
      </c>
      <c r="BK42" s="3" t="s">
        <v>98</v>
      </c>
      <c r="BL42" s="3" t="s">
        <v>99</v>
      </c>
      <c r="BM42" s="3" t="s">
        <v>100</v>
      </c>
      <c r="BN42" s="3" t="s">
        <v>101</v>
      </c>
      <c r="BO42" s="3" t="s">
        <v>102</v>
      </c>
      <c r="BP42" s="3" t="s">
        <v>103</v>
      </c>
      <c r="BQ42" s="3" t="s">
        <v>104</v>
      </c>
      <c r="BR42" s="21" t="s">
        <v>105</v>
      </c>
      <c r="BS42" s="21" t="s">
        <v>106</v>
      </c>
      <c r="BT42" s="21" t="s">
        <v>107</v>
      </c>
      <c r="BU42" s="21" t="s">
        <v>108</v>
      </c>
      <c r="BV42" s="21" t="s">
        <v>109</v>
      </c>
      <c r="BW42" s="21" t="s">
        <v>110</v>
      </c>
      <c r="BX42" s="21" t="s">
        <v>111</v>
      </c>
      <c r="BY42" s="21" t="s">
        <v>112</v>
      </c>
      <c r="BZ42" s="21" t="s">
        <v>113</v>
      </c>
      <c r="CA42" s="21" t="s">
        <v>114</v>
      </c>
      <c r="CB42" s="21" t="s">
        <v>115</v>
      </c>
      <c r="CC42" s="21" t="s">
        <v>116</v>
      </c>
      <c r="CD42" s="21" t="s">
        <v>117</v>
      </c>
      <c r="CE42" s="21" t="s">
        <v>118</v>
      </c>
      <c r="CF42" s="21" t="s">
        <v>119</v>
      </c>
      <c r="CG42" s="21" t="s">
        <v>120</v>
      </c>
      <c r="CH42" s="21" t="s">
        <v>121</v>
      </c>
      <c r="CI42" s="21" t="s">
        <v>122</v>
      </c>
      <c r="CJ42" s="21" t="s">
        <v>123</v>
      </c>
      <c r="CK42" s="21" t="s">
        <v>124</v>
      </c>
      <c r="CL42" s="21" t="s">
        <v>125</v>
      </c>
      <c r="CM42" s="22" t="s">
        <v>126</v>
      </c>
      <c r="CN42" s="22" t="s">
        <v>127</v>
      </c>
      <c r="CO42" s="22" t="s">
        <v>128</v>
      </c>
      <c r="CP42" s="22" t="s">
        <v>129</v>
      </c>
      <c r="CQ42" s="22" t="s">
        <v>130</v>
      </c>
      <c r="CR42" s="22" t="s">
        <v>131</v>
      </c>
      <c r="CS42" s="22" t="s">
        <v>132</v>
      </c>
      <c r="CT42" s="22" t="s">
        <v>133</v>
      </c>
      <c r="CU42" s="22" t="s">
        <v>134</v>
      </c>
      <c r="CV42" s="22" t="s">
        <v>135</v>
      </c>
      <c r="CW42" s="22" t="s">
        <v>136</v>
      </c>
      <c r="CX42" s="22" t="s">
        <v>137</v>
      </c>
      <c r="CY42" s="22" t="s">
        <v>138</v>
      </c>
      <c r="CZ42" s="22" t="s">
        <v>139</v>
      </c>
      <c r="DA42" s="22" t="s">
        <v>140</v>
      </c>
      <c r="DB42" s="22" t="s">
        <v>141</v>
      </c>
      <c r="DC42" s="22" t="s">
        <v>142</v>
      </c>
      <c r="DD42" s="22" t="s">
        <v>143</v>
      </c>
      <c r="DE42" s="22" t="s">
        <v>144</v>
      </c>
      <c r="DF42" s="22" t="s">
        <v>145</v>
      </c>
      <c r="DG42" s="22" t="s">
        <v>146</v>
      </c>
      <c r="DH42" s="22" t="s">
        <v>147</v>
      </c>
      <c r="DI42" s="22" t="s">
        <v>148</v>
      </c>
      <c r="DJ42" s="22" t="s">
        <v>149</v>
      </c>
      <c r="DK42" s="22" t="s">
        <v>150</v>
      </c>
      <c r="DL42" s="22" t="s">
        <v>151</v>
      </c>
      <c r="DM42" s="22" t="s">
        <v>152</v>
      </c>
      <c r="DN42" s="22" t="s">
        <v>153</v>
      </c>
      <c r="DO42" s="22" t="s">
        <v>154</v>
      </c>
      <c r="DP42" s="22" t="s">
        <v>155</v>
      </c>
      <c r="DQ42" s="22" t="s">
        <v>156</v>
      </c>
      <c r="DR42" s="22" t="s">
        <v>157</v>
      </c>
      <c r="DS42" s="22" t="s">
        <v>158</v>
      </c>
      <c r="DT42" s="22" t="s">
        <v>159</v>
      </c>
      <c r="DU42" s="22" t="s">
        <v>160</v>
      </c>
      <c r="DV42" s="22" t="s">
        <v>161</v>
      </c>
      <c r="DW42" s="22" t="s">
        <v>162</v>
      </c>
      <c r="DX42" s="22" t="s">
        <v>163</v>
      </c>
      <c r="DY42" s="22" t="s">
        <v>164</v>
      </c>
      <c r="DZ42" s="22" t="s">
        <v>165</v>
      </c>
      <c r="EA42" s="22" t="s">
        <v>166</v>
      </c>
      <c r="EB42" s="22" t="s">
        <v>167</v>
      </c>
      <c r="EC42" s="22" t="s">
        <v>168</v>
      </c>
      <c r="ED42" s="22" t="s">
        <v>169</v>
      </c>
      <c r="EE42" s="22" t="s">
        <v>170</v>
      </c>
      <c r="EF42" s="22" t="s">
        <v>171</v>
      </c>
    </row>
    <row r="43" spans="1:136" ht="14.4" x14ac:dyDescent="0.3">
      <c r="A43" s="3"/>
      <c r="C43" s="5"/>
      <c r="D43" s="1" t="s">
        <v>38</v>
      </c>
      <c r="E43" s="1">
        <v>0.15945500000000001</v>
      </c>
      <c r="F43" s="1">
        <v>0.15992899999999999</v>
      </c>
      <c r="G43" s="1">
        <v>0.156724</v>
      </c>
      <c r="H43" s="1">
        <v>0.15345200000000001</v>
      </c>
      <c r="I43" s="1">
        <v>0.15448600000000001</v>
      </c>
      <c r="J43" s="1">
        <v>0.156553</v>
      </c>
      <c r="K43" s="1">
        <v>0.15470500000000001</v>
      </c>
      <c r="L43" s="1">
        <v>0.155863</v>
      </c>
      <c r="M43" s="1">
        <v>0.15709400000000001</v>
      </c>
      <c r="N43" s="1">
        <v>0.15747</v>
      </c>
      <c r="O43" s="1">
        <v>0.156361</v>
      </c>
      <c r="P43" s="1">
        <v>0.15617400000000001</v>
      </c>
      <c r="Q43" s="1">
        <v>0.15614700000000001</v>
      </c>
      <c r="R43" s="1">
        <v>0.156224</v>
      </c>
      <c r="S43" s="1">
        <v>0.155725</v>
      </c>
      <c r="T43" s="1">
        <v>0.156385</v>
      </c>
      <c r="U43" s="1">
        <v>0.156497</v>
      </c>
      <c r="V43" s="1">
        <v>0.157689</v>
      </c>
      <c r="W43" s="1">
        <v>0.15872800000000001</v>
      </c>
      <c r="X43" s="1">
        <v>0.16083500000000001</v>
      </c>
      <c r="Y43" s="1">
        <v>0.165432</v>
      </c>
      <c r="Z43" s="1">
        <v>0.16650999999999999</v>
      </c>
      <c r="AA43" s="1">
        <v>0.17133599999999999</v>
      </c>
      <c r="AB43" s="1">
        <v>0.17294699999999999</v>
      </c>
      <c r="AC43" s="1">
        <v>0.17317099999999999</v>
      </c>
      <c r="AD43" s="1">
        <v>0.174461</v>
      </c>
      <c r="AE43" s="1">
        <v>0.17610300000000001</v>
      </c>
      <c r="AF43" s="1">
        <v>0.178398</v>
      </c>
      <c r="AG43" s="1">
        <v>0.17682</v>
      </c>
      <c r="AH43" s="1">
        <v>0.17929700000000001</v>
      </c>
      <c r="AI43" s="1">
        <v>0.17727799999999999</v>
      </c>
      <c r="AJ43" s="1">
        <v>0.17519699999999999</v>
      </c>
      <c r="AK43" s="1">
        <v>0.17433299999999999</v>
      </c>
      <c r="AL43" s="1">
        <v>0.173708</v>
      </c>
      <c r="AM43" s="1">
        <v>0.17293900000000001</v>
      </c>
      <c r="AN43" s="1">
        <v>0.17147299999999999</v>
      </c>
      <c r="AO43" s="1">
        <v>0.17038300000000001</v>
      </c>
      <c r="AP43" s="1">
        <v>0.172236</v>
      </c>
      <c r="AQ43" s="1">
        <v>0.17322799999999999</v>
      </c>
      <c r="AR43" s="1">
        <v>0.17335900000000001</v>
      </c>
      <c r="AS43" s="1">
        <v>0.17266100000000001</v>
      </c>
      <c r="AT43" s="1">
        <v>0.172545</v>
      </c>
      <c r="AU43" s="1">
        <v>0.17266300000000001</v>
      </c>
      <c r="AV43" s="1">
        <v>0.173265</v>
      </c>
      <c r="AW43" s="1">
        <v>0.17310800000000001</v>
      </c>
      <c r="AX43" s="1">
        <v>0.17154900000000001</v>
      </c>
      <c r="AY43" s="1">
        <v>0.170519</v>
      </c>
      <c r="AZ43" s="1">
        <v>0.168459</v>
      </c>
      <c r="BA43" s="1">
        <v>0.1658</v>
      </c>
      <c r="BB43" s="1">
        <v>0.16416800000000001</v>
      </c>
      <c r="BC43" s="1">
        <v>0.162545</v>
      </c>
      <c r="BD43" s="1">
        <v>0.16039400000000001</v>
      </c>
      <c r="BE43" s="1">
        <v>0.162768</v>
      </c>
      <c r="BF43" s="1">
        <v>0.160168</v>
      </c>
      <c r="BG43" s="1">
        <v>0.16092100000000001</v>
      </c>
      <c r="BH43" s="1">
        <v>0.159524</v>
      </c>
      <c r="BI43" s="1">
        <v>0.16180900000000001</v>
      </c>
      <c r="BJ43" s="1">
        <v>0.16156499999999999</v>
      </c>
      <c r="BK43" s="1">
        <v>0.16276299999999999</v>
      </c>
      <c r="BL43" s="1">
        <v>0.163656</v>
      </c>
      <c r="BM43" s="1">
        <v>0.16577600000000001</v>
      </c>
      <c r="BN43" s="1">
        <v>0.168265</v>
      </c>
      <c r="BO43" s="1">
        <v>0.16960800000000001</v>
      </c>
      <c r="BP43" s="1">
        <v>0.17041899999999999</v>
      </c>
      <c r="BQ43" s="1">
        <v>0.17039299999999999</v>
      </c>
      <c r="BR43" s="4">
        <v>0.17052100000000001</v>
      </c>
      <c r="BS43" s="4">
        <v>0.17124</v>
      </c>
      <c r="BT43" s="4">
        <v>0.171987</v>
      </c>
      <c r="BU43" s="4">
        <v>0.17178499999999999</v>
      </c>
      <c r="BV43" s="4">
        <v>0.17242299999999999</v>
      </c>
      <c r="BW43" s="4">
        <v>0.172483</v>
      </c>
      <c r="BX43" s="4">
        <v>0.17160400000000001</v>
      </c>
      <c r="BY43" s="4">
        <v>0.16903599999999999</v>
      </c>
      <c r="BZ43" s="4">
        <v>0.16880000000000001</v>
      </c>
      <c r="CA43" s="4">
        <v>0.16849900000000001</v>
      </c>
      <c r="CB43" s="4">
        <v>0.169208</v>
      </c>
      <c r="CC43" s="4">
        <v>0.17016899999999999</v>
      </c>
      <c r="CD43" s="4">
        <v>0.171871</v>
      </c>
      <c r="CE43" s="4">
        <v>0.173094</v>
      </c>
      <c r="CF43" s="4">
        <v>0.17226900000000001</v>
      </c>
      <c r="CG43" s="4">
        <v>0.17039799999999999</v>
      </c>
      <c r="CH43" s="4">
        <v>0.171712</v>
      </c>
      <c r="CI43" s="4">
        <v>0.172795</v>
      </c>
      <c r="CJ43" s="4">
        <v>0.17528199999999999</v>
      </c>
      <c r="CK43" s="4">
        <v>0.17624200000000001</v>
      </c>
      <c r="CL43" s="4">
        <v>0.178728</v>
      </c>
      <c r="CM43" s="5">
        <v>0.17663100000000001</v>
      </c>
      <c r="CN43" s="5">
        <v>0.18141199999999999</v>
      </c>
      <c r="CO43" s="5">
        <v>0.178735</v>
      </c>
      <c r="CP43" s="5">
        <v>0.17866899999999999</v>
      </c>
      <c r="CQ43" s="5">
        <v>0.18013299999999999</v>
      </c>
      <c r="CR43" s="5">
        <v>0.180446</v>
      </c>
      <c r="CS43" s="5">
        <v>0.18021799999999999</v>
      </c>
      <c r="CT43" s="5">
        <v>0.17882600000000001</v>
      </c>
      <c r="CU43" s="5">
        <v>0.17729</v>
      </c>
      <c r="CV43" s="5">
        <v>0.17779700000000001</v>
      </c>
      <c r="CW43" s="5">
        <v>0.17824899999999999</v>
      </c>
      <c r="CX43" s="5">
        <v>0.17765600000000001</v>
      </c>
      <c r="CY43" s="5">
        <v>0.17896899999999999</v>
      </c>
      <c r="CZ43" s="5">
        <v>0.17813000000000001</v>
      </c>
      <c r="DA43" s="5">
        <v>0.18268100000000001</v>
      </c>
      <c r="DB43" s="5">
        <v>0.18371999999999999</v>
      </c>
      <c r="DC43" s="5">
        <v>0.18234500000000001</v>
      </c>
      <c r="DD43" s="5">
        <v>0.18324299999999999</v>
      </c>
      <c r="DE43" s="5">
        <v>0.18412999999999999</v>
      </c>
      <c r="DF43" s="5">
        <v>0.184921</v>
      </c>
      <c r="DG43" s="5">
        <v>0.18650700000000001</v>
      </c>
      <c r="DH43" s="5">
        <v>0.187226</v>
      </c>
      <c r="DI43" s="5">
        <v>0.18759999999999999</v>
      </c>
      <c r="DJ43" s="5">
        <v>0.188528</v>
      </c>
      <c r="DK43" s="5">
        <v>0.18979499999999999</v>
      </c>
      <c r="DL43" s="5">
        <v>0.188892</v>
      </c>
      <c r="DM43" s="5">
        <v>0.18535699999999999</v>
      </c>
      <c r="DN43" s="5">
        <v>0.18041199999999999</v>
      </c>
      <c r="DO43" s="5">
        <v>0.18258199999999999</v>
      </c>
      <c r="DP43" s="5">
        <v>0.18467600000000001</v>
      </c>
      <c r="DQ43" s="5">
        <v>0.18671599999999999</v>
      </c>
      <c r="DR43" s="5">
        <v>0.18465999999999999</v>
      </c>
      <c r="DS43" s="5">
        <v>0.18427399999999999</v>
      </c>
      <c r="DT43" s="5">
        <v>0.18116099999999999</v>
      </c>
      <c r="DU43" s="5">
        <v>0.17576800000000001</v>
      </c>
      <c r="DV43" s="5">
        <v>0.17134199999999999</v>
      </c>
      <c r="DW43" s="5">
        <v>0.16888900000000001</v>
      </c>
      <c r="DX43" s="5">
        <v>0.16602</v>
      </c>
      <c r="DY43" s="5">
        <v>0.16173100000000001</v>
      </c>
      <c r="DZ43" s="5">
        <v>0.16101299999999999</v>
      </c>
      <c r="EA43" s="5">
        <v>0.160718</v>
      </c>
      <c r="EB43" s="5">
        <v>0.16056899999999999</v>
      </c>
      <c r="EC43" s="5">
        <v>0.15857199999999999</v>
      </c>
      <c r="ED43" s="5">
        <v>0.15779299999999999</v>
      </c>
      <c r="EE43" s="5">
        <v>0.156918</v>
      </c>
      <c r="EF43" s="5">
        <v>0.15484899999999999</v>
      </c>
    </row>
    <row r="44" spans="1:136" ht="27" x14ac:dyDescent="0.3">
      <c r="A44" s="3"/>
      <c r="C44" s="5"/>
      <c r="D44" s="20" t="s">
        <v>39</v>
      </c>
      <c r="E44" s="1">
        <v>0.111181</v>
      </c>
      <c r="F44" s="1">
        <v>0.11090999999999999</v>
      </c>
      <c r="G44" s="1">
        <v>0.107849</v>
      </c>
      <c r="H44" s="1">
        <v>0.10505200000000001</v>
      </c>
      <c r="I44" s="1">
        <v>0.105674</v>
      </c>
      <c r="J44" s="1">
        <v>0.106986</v>
      </c>
      <c r="K44" s="1">
        <v>0.10545</v>
      </c>
      <c r="L44" s="1">
        <v>0.105961</v>
      </c>
      <c r="M44" s="1">
        <v>0.10682800000000001</v>
      </c>
      <c r="N44" s="1">
        <v>0.107169</v>
      </c>
      <c r="O44" s="1">
        <v>0.105889</v>
      </c>
      <c r="P44" s="1">
        <v>0.105346</v>
      </c>
      <c r="Q44" s="1">
        <v>0.10524</v>
      </c>
      <c r="R44" s="1">
        <v>0.105349</v>
      </c>
      <c r="S44" s="1">
        <v>0.105091</v>
      </c>
      <c r="T44" s="1">
        <v>0.10582999999999999</v>
      </c>
      <c r="U44" s="1">
        <v>0.106492</v>
      </c>
      <c r="V44" s="1">
        <v>0.107831</v>
      </c>
      <c r="W44" s="1">
        <v>0.108581</v>
      </c>
      <c r="X44" s="1">
        <v>0.10997899999999999</v>
      </c>
      <c r="Y44" s="1">
        <v>0.113562</v>
      </c>
      <c r="Z44" s="1">
        <v>0.11450299999999999</v>
      </c>
      <c r="AA44" s="1">
        <v>0.11785900000000001</v>
      </c>
      <c r="AB44" s="1">
        <v>0.119046</v>
      </c>
      <c r="AC44" s="1">
        <v>0.119421</v>
      </c>
      <c r="AD44" s="1">
        <v>0.120285</v>
      </c>
      <c r="AE44" s="1">
        <v>0.121544</v>
      </c>
      <c r="AF44" s="1">
        <v>0.12317400000000001</v>
      </c>
      <c r="AG44" s="1">
        <v>0.121708</v>
      </c>
      <c r="AH44" s="1">
        <v>0.123293</v>
      </c>
      <c r="AI44" s="1">
        <v>0.121841</v>
      </c>
      <c r="AJ44" s="1">
        <v>0.12024600000000001</v>
      </c>
      <c r="AK44" s="1">
        <v>0.119764</v>
      </c>
      <c r="AL44" s="1">
        <v>0.119584</v>
      </c>
      <c r="AM44" s="1">
        <v>0.119115</v>
      </c>
      <c r="AN44" s="1">
        <v>0.117854</v>
      </c>
      <c r="AO44" s="1">
        <v>0.117314</v>
      </c>
      <c r="AP44" s="1">
        <v>0.11888600000000001</v>
      </c>
      <c r="AQ44" s="1">
        <v>0.119703</v>
      </c>
      <c r="AR44" s="1">
        <v>0.119779</v>
      </c>
      <c r="AS44" s="1">
        <v>0.119232</v>
      </c>
      <c r="AT44" s="1">
        <v>0.118965</v>
      </c>
      <c r="AU44" s="1">
        <v>0.118843</v>
      </c>
      <c r="AV44" s="1">
        <v>0.11902500000000001</v>
      </c>
      <c r="AW44" s="1">
        <v>0.11868099999999999</v>
      </c>
      <c r="AX44" s="1">
        <v>0.117129</v>
      </c>
      <c r="AY44" s="1">
        <v>0.116031</v>
      </c>
      <c r="AZ44" s="1">
        <v>0.11412899999999999</v>
      </c>
      <c r="BA44" s="1">
        <v>0.11187</v>
      </c>
      <c r="BB44" s="1">
        <v>0.110295</v>
      </c>
      <c r="BC44" s="1">
        <v>0.108763</v>
      </c>
      <c r="BD44" s="1">
        <v>0.107006</v>
      </c>
      <c r="BE44" s="1">
        <v>0.108804</v>
      </c>
      <c r="BF44" s="1">
        <v>0.10697</v>
      </c>
      <c r="BG44" s="1">
        <v>0.107459</v>
      </c>
      <c r="BH44" s="1">
        <v>0.106298</v>
      </c>
      <c r="BI44" s="1">
        <v>0.107653</v>
      </c>
      <c r="BJ44" s="1">
        <v>0.107641</v>
      </c>
      <c r="BK44" s="1">
        <v>0.108766</v>
      </c>
      <c r="BL44" s="1">
        <v>0.109968</v>
      </c>
      <c r="BM44" s="1">
        <v>0.11193599999999999</v>
      </c>
      <c r="BN44" s="1">
        <v>0.114135</v>
      </c>
      <c r="BO44" s="1">
        <v>0.115326</v>
      </c>
      <c r="BP44" s="1">
        <v>0.116123</v>
      </c>
      <c r="BQ44" s="1">
        <v>0.116535</v>
      </c>
      <c r="BR44" s="4">
        <v>0.117023</v>
      </c>
      <c r="BS44" s="4">
        <v>0.11772000000000001</v>
      </c>
      <c r="BT44" s="4">
        <v>0.118409</v>
      </c>
      <c r="BU44" s="4">
        <v>0.118052</v>
      </c>
      <c r="BV44" s="4">
        <v>0.118364</v>
      </c>
      <c r="BW44" s="4">
        <v>0.118531</v>
      </c>
      <c r="BX44" s="4">
        <v>0.118161</v>
      </c>
      <c r="BY44" s="4">
        <v>0.116533</v>
      </c>
      <c r="BZ44" s="4">
        <v>0.116795</v>
      </c>
      <c r="CA44" s="4">
        <v>0.11669</v>
      </c>
      <c r="CB44" s="4">
        <v>0.117259</v>
      </c>
      <c r="CC44" s="4">
        <v>0.118017</v>
      </c>
      <c r="CD44" s="4">
        <v>0.119422</v>
      </c>
      <c r="CE44" s="4">
        <v>0.120613</v>
      </c>
      <c r="CF44" s="4">
        <v>0.120383</v>
      </c>
      <c r="CG44" s="4">
        <v>0.119522</v>
      </c>
      <c r="CH44" s="4">
        <v>0.121131</v>
      </c>
      <c r="CI44" s="4">
        <v>0.122462</v>
      </c>
      <c r="CJ44" s="4">
        <v>0.12461999999999999</v>
      </c>
      <c r="CK44" s="4">
        <v>0.125607</v>
      </c>
      <c r="CL44" s="4">
        <v>0.12754099999999999</v>
      </c>
      <c r="CM44" s="5">
        <v>0.12615899999999999</v>
      </c>
      <c r="CN44" s="5">
        <v>0.12992999999999999</v>
      </c>
      <c r="CO44" s="5">
        <v>0.12837799999999999</v>
      </c>
      <c r="CP44" s="5">
        <v>0.12878200000000001</v>
      </c>
      <c r="CQ44" s="5">
        <v>0.13026099999999999</v>
      </c>
      <c r="CR44" s="5">
        <v>0.130962</v>
      </c>
      <c r="CS44" s="5">
        <v>0.131325</v>
      </c>
      <c r="CT44" s="5">
        <v>0.13079099999999999</v>
      </c>
      <c r="CU44" s="5">
        <v>0.13004099999999999</v>
      </c>
      <c r="CV44" s="5">
        <v>0.13070399999999999</v>
      </c>
      <c r="CW44" s="5">
        <v>0.13128300000000001</v>
      </c>
      <c r="CX44" s="5">
        <v>0.13091700000000001</v>
      </c>
      <c r="CY44" s="5">
        <v>0.13225999999999999</v>
      </c>
      <c r="CZ44" s="5">
        <v>0.13192000000000001</v>
      </c>
      <c r="DA44" s="5">
        <v>0.135605</v>
      </c>
      <c r="DB44" s="5">
        <v>0.13666300000000001</v>
      </c>
      <c r="DC44" s="5">
        <v>0.13544800000000001</v>
      </c>
      <c r="DD44" s="5">
        <v>0.136291</v>
      </c>
      <c r="DE44" s="5">
        <v>0.13738300000000001</v>
      </c>
      <c r="DF44" s="5">
        <v>0.13799900000000001</v>
      </c>
      <c r="DG44" s="5">
        <v>0.13914299999999999</v>
      </c>
      <c r="DH44" s="5">
        <v>0.13936999999999999</v>
      </c>
      <c r="DI44" s="5">
        <v>0.139316</v>
      </c>
      <c r="DJ44" s="5">
        <v>0.139797</v>
      </c>
      <c r="DK44" s="5">
        <v>0.140872</v>
      </c>
      <c r="DL44" s="5">
        <v>0.14032900000000001</v>
      </c>
      <c r="DM44" s="5">
        <v>0.13753099999999999</v>
      </c>
      <c r="DN44" s="5">
        <v>0.13356399999999999</v>
      </c>
      <c r="DO44" s="5">
        <v>0.13449</v>
      </c>
      <c r="DP44" s="5">
        <v>0.135098</v>
      </c>
      <c r="DQ44" s="5">
        <v>0.13555200000000001</v>
      </c>
      <c r="DR44" s="5">
        <v>0.13305400000000001</v>
      </c>
      <c r="DS44" s="5">
        <v>0.131966</v>
      </c>
      <c r="DT44" s="5">
        <v>0.12915499999999999</v>
      </c>
      <c r="DU44" s="5">
        <v>0.12475600000000001</v>
      </c>
      <c r="DV44" s="5">
        <v>0.121076</v>
      </c>
      <c r="DW44" s="5">
        <v>0.11866400000000001</v>
      </c>
      <c r="DX44" s="5">
        <v>0.11576599999999999</v>
      </c>
      <c r="DY44" s="5">
        <v>0.111848</v>
      </c>
      <c r="DZ44" s="5">
        <v>0.110912</v>
      </c>
      <c r="EA44" s="5">
        <v>0.110273</v>
      </c>
      <c r="EB44" s="5">
        <v>0.109807</v>
      </c>
      <c r="EC44" s="5">
        <v>0.107728</v>
      </c>
      <c r="ED44" s="5">
        <v>0.10679</v>
      </c>
      <c r="EE44" s="5">
        <v>0.105605</v>
      </c>
      <c r="EF44" s="5">
        <v>0.103753</v>
      </c>
    </row>
    <row r="45" spans="1:136" ht="14.4" x14ac:dyDescent="0.3">
      <c r="A45" s="3"/>
      <c r="C45" s="5"/>
      <c r="D45" s="20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</row>
    <row r="46" spans="1:136" ht="14.4" x14ac:dyDescent="0.3">
      <c r="A46" s="3"/>
      <c r="D46" s="3"/>
      <c r="E46" s="3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</row>
    <row r="47" spans="1:136" ht="14.4" x14ac:dyDescent="0.3">
      <c r="A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</row>
    <row r="48" spans="1:136" ht="14.4" x14ac:dyDescent="0.3">
      <c r="A48" s="59"/>
      <c r="B48" s="71"/>
      <c r="C48" s="5"/>
      <c r="D48" s="9"/>
      <c r="E48" s="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</row>
    <row r="49" spans="1:91" ht="14.4" x14ac:dyDescent="0.3">
      <c r="A49" s="59"/>
      <c r="B49" s="2"/>
      <c r="C49" s="2"/>
      <c r="D49" s="9"/>
      <c r="E49" s="3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</row>
    <row r="50" spans="1:91" ht="14.4" x14ac:dyDescent="0.3">
      <c r="A50" s="59"/>
      <c r="B50" s="2"/>
      <c r="C50" s="2"/>
      <c r="D50" s="9"/>
      <c r="E50" s="3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spans="1:91" ht="14.4" x14ac:dyDescent="0.3">
      <c r="A51" s="3"/>
      <c r="C51" s="2"/>
      <c r="D51" s="3"/>
      <c r="E51" s="3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spans="1:91" ht="14.4" x14ac:dyDescent="0.3">
      <c r="A52" s="3"/>
      <c r="C52" s="2"/>
      <c r="D52" s="9"/>
      <c r="E52" s="3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  <row r="53" spans="1:91" ht="14.4" x14ac:dyDescent="0.3">
      <c r="A53" s="3"/>
      <c r="D53" s="9"/>
      <c r="E53" s="3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</row>
    <row r="54" spans="1:91" ht="14.4" x14ac:dyDescent="0.3">
      <c r="A54" s="3"/>
      <c r="C54" s="62"/>
      <c r="D54" s="3"/>
      <c r="E54" s="3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</row>
    <row r="55" spans="1:91" ht="14.4" x14ac:dyDescent="0.3">
      <c r="A55" s="3"/>
      <c r="D55" s="3"/>
      <c r="E55" s="3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</row>
    <row r="56" spans="1:91" ht="14.4" x14ac:dyDescent="0.3">
      <c r="A56" s="3"/>
      <c r="D56" s="3"/>
      <c r="E56" s="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</row>
    <row r="57" spans="1:91" ht="14.4" x14ac:dyDescent="0.3">
      <c r="A57" s="3"/>
      <c r="D57" s="3"/>
      <c r="E57" s="3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</row>
    <row r="58" spans="1:91" ht="14.4" x14ac:dyDescent="0.3">
      <c r="A58" s="3"/>
      <c r="D58" s="3"/>
      <c r="E58" s="3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</row>
    <row r="59" spans="1:91" ht="14.4" x14ac:dyDescent="0.3">
      <c r="A59" s="3"/>
      <c r="D59" s="3"/>
      <c r="E59" s="3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</row>
    <row r="60" spans="1:91" ht="14.4" x14ac:dyDescent="0.3">
      <c r="A60" s="3"/>
      <c r="D60" s="3"/>
      <c r="E60" s="3"/>
    </row>
    <row r="79" spans="9:9" x14ac:dyDescent="0.35">
      <c r="I79" s="94"/>
    </row>
    <row r="93" spans="9:9" x14ac:dyDescent="0.35">
      <c r="I93" s="9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T79"/>
  <sheetViews>
    <sheetView tabSelected="1" zoomScale="80" zoomScaleNormal="80" workbookViewId="0">
      <pane xSplit="1" ySplit="13" topLeftCell="C65" activePane="bottomRight" state="frozen"/>
      <selection pane="topRight" activeCell="B1" sqref="B1"/>
      <selection pane="bottomLeft" activeCell="A14" sqref="A14"/>
      <selection pane="bottomRight" activeCell="C80" sqref="C80"/>
    </sheetView>
  </sheetViews>
  <sheetFormatPr defaultRowHeight="14.5" x14ac:dyDescent="0.35"/>
  <cols>
    <col min="1" max="1" width="27.36328125" bestFit="1" customWidth="1"/>
    <col min="2" max="2" width="13.08984375" customWidth="1"/>
    <col min="3" max="3" width="14.08984375" customWidth="1"/>
    <col min="5" max="5" width="11.453125" customWidth="1"/>
    <col min="7" max="7" width="10.54296875" customWidth="1"/>
    <col min="8" max="8" width="18.90625" customWidth="1"/>
    <col min="9" max="9" width="11.1796875" customWidth="1"/>
    <col min="13" max="13" width="11.81640625" customWidth="1"/>
    <col min="14" max="14" width="12.36328125" customWidth="1"/>
  </cols>
  <sheetData>
    <row r="1" spans="1:20" x14ac:dyDescent="0.35">
      <c r="A1" s="40" t="s">
        <v>250</v>
      </c>
      <c r="B1" s="40"/>
      <c r="C1" s="58" t="s">
        <v>249</v>
      </c>
    </row>
    <row r="2" spans="1:20" x14ac:dyDescent="0.35">
      <c r="A2" s="56" t="s">
        <v>248</v>
      </c>
      <c r="B2" s="57"/>
      <c r="C2" s="56" t="s">
        <v>247</v>
      </c>
      <c r="H2" s="40" t="s">
        <v>246</v>
      </c>
    </row>
    <row r="3" spans="1:20" x14ac:dyDescent="0.35">
      <c r="A3" s="53" t="s">
        <v>245</v>
      </c>
      <c r="B3" s="52"/>
      <c r="C3" s="53" t="s">
        <v>245</v>
      </c>
      <c r="H3" t="s">
        <v>244</v>
      </c>
      <c r="I3" s="55"/>
      <c r="J3" s="5"/>
      <c r="N3" s="40" t="s">
        <v>243</v>
      </c>
      <c r="O3" s="40"/>
      <c r="P3" s="40"/>
      <c r="Q3" s="40"/>
      <c r="R3" s="40"/>
      <c r="S3" s="40"/>
      <c r="T3" s="40"/>
    </row>
    <row r="4" spans="1:20" x14ac:dyDescent="0.35">
      <c r="A4" s="53" t="s">
        <v>242</v>
      </c>
      <c r="B4" s="52"/>
      <c r="C4" s="53" t="s">
        <v>241</v>
      </c>
      <c r="H4" t="s">
        <v>240</v>
      </c>
      <c r="N4" s="40" t="s">
        <v>239</v>
      </c>
      <c r="O4" s="40"/>
      <c r="P4" s="40"/>
      <c r="Q4" s="40"/>
      <c r="R4" s="40"/>
      <c r="S4" s="40"/>
      <c r="T4" s="40"/>
    </row>
    <row r="5" spans="1:20" x14ac:dyDescent="0.35">
      <c r="A5" s="53" t="s">
        <v>238</v>
      </c>
      <c r="B5" s="52"/>
      <c r="C5" s="53" t="s">
        <v>238</v>
      </c>
      <c r="H5" t="s">
        <v>237</v>
      </c>
      <c r="N5" s="54" t="s">
        <v>236</v>
      </c>
      <c r="O5" s="40"/>
      <c r="P5" s="40"/>
      <c r="Q5" s="40"/>
      <c r="R5" s="40"/>
      <c r="S5" s="40"/>
      <c r="T5" s="40"/>
    </row>
    <row r="6" spans="1:20" x14ac:dyDescent="0.35">
      <c r="A6" s="53"/>
      <c r="B6" s="52"/>
      <c r="C6" s="51"/>
      <c r="H6" t="s">
        <v>235</v>
      </c>
      <c r="N6" s="40" t="s">
        <v>234</v>
      </c>
      <c r="O6" s="40"/>
      <c r="P6" s="40"/>
      <c r="Q6" s="40"/>
      <c r="R6" s="40"/>
      <c r="S6" s="40"/>
      <c r="T6" s="40"/>
    </row>
    <row r="7" spans="1:20" x14ac:dyDescent="0.35">
      <c r="A7" s="53"/>
      <c r="B7" s="52"/>
      <c r="C7" s="51"/>
      <c r="H7" t="s">
        <v>2</v>
      </c>
      <c r="I7" t="s">
        <v>233</v>
      </c>
      <c r="J7" t="s">
        <v>232</v>
      </c>
      <c r="K7" t="s">
        <v>231</v>
      </c>
      <c r="L7" t="s">
        <v>230</v>
      </c>
      <c r="N7" s="40" t="s">
        <v>229</v>
      </c>
      <c r="O7" s="40"/>
      <c r="P7" s="40"/>
      <c r="Q7" s="40"/>
      <c r="R7" s="40"/>
      <c r="S7" s="40"/>
      <c r="T7" s="40"/>
    </row>
    <row r="8" spans="1:20" x14ac:dyDescent="0.35">
      <c r="A8" s="53"/>
      <c r="B8" s="52"/>
      <c r="C8" s="51"/>
      <c r="H8" t="s">
        <v>228</v>
      </c>
      <c r="I8">
        <v>0.96254899999999999</v>
      </c>
      <c r="J8">
        <v>6.1502000000000001E-2</v>
      </c>
      <c r="K8">
        <v>15.650679999999999</v>
      </c>
      <c r="L8" s="32">
        <v>0</v>
      </c>
      <c r="N8" s="40" t="s">
        <v>227</v>
      </c>
      <c r="O8" s="40"/>
      <c r="P8" s="40"/>
      <c r="Q8" s="40"/>
      <c r="R8" s="40"/>
      <c r="S8" s="40"/>
      <c r="T8" s="40"/>
    </row>
    <row r="9" spans="1:20" x14ac:dyDescent="0.35">
      <c r="A9" s="53"/>
      <c r="B9" s="52"/>
      <c r="C9" s="51"/>
      <c r="H9" t="s">
        <v>226</v>
      </c>
      <c r="I9">
        <v>0.79057100000000002</v>
      </c>
      <c r="J9">
        <v>1.3916E-2</v>
      </c>
      <c r="K9">
        <v>56.808259999999997</v>
      </c>
      <c r="L9" s="32">
        <v>0</v>
      </c>
      <c r="N9" s="40" t="s">
        <v>225</v>
      </c>
      <c r="O9" s="40"/>
      <c r="P9" s="40"/>
      <c r="Q9" s="40"/>
      <c r="R9" s="40"/>
      <c r="S9" s="40"/>
      <c r="T9" s="40"/>
    </row>
    <row r="10" spans="1:20" x14ac:dyDescent="0.35">
      <c r="A10" s="53"/>
      <c r="B10" s="52"/>
      <c r="C10" s="51"/>
      <c r="H10" t="s">
        <v>224</v>
      </c>
      <c r="I10">
        <v>0.99384099999999997</v>
      </c>
      <c r="J10" t="s">
        <v>223</v>
      </c>
      <c r="L10">
        <v>-6.2657910000000001</v>
      </c>
      <c r="N10" s="40" t="s">
        <v>222</v>
      </c>
      <c r="O10" s="40"/>
      <c r="P10" s="40"/>
      <c r="Q10" s="40"/>
      <c r="R10" s="40"/>
      <c r="S10" s="40"/>
      <c r="T10" s="40"/>
    </row>
    <row r="11" spans="1:20" x14ac:dyDescent="0.35">
      <c r="A11" s="53"/>
      <c r="B11" s="52"/>
      <c r="C11" s="51"/>
      <c r="H11" t="s">
        <v>221</v>
      </c>
      <c r="I11">
        <v>0.993533</v>
      </c>
      <c r="J11" t="s">
        <v>220</v>
      </c>
      <c r="L11">
        <v>-6.1666049999999997</v>
      </c>
      <c r="N11" s="40" t="s">
        <v>219</v>
      </c>
      <c r="O11" s="40"/>
      <c r="P11" s="40"/>
      <c r="Q11" s="40"/>
      <c r="R11" s="40"/>
      <c r="S11" s="40"/>
      <c r="T11" s="40"/>
    </row>
    <row r="12" spans="1:20" x14ac:dyDescent="0.35">
      <c r="A12" s="96" t="s">
        <v>218</v>
      </c>
      <c r="B12" s="97"/>
      <c r="C12" s="50"/>
    </row>
    <row r="13" spans="1:20" ht="87" x14ac:dyDescent="0.35">
      <c r="A13" s="49" t="s">
        <v>30</v>
      </c>
      <c r="B13" s="49" t="s">
        <v>217</v>
      </c>
      <c r="C13" s="49" t="s">
        <v>216</v>
      </c>
      <c r="E13" s="47" t="s">
        <v>215</v>
      </c>
      <c r="F13" s="49" t="s">
        <v>214</v>
      </c>
      <c r="G13" s="44" t="s">
        <v>213</v>
      </c>
      <c r="H13" s="48" t="s">
        <v>212</v>
      </c>
      <c r="I13" s="47" t="s">
        <v>211</v>
      </c>
      <c r="J13" s="46" t="s">
        <v>210</v>
      </c>
      <c r="K13" s="45" t="s">
        <v>209</v>
      </c>
      <c r="L13" s="44" t="s">
        <v>208</v>
      </c>
      <c r="M13" s="44" t="s">
        <v>207</v>
      </c>
      <c r="N13" s="44" t="s">
        <v>206</v>
      </c>
    </row>
    <row r="14" spans="1:20" x14ac:dyDescent="0.35">
      <c r="A14" s="37">
        <v>1947</v>
      </c>
      <c r="B14" s="38">
        <v>32.231999999999999</v>
      </c>
      <c r="C14" s="38">
        <v>41.084000000000003</v>
      </c>
      <c r="E14" s="32">
        <f t="shared" ref="E14:E45" si="0">B14*100/$B$49</f>
        <v>40.215099377409572</v>
      </c>
      <c r="F14" s="32">
        <f t="shared" ref="F14:F45" si="1">C14*100/$C$49</f>
        <v>45.327566804210157</v>
      </c>
      <c r="G14" s="32">
        <f t="shared" ref="G14:G45" si="2">(B14/C14)*100</f>
        <v>78.453899328205623</v>
      </c>
      <c r="H14" s="32">
        <f t="shared" ref="H14:H45" si="3">EXP($I$8+$I$9*LN(E14))</f>
        <v>48.575049406218469</v>
      </c>
      <c r="I14">
        <f t="shared" ref="I14:I45" si="4">H14/F14</f>
        <v>1.0716447590499536</v>
      </c>
      <c r="J14" s="32">
        <f t="shared" ref="J14:J45" si="5">E14*100/$E$25</f>
        <v>69.66369845249416</v>
      </c>
      <c r="K14" s="32">
        <f t="shared" ref="K14:K45" si="6">F14*100/$F$25</f>
        <v>70.94211907722061</v>
      </c>
      <c r="L14" s="32">
        <f t="shared" ref="L14:L45" si="7">K14*I14</f>
        <v>76.024750105001203</v>
      </c>
      <c r="M14" s="14">
        <f t="shared" ref="M14:M45" si="8">(F14/E14)*100/($F$14/$E$14)</f>
        <v>100</v>
      </c>
      <c r="N14" s="14">
        <f t="shared" ref="N14:N45" si="9">(H14/E14)*100/($H$14/$E$14)</f>
        <v>100</v>
      </c>
      <c r="O14" s="32"/>
      <c r="R14" t="s">
        <v>205</v>
      </c>
      <c r="T14">
        <v>4.4542299999999999</v>
      </c>
    </row>
    <row r="15" spans="1:20" x14ac:dyDescent="0.35">
      <c r="A15" s="36">
        <v>1948</v>
      </c>
      <c r="B15" s="39">
        <v>33.722000000000001</v>
      </c>
      <c r="C15" s="39">
        <v>41.228999999999999</v>
      </c>
      <c r="E15" s="32">
        <f t="shared" si="0"/>
        <v>42.074136919986529</v>
      </c>
      <c r="F15" s="32">
        <f t="shared" si="1"/>
        <v>45.487543855777922</v>
      </c>
      <c r="G15" s="32">
        <f t="shared" si="2"/>
        <v>81.79194256469961</v>
      </c>
      <c r="H15" s="32">
        <f t="shared" si="3"/>
        <v>50.341836234005996</v>
      </c>
      <c r="I15">
        <f t="shared" si="4"/>
        <v>1.1067169595619191</v>
      </c>
      <c r="J15" s="32">
        <f t="shared" si="5"/>
        <v>72.884066741592477</v>
      </c>
      <c r="K15" s="32">
        <f t="shared" si="6"/>
        <v>71.192498963945283</v>
      </c>
      <c r="L15" s="32">
        <f t="shared" si="7"/>
        <v>78.7899459969926</v>
      </c>
      <c r="M15" s="14">
        <f t="shared" si="8"/>
        <v>95.918860548086954</v>
      </c>
      <c r="N15" s="14">
        <f t="shared" si="9"/>
        <v>99.058040282427413</v>
      </c>
      <c r="O15" s="32"/>
      <c r="R15" t="s">
        <v>204</v>
      </c>
      <c r="T15">
        <v>0.125609</v>
      </c>
    </row>
    <row r="16" spans="1:20" x14ac:dyDescent="0.35">
      <c r="A16" s="37">
        <v>1949</v>
      </c>
      <c r="B16" s="38">
        <v>34.493000000000002</v>
      </c>
      <c r="C16" s="38">
        <v>42.32</v>
      </c>
      <c r="E16" s="32">
        <f t="shared" si="0"/>
        <v>43.036095272554867</v>
      </c>
      <c r="F16" s="32">
        <f t="shared" si="1"/>
        <v>46.691233257574083</v>
      </c>
      <c r="G16" s="32">
        <f t="shared" si="2"/>
        <v>81.505198487712676</v>
      </c>
      <c r="H16" s="32">
        <f t="shared" si="3"/>
        <v>51.249613847375358</v>
      </c>
      <c r="I16">
        <f t="shared" si="4"/>
        <v>1.0976281899570908</v>
      </c>
      <c r="J16" s="32">
        <f t="shared" si="5"/>
        <v>74.550445232125881</v>
      </c>
      <c r="K16" s="32">
        <f t="shared" si="6"/>
        <v>73.076391766818631</v>
      </c>
      <c r="L16" s="32">
        <f t="shared" si="7"/>
        <v>80.210707623608386</v>
      </c>
      <c r="M16" s="14">
        <f t="shared" si="8"/>
        <v>96.256313442427782</v>
      </c>
      <c r="N16" s="14">
        <f t="shared" si="9"/>
        <v>98.590173845873721</v>
      </c>
      <c r="O16" s="32"/>
      <c r="P16" t="s">
        <v>203</v>
      </c>
      <c r="Q16">
        <v>1.0101000000000001E-2</v>
      </c>
    </row>
    <row r="17" spans="1:20" x14ac:dyDescent="0.35">
      <c r="A17" s="36">
        <v>1950</v>
      </c>
      <c r="B17" s="39">
        <v>37.325000000000003</v>
      </c>
      <c r="C17" s="39">
        <v>44.741</v>
      </c>
      <c r="E17" s="32">
        <f t="shared" si="0"/>
        <v>46.56951427965415</v>
      </c>
      <c r="F17" s="32">
        <f t="shared" si="1"/>
        <v>49.362298373750527</v>
      </c>
      <c r="G17" s="32">
        <f t="shared" si="2"/>
        <v>83.424599360765299</v>
      </c>
      <c r="H17" s="32">
        <f t="shared" si="3"/>
        <v>54.548467620522899</v>
      </c>
      <c r="I17">
        <f t="shared" si="4"/>
        <v>1.1050633665293477</v>
      </c>
      <c r="J17" s="32">
        <f t="shared" si="5"/>
        <v>80.671306302412049</v>
      </c>
      <c r="K17" s="32">
        <f t="shared" si="6"/>
        <v>77.25687249620114</v>
      </c>
      <c r="L17" s="32">
        <f t="shared" si="7"/>
        <v>85.3737396081806</v>
      </c>
      <c r="M17" s="14">
        <f t="shared" si="8"/>
        <v>94.041685461306017</v>
      </c>
      <c r="N17" s="14">
        <f t="shared" si="9"/>
        <v>96.974319756945334</v>
      </c>
      <c r="O17" s="32"/>
      <c r="P17" t="s">
        <v>202</v>
      </c>
      <c r="Q17">
        <v>2.0409999999999998E-3</v>
      </c>
    </row>
    <row r="18" spans="1:20" x14ac:dyDescent="0.35">
      <c r="A18" s="37">
        <v>1951</v>
      </c>
      <c r="B18" s="38">
        <v>38.51</v>
      </c>
      <c r="C18" s="38">
        <v>45.439</v>
      </c>
      <c r="E18" s="32">
        <f t="shared" si="0"/>
        <v>48.048010580294203</v>
      </c>
      <c r="F18" s="32">
        <f t="shared" si="1"/>
        <v>50.132394801297465</v>
      </c>
      <c r="G18" s="32">
        <f t="shared" si="2"/>
        <v>84.750984836814183</v>
      </c>
      <c r="H18" s="32">
        <f t="shared" si="3"/>
        <v>55.913094671687574</v>
      </c>
      <c r="I18">
        <f t="shared" si="4"/>
        <v>1.1153086720333676</v>
      </c>
      <c r="J18" s="32">
        <f t="shared" si="5"/>
        <v>83.232471686694907</v>
      </c>
      <c r="K18" s="32">
        <f t="shared" si="6"/>
        <v>78.462149468158586</v>
      </c>
      <c r="L18" s="32">
        <f t="shared" si="7"/>
        <v>87.509515728215547</v>
      </c>
      <c r="M18" s="14">
        <f t="shared" si="8"/>
        <v>92.569896950774719</v>
      </c>
      <c r="N18" s="14">
        <f t="shared" si="9"/>
        <v>96.341635571439994</v>
      </c>
      <c r="O18" s="32"/>
      <c r="P18" t="s">
        <v>201</v>
      </c>
      <c r="Q18">
        <v>70.923699999999997</v>
      </c>
      <c r="R18" t="s">
        <v>200</v>
      </c>
      <c r="T18">
        <v>3227.1779999999999</v>
      </c>
    </row>
    <row r="19" spans="1:20" x14ac:dyDescent="0.35">
      <c r="A19" s="36">
        <v>1952</v>
      </c>
      <c r="B19" s="39">
        <v>39.601999999999997</v>
      </c>
      <c r="C19" s="39">
        <v>47.317</v>
      </c>
      <c r="E19" s="32">
        <f t="shared" si="0"/>
        <v>49.410472994048583</v>
      </c>
      <c r="F19" s="32">
        <f t="shared" si="1"/>
        <v>52.204373441602854</v>
      </c>
      <c r="G19" s="32">
        <f t="shared" si="2"/>
        <v>83.695077878986396</v>
      </c>
      <c r="H19" s="32">
        <f t="shared" si="3"/>
        <v>57.162854649528263</v>
      </c>
      <c r="I19">
        <f t="shared" si="4"/>
        <v>1.0949821036253236</v>
      </c>
      <c r="J19" s="32">
        <f t="shared" si="5"/>
        <v>85.592634218034064</v>
      </c>
      <c r="K19" s="32">
        <f t="shared" si="6"/>
        <v>81.70500069070313</v>
      </c>
      <c r="L19" s="32">
        <f t="shared" si="7"/>
        <v>89.465513533014629</v>
      </c>
      <c r="M19" s="14">
        <f t="shared" si="8"/>
        <v>93.737769671044504</v>
      </c>
      <c r="N19" s="14">
        <f t="shared" si="9"/>
        <v>95.779109034733651</v>
      </c>
      <c r="O19" s="32"/>
      <c r="P19" t="s">
        <v>199</v>
      </c>
      <c r="Q19">
        <v>0.61924999999999997</v>
      </c>
      <c r="R19" t="s">
        <v>198</v>
      </c>
      <c r="T19">
        <v>0</v>
      </c>
    </row>
    <row r="20" spans="1:20" x14ac:dyDescent="0.35">
      <c r="A20" s="37">
        <v>1953</v>
      </c>
      <c r="B20" s="38">
        <v>41.012999999999998</v>
      </c>
      <c r="C20" s="38">
        <v>49.951000000000001</v>
      </c>
      <c r="E20" s="32">
        <f t="shared" si="0"/>
        <v>51.170944116582866</v>
      </c>
      <c r="F20" s="32">
        <f t="shared" si="1"/>
        <v>55.110439330082308</v>
      </c>
      <c r="G20" s="32">
        <f t="shared" si="2"/>
        <v>82.106464335048344</v>
      </c>
      <c r="H20" s="32">
        <f t="shared" si="3"/>
        <v>58.767075816862956</v>
      </c>
      <c r="I20">
        <f t="shared" si="4"/>
        <v>1.0663510676240364</v>
      </c>
      <c r="J20" s="32">
        <f t="shared" si="5"/>
        <v>88.642258148180176</v>
      </c>
      <c r="K20" s="32">
        <f t="shared" si="6"/>
        <v>86.253280839895027</v>
      </c>
      <c r="L20" s="32">
        <f t="shared" si="7"/>
        <v>91.976278109697901</v>
      </c>
      <c r="M20" s="14">
        <f t="shared" si="8"/>
        <v>95.55142821405893</v>
      </c>
      <c r="N20" s="14">
        <f t="shared" si="9"/>
        <v>95.079424994709129</v>
      </c>
      <c r="O20" s="32"/>
    </row>
    <row r="21" spans="1:20" x14ac:dyDescent="0.35">
      <c r="A21" s="36">
        <v>1954</v>
      </c>
      <c r="B21" s="39">
        <v>41.883000000000003</v>
      </c>
      <c r="C21" s="39">
        <v>51.162999999999997</v>
      </c>
      <c r="E21" s="32">
        <f t="shared" si="0"/>
        <v>52.256422413255315</v>
      </c>
      <c r="F21" s="32">
        <f t="shared" si="1"/>
        <v>56.447626823186731</v>
      </c>
      <c r="G21" s="32">
        <f t="shared" si="2"/>
        <v>81.861892383167529</v>
      </c>
      <c r="H21" s="32">
        <f t="shared" si="3"/>
        <v>59.75044157668794</v>
      </c>
      <c r="I21">
        <f t="shared" si="4"/>
        <v>1.0585111357089778</v>
      </c>
      <c r="J21" s="32">
        <f t="shared" si="5"/>
        <v>90.522607417653674</v>
      </c>
      <c r="K21" s="32">
        <f t="shared" si="6"/>
        <v>88.346111341345477</v>
      </c>
      <c r="L21" s="32">
        <f t="shared" si="7"/>
        <v>93.515342651399408</v>
      </c>
      <c r="M21" s="14">
        <f t="shared" si="8"/>
        <v>95.836899250984473</v>
      </c>
      <c r="N21" s="14">
        <f t="shared" si="9"/>
        <v>94.66236288872453</v>
      </c>
      <c r="O21" s="32"/>
    </row>
    <row r="22" spans="1:20" x14ac:dyDescent="0.35">
      <c r="A22" s="37">
        <v>1955</v>
      </c>
      <c r="B22" s="38">
        <v>43.619</v>
      </c>
      <c r="C22" s="38">
        <v>52.664000000000001</v>
      </c>
      <c r="E22" s="32">
        <f t="shared" si="0"/>
        <v>54.422388301787912</v>
      </c>
      <c r="F22" s="32">
        <f t="shared" si="1"/>
        <v>58.103665129415923</v>
      </c>
      <c r="G22" s="32">
        <f t="shared" si="2"/>
        <v>82.825079750873456</v>
      </c>
      <c r="H22" s="32">
        <f t="shared" si="3"/>
        <v>61.699997955842974</v>
      </c>
      <c r="I22">
        <f t="shared" si="4"/>
        <v>1.0618951114084945</v>
      </c>
      <c r="J22" s="32">
        <f t="shared" si="5"/>
        <v>94.27466067260309</v>
      </c>
      <c r="K22" s="32">
        <f t="shared" si="6"/>
        <v>90.937974858405866</v>
      </c>
      <c r="L22" s="32">
        <f t="shared" si="7"/>
        <v>96.566590943529761</v>
      </c>
      <c r="M22" s="14">
        <f t="shared" si="8"/>
        <v>94.722395153960917</v>
      </c>
      <c r="N22" s="14">
        <f t="shared" si="9"/>
        <v>93.860626392711268</v>
      </c>
      <c r="O22" s="32"/>
    </row>
    <row r="23" spans="1:20" x14ac:dyDescent="0.35">
      <c r="A23" s="36">
        <v>1956</v>
      </c>
      <c r="B23" s="39">
        <v>43.646999999999998</v>
      </c>
      <c r="C23" s="39">
        <v>55.323</v>
      </c>
      <c r="E23" s="32">
        <f t="shared" si="0"/>
        <v>54.457323235473929</v>
      </c>
      <c r="F23" s="32">
        <f t="shared" si="1"/>
        <v>61.037313268165668</v>
      </c>
      <c r="G23" s="32">
        <f t="shared" si="2"/>
        <v>78.894853858250642</v>
      </c>
      <c r="H23" s="32">
        <f t="shared" si="3"/>
        <v>61.73130767481058</v>
      </c>
      <c r="I23">
        <f t="shared" si="4"/>
        <v>1.011370002535922</v>
      </c>
      <c r="J23" s="32">
        <f t="shared" si="5"/>
        <v>94.335177660586155</v>
      </c>
      <c r="K23" s="32">
        <f t="shared" si="6"/>
        <v>95.529423953584754</v>
      </c>
      <c r="L23" s="32">
        <f t="shared" si="7"/>
        <v>96.615593746192175</v>
      </c>
      <c r="M23" s="14">
        <f t="shared" si="8"/>
        <v>99.441085814244261</v>
      </c>
      <c r="N23" s="14">
        <f t="shared" si="9"/>
        <v>93.848012937876007</v>
      </c>
      <c r="O23" s="32"/>
    </row>
    <row r="24" spans="1:20" x14ac:dyDescent="0.35">
      <c r="A24" s="37">
        <v>1957</v>
      </c>
      <c r="B24" s="38">
        <v>45.026000000000003</v>
      </c>
      <c r="C24" s="38">
        <v>57.027000000000001</v>
      </c>
      <c r="E24" s="32">
        <f t="shared" si="0"/>
        <v>56.177868719509917</v>
      </c>
      <c r="F24" s="32">
        <f t="shared" si="1"/>
        <v>62.917319446589723</v>
      </c>
      <c r="G24" s="32">
        <f t="shared" si="2"/>
        <v>78.955582443403998</v>
      </c>
      <c r="H24" s="32">
        <f t="shared" si="3"/>
        <v>63.268170385695619</v>
      </c>
      <c r="I24">
        <f t="shared" si="4"/>
        <v>1.0055763809105651</v>
      </c>
      <c r="J24" s="32">
        <f t="shared" si="5"/>
        <v>97.315639318751622</v>
      </c>
      <c r="K24" s="32">
        <f t="shared" si="6"/>
        <v>98.471819312059679</v>
      </c>
      <c r="L24" s="32">
        <f t="shared" si="7"/>
        <v>99.020935685500064</v>
      </c>
      <c r="M24" s="14">
        <f t="shared" si="8"/>
        <v>99.36460083039978</v>
      </c>
      <c r="N24" s="14">
        <f t="shared" si="9"/>
        <v>93.238636077721679</v>
      </c>
      <c r="O24" s="32"/>
    </row>
    <row r="25" spans="1:20" x14ac:dyDescent="0.35">
      <c r="A25" s="36">
        <v>1958</v>
      </c>
      <c r="B25" s="39">
        <v>46.268000000000001</v>
      </c>
      <c r="C25" s="39">
        <v>57.911999999999999</v>
      </c>
      <c r="E25" s="32">
        <f t="shared" si="0"/>
        <v>57.727482563725061</v>
      </c>
      <c r="F25" s="32">
        <f t="shared" si="1"/>
        <v>63.893731106158562</v>
      </c>
      <c r="G25" s="32">
        <f t="shared" si="2"/>
        <v>79.893631717087999</v>
      </c>
      <c r="H25" s="32">
        <f t="shared" si="3"/>
        <v>64.643927953795867</v>
      </c>
      <c r="I25">
        <f t="shared" si="4"/>
        <v>1.0117413216390645</v>
      </c>
      <c r="J25" s="32">
        <f t="shared" si="5"/>
        <v>100</v>
      </c>
      <c r="K25" s="32">
        <f t="shared" si="6"/>
        <v>100</v>
      </c>
      <c r="L25" s="32">
        <f t="shared" si="7"/>
        <v>101.17413216390645</v>
      </c>
      <c r="M25" s="14">
        <f t="shared" si="8"/>
        <v>98.197938486535904</v>
      </c>
      <c r="N25" s="14">
        <f t="shared" si="9"/>
        <v>92.708811597862962</v>
      </c>
      <c r="O25" s="32"/>
    </row>
    <row r="26" spans="1:20" x14ac:dyDescent="0.35">
      <c r="A26" s="37">
        <v>1959</v>
      </c>
      <c r="B26" s="38">
        <v>48.027000000000001</v>
      </c>
      <c r="C26" s="38">
        <v>59.872</v>
      </c>
      <c r="E26" s="32">
        <f t="shared" si="0"/>
        <v>59.922145004928318</v>
      </c>
      <c r="F26" s="32">
        <f t="shared" si="1"/>
        <v>66.056179527350551</v>
      </c>
      <c r="G26" s="32">
        <f t="shared" si="2"/>
        <v>80.216127739176912</v>
      </c>
      <c r="H26" s="32">
        <f t="shared" si="3"/>
        <v>66.57922401048225</v>
      </c>
      <c r="I26">
        <f t="shared" si="4"/>
        <v>1.0079181764200447</v>
      </c>
      <c r="J26" s="32">
        <f t="shared" si="5"/>
        <v>103.80176363793549</v>
      </c>
      <c r="K26" s="32">
        <f t="shared" si="6"/>
        <v>103.38444536538195</v>
      </c>
      <c r="L26" s="32">
        <f t="shared" si="7"/>
        <v>104.20306164287351</v>
      </c>
      <c r="M26" s="14">
        <f t="shared" si="8"/>
        <v>97.803149490460086</v>
      </c>
      <c r="N26" s="14">
        <f t="shared" si="9"/>
        <v>91.987173221426119</v>
      </c>
      <c r="O26" s="32"/>
    </row>
    <row r="27" spans="1:20" x14ac:dyDescent="0.35">
      <c r="A27" s="36">
        <v>1960</v>
      </c>
      <c r="B27" s="39">
        <v>48.865000000000002</v>
      </c>
      <c r="C27" s="39">
        <v>61.319000000000003</v>
      </c>
      <c r="E27" s="32">
        <f t="shared" si="0"/>
        <v>60.96769766310247</v>
      </c>
      <c r="F27" s="32">
        <f t="shared" si="1"/>
        <v>67.652640172995874</v>
      </c>
      <c r="G27" s="32">
        <f t="shared" si="2"/>
        <v>79.689818816353821</v>
      </c>
      <c r="H27" s="32">
        <f t="shared" si="3"/>
        <v>67.49597096416646</v>
      </c>
      <c r="I27">
        <f t="shared" si="4"/>
        <v>0.99768421145976283</v>
      </c>
      <c r="J27" s="32">
        <f t="shared" si="5"/>
        <v>105.61295063542838</v>
      </c>
      <c r="K27" s="32">
        <f t="shared" si="6"/>
        <v>105.88306395911037</v>
      </c>
      <c r="L27" s="32">
        <f t="shared" si="7"/>
        <v>105.63786117298866</v>
      </c>
      <c r="M27" s="14">
        <f t="shared" si="8"/>
        <v>98.449087340760059</v>
      </c>
      <c r="N27" s="14">
        <f t="shared" si="9"/>
        <v>91.654533130526929</v>
      </c>
      <c r="O27" s="32"/>
    </row>
    <row r="28" spans="1:20" x14ac:dyDescent="0.35">
      <c r="A28" s="37">
        <v>1961</v>
      </c>
      <c r="B28" s="38">
        <v>50.567999999999998</v>
      </c>
      <c r="C28" s="38">
        <v>63.055</v>
      </c>
      <c r="E28" s="32">
        <f t="shared" si="0"/>
        <v>63.092490236933713</v>
      </c>
      <c r="F28" s="32">
        <f t="shared" si="1"/>
        <v>69.567951631765922</v>
      </c>
      <c r="G28" s="32">
        <f t="shared" si="2"/>
        <v>80.196653715010697</v>
      </c>
      <c r="H28" s="32">
        <f t="shared" si="3"/>
        <v>69.348946053008262</v>
      </c>
      <c r="I28">
        <f t="shared" si="4"/>
        <v>0.99685191853977695</v>
      </c>
      <c r="J28" s="32">
        <f t="shared" si="5"/>
        <v>109.29368029739778</v>
      </c>
      <c r="K28" s="32">
        <f t="shared" si="6"/>
        <v>108.88071556844868</v>
      </c>
      <c r="L28" s="32">
        <f t="shared" si="7"/>
        <v>108.53795020639183</v>
      </c>
      <c r="M28" s="14">
        <f t="shared" si="8"/>
        <v>97.826898871618496</v>
      </c>
      <c r="N28" s="14">
        <f t="shared" si="9"/>
        <v>90.999308307561932</v>
      </c>
      <c r="O28" s="32"/>
    </row>
    <row r="29" spans="1:20" x14ac:dyDescent="0.35">
      <c r="A29" s="36">
        <v>1962</v>
      </c>
      <c r="B29" s="39">
        <v>52.881999999999998</v>
      </c>
      <c r="C29" s="39">
        <v>65.191999999999993</v>
      </c>
      <c r="E29" s="32">
        <f t="shared" si="0"/>
        <v>65.979612970841799</v>
      </c>
      <c r="F29" s="32">
        <f t="shared" si="1"/>
        <v>71.925682384871678</v>
      </c>
      <c r="G29" s="32">
        <f t="shared" si="2"/>
        <v>81.117315007976444</v>
      </c>
      <c r="H29" s="32">
        <f t="shared" si="3"/>
        <v>71.845953943648666</v>
      </c>
      <c r="I29">
        <f t="shared" si="4"/>
        <v>0.99889151637385398</v>
      </c>
      <c r="J29" s="32">
        <f t="shared" si="5"/>
        <v>114.29497708999739</v>
      </c>
      <c r="K29" s="32">
        <f t="shared" si="6"/>
        <v>112.5707970714187</v>
      </c>
      <c r="L29" s="32">
        <f t="shared" si="7"/>
        <v>112.44601418608282</v>
      </c>
      <c r="M29" s="14">
        <f t="shared" si="8"/>
        <v>96.716587969524227</v>
      </c>
      <c r="N29" s="14">
        <f t="shared" si="9"/>
        <v>90.150563794135024</v>
      </c>
      <c r="O29" s="32"/>
    </row>
    <row r="30" spans="1:20" x14ac:dyDescent="0.35">
      <c r="A30" s="37">
        <v>1963</v>
      </c>
      <c r="B30" s="38">
        <v>54.95</v>
      </c>
      <c r="C30" s="38">
        <v>66.632999999999996</v>
      </c>
      <c r="E30" s="32">
        <f t="shared" si="0"/>
        <v>68.559807358794245</v>
      </c>
      <c r="F30" s="32">
        <f t="shared" si="1"/>
        <v>73.515523290452123</v>
      </c>
      <c r="G30" s="32">
        <f t="shared" si="2"/>
        <v>82.466645656056315</v>
      </c>
      <c r="H30" s="32">
        <f t="shared" si="3"/>
        <v>74.058189390971378</v>
      </c>
      <c r="I30">
        <f t="shared" si="4"/>
        <v>1.0073816532377147</v>
      </c>
      <c r="J30" s="32">
        <f t="shared" si="5"/>
        <v>118.76458891674591</v>
      </c>
      <c r="K30" s="32">
        <f t="shared" si="6"/>
        <v>115.05905511811022</v>
      </c>
      <c r="L30" s="32">
        <f t="shared" si="7"/>
        <v>115.90838116485121</v>
      </c>
      <c r="M30" s="14">
        <f t="shared" si="8"/>
        <v>95.134097796839384</v>
      </c>
      <c r="N30" s="14">
        <f t="shared" si="9"/>
        <v>89.429210480925022</v>
      </c>
      <c r="O30" s="32"/>
    </row>
    <row r="31" spans="1:20" x14ac:dyDescent="0.35">
      <c r="A31" s="36">
        <v>1964</v>
      </c>
      <c r="B31" s="39">
        <v>56.808</v>
      </c>
      <c r="C31" s="39">
        <v>68.257000000000005</v>
      </c>
      <c r="E31" s="32">
        <f t="shared" si="0"/>
        <v>70.877989744101612</v>
      </c>
      <c r="F31" s="32">
        <f t="shared" si="1"/>
        <v>75.307266268011219</v>
      </c>
      <c r="G31" s="32">
        <f t="shared" si="2"/>
        <v>83.226628770675532</v>
      </c>
      <c r="H31" s="32">
        <f t="shared" si="3"/>
        <v>76.030940119819618</v>
      </c>
      <c r="I31">
        <f t="shared" si="4"/>
        <v>1.0096096152160525</v>
      </c>
      <c r="J31" s="32">
        <f t="shared" si="5"/>
        <v>122.78032333362152</v>
      </c>
      <c r="K31" s="32">
        <f t="shared" si="6"/>
        <v>117.86330984942673</v>
      </c>
      <c r="L31" s="32">
        <f t="shared" si="7"/>
        <v>118.9959309051701</v>
      </c>
      <c r="M31" s="14">
        <f t="shared" si="8"/>
        <v>94.265381749847407</v>
      </c>
      <c r="N31" s="14">
        <f t="shared" si="9"/>
        <v>88.808567384802032</v>
      </c>
      <c r="O31" s="32"/>
    </row>
    <row r="32" spans="1:20" x14ac:dyDescent="0.35">
      <c r="A32" s="37">
        <v>1965</v>
      </c>
      <c r="B32" s="38">
        <v>58.817</v>
      </c>
      <c r="C32" s="38">
        <v>69.676000000000002</v>
      </c>
      <c r="E32" s="32">
        <f t="shared" si="0"/>
        <v>73.384571236072816</v>
      </c>
      <c r="F32" s="32">
        <f t="shared" si="1"/>
        <v>76.872834793353775</v>
      </c>
      <c r="G32" s="32">
        <f t="shared" si="2"/>
        <v>84.415006601986335</v>
      </c>
      <c r="H32" s="32">
        <f t="shared" si="3"/>
        <v>78.148876870955121</v>
      </c>
      <c r="I32">
        <f t="shared" si="4"/>
        <v>1.0165993888612479</v>
      </c>
      <c r="J32" s="32">
        <f t="shared" si="5"/>
        <v>127.12241722140573</v>
      </c>
      <c r="K32" s="32">
        <f t="shared" si="6"/>
        <v>120.31357922364967</v>
      </c>
      <c r="L32" s="32">
        <f t="shared" si="7"/>
        <v>122.31071111047159</v>
      </c>
      <c r="M32" s="14">
        <f t="shared" si="8"/>
        <v>92.938332277947751</v>
      </c>
      <c r="N32" s="14">
        <f t="shared" si="9"/>
        <v>88.16452560203409</v>
      </c>
      <c r="O32" s="32"/>
    </row>
    <row r="33" spans="1:15" x14ac:dyDescent="0.35">
      <c r="A33" s="36">
        <v>1966</v>
      </c>
      <c r="B33" s="39">
        <v>61.204999999999998</v>
      </c>
      <c r="C33" s="39">
        <v>72.3</v>
      </c>
      <c r="E33" s="32">
        <f t="shared" si="0"/>
        <v>76.364022009008224</v>
      </c>
      <c r="F33" s="32">
        <f t="shared" si="1"/>
        <v>79.767867781725101</v>
      </c>
      <c r="G33" s="32">
        <f t="shared" si="2"/>
        <v>84.654218533886578</v>
      </c>
      <c r="H33" s="32">
        <f t="shared" si="3"/>
        <v>80.646773356100368</v>
      </c>
      <c r="I33">
        <f t="shared" si="4"/>
        <v>1.0110182909336412</v>
      </c>
      <c r="J33" s="32">
        <f t="shared" si="5"/>
        <v>132.28365176796058</v>
      </c>
      <c r="K33" s="32">
        <f t="shared" si="6"/>
        <v>124.84459179444674</v>
      </c>
      <c r="L33" s="32">
        <f t="shared" si="7"/>
        <v>126.22016582832963</v>
      </c>
      <c r="M33" s="14">
        <f t="shared" si="8"/>
        <v>92.675711484834011</v>
      </c>
      <c r="N33" s="14">
        <f t="shared" si="9"/>
        <v>87.432741722659344</v>
      </c>
      <c r="O33" s="32"/>
    </row>
    <row r="34" spans="1:15" x14ac:dyDescent="0.35">
      <c r="A34" s="37">
        <v>1967</v>
      </c>
      <c r="B34" s="38">
        <v>62.542999999999999</v>
      </c>
      <c r="C34" s="38">
        <v>74.122</v>
      </c>
      <c r="E34" s="32">
        <f t="shared" si="0"/>
        <v>78.033412768718264</v>
      </c>
      <c r="F34" s="32">
        <f t="shared" si="1"/>
        <v>81.778062181425</v>
      </c>
      <c r="G34" s="32">
        <f t="shared" si="2"/>
        <v>84.378457138231568</v>
      </c>
      <c r="H34" s="32">
        <f t="shared" si="3"/>
        <v>82.037399707981535</v>
      </c>
      <c r="I34">
        <f t="shared" si="4"/>
        <v>1.0031712358991975</v>
      </c>
      <c r="J34" s="32">
        <f t="shared" si="5"/>
        <v>135.17549926515088</v>
      </c>
      <c r="K34" s="32">
        <f t="shared" si="6"/>
        <v>127.99074457798038</v>
      </c>
      <c r="L34" s="32">
        <f t="shared" si="7"/>
        <v>128.39663342195109</v>
      </c>
      <c r="M34" s="14">
        <f t="shared" si="8"/>
        <v>92.978589546476101</v>
      </c>
      <c r="N34" s="14">
        <f t="shared" si="9"/>
        <v>87.03765478234827</v>
      </c>
      <c r="O34" s="32"/>
    </row>
    <row r="35" spans="1:15" x14ac:dyDescent="0.35">
      <c r="A35" s="36">
        <v>1968</v>
      </c>
      <c r="B35" s="39">
        <v>64.677999999999997</v>
      </c>
      <c r="C35" s="39">
        <v>76.896000000000001</v>
      </c>
      <c r="E35" s="32">
        <f t="shared" si="0"/>
        <v>80.697201462276496</v>
      </c>
      <c r="F35" s="32">
        <f t="shared" si="1"/>
        <v>84.838588671418165</v>
      </c>
      <c r="G35" s="32">
        <f t="shared" si="2"/>
        <v>84.111007074490217</v>
      </c>
      <c r="H35" s="32">
        <f t="shared" si="3"/>
        <v>84.243563616550517</v>
      </c>
      <c r="I35">
        <f t="shared" si="4"/>
        <v>0.99298638668811201</v>
      </c>
      <c r="J35" s="32">
        <f t="shared" si="5"/>
        <v>139.7899195988588</v>
      </c>
      <c r="K35" s="32">
        <f t="shared" si="6"/>
        <v>132.78077082469954</v>
      </c>
      <c r="L35" s="32">
        <f t="shared" si="7"/>
        <v>131.84949784288068</v>
      </c>
      <c r="M35" s="14">
        <f t="shared" si="8"/>
        <v>93.274236104111111</v>
      </c>
      <c r="N35" s="14">
        <f t="shared" si="9"/>
        <v>86.427937894480721</v>
      </c>
      <c r="O35" s="32"/>
    </row>
    <row r="36" spans="1:15" x14ac:dyDescent="0.35">
      <c r="A36" s="37">
        <v>1969</v>
      </c>
      <c r="B36" s="38">
        <v>64.994</v>
      </c>
      <c r="C36" s="38">
        <v>78.007999999999996</v>
      </c>
      <c r="E36" s="32">
        <f t="shared" si="0"/>
        <v>81.091467142447186</v>
      </c>
      <c r="F36" s="32">
        <f t="shared" si="1"/>
        <v>86.065447163441362</v>
      </c>
      <c r="G36" s="32">
        <f t="shared" si="2"/>
        <v>83.317095682494099</v>
      </c>
      <c r="H36" s="32">
        <f t="shared" si="3"/>
        <v>84.568790397873144</v>
      </c>
      <c r="I36">
        <f t="shared" si="4"/>
        <v>0.98261024819024045</v>
      </c>
      <c r="J36" s="32">
        <f t="shared" si="5"/>
        <v>140.47289703466757</v>
      </c>
      <c r="K36" s="32">
        <f t="shared" si="6"/>
        <v>134.70092554220196</v>
      </c>
      <c r="L36" s="32">
        <f t="shared" si="7"/>
        <v>132.35850987847817</v>
      </c>
      <c r="M36" s="14">
        <f t="shared" si="8"/>
        <v>94.163027030105255</v>
      </c>
      <c r="N36" s="14">
        <f t="shared" si="9"/>
        <v>86.3397637874167</v>
      </c>
      <c r="O36" s="32"/>
    </row>
    <row r="37" spans="1:15" x14ac:dyDescent="0.35">
      <c r="A37" s="36">
        <v>1970</v>
      </c>
      <c r="B37" s="39">
        <v>66.284999999999997</v>
      </c>
      <c r="C37" s="39">
        <v>79.451999999999998</v>
      </c>
      <c r="E37" s="32">
        <f t="shared" si="0"/>
        <v>82.702217120612858</v>
      </c>
      <c r="F37" s="32">
        <f t="shared" si="1"/>
        <v>87.658597939054246</v>
      </c>
      <c r="G37" s="32">
        <f t="shared" si="2"/>
        <v>83.427729950158579</v>
      </c>
      <c r="H37" s="32">
        <f t="shared" si="3"/>
        <v>85.894068062133414</v>
      </c>
      <c r="I37">
        <f t="shared" si="4"/>
        <v>0.97987043007295593</v>
      </c>
      <c r="J37" s="32">
        <f t="shared" si="5"/>
        <v>143.26316244488632</v>
      </c>
      <c r="K37" s="32">
        <f t="shared" si="6"/>
        <v>137.19436386241193</v>
      </c>
      <c r="L37" s="32">
        <f t="shared" si="7"/>
        <v>134.43270032144719</v>
      </c>
      <c r="M37" s="14">
        <f t="shared" si="8"/>
        <v>94.038156587834223</v>
      </c>
      <c r="N37" s="14">
        <f t="shared" si="9"/>
        <v>85.984845407799781</v>
      </c>
      <c r="O37" s="32"/>
    </row>
    <row r="38" spans="1:15" x14ac:dyDescent="0.35">
      <c r="A38" s="37">
        <v>1971</v>
      </c>
      <c r="B38" s="38">
        <v>69.015000000000001</v>
      </c>
      <c r="C38" s="38">
        <v>80.887</v>
      </c>
      <c r="E38" s="32">
        <f t="shared" si="0"/>
        <v>86.108373154998816</v>
      </c>
      <c r="F38" s="32">
        <f t="shared" si="1"/>
        <v>89.241819104569814</v>
      </c>
      <c r="G38" s="32">
        <f t="shared" si="2"/>
        <v>85.322734184726841</v>
      </c>
      <c r="H38" s="32">
        <f t="shared" si="3"/>
        <v>88.678938046269536</v>
      </c>
      <c r="I38">
        <f t="shared" si="4"/>
        <v>0.99369263128040097</v>
      </c>
      <c r="J38" s="32">
        <f t="shared" si="5"/>
        <v>149.1635687732342</v>
      </c>
      <c r="K38" s="32">
        <f t="shared" si="6"/>
        <v>139.67226136206659</v>
      </c>
      <c r="L38" s="32">
        <f t="shared" si="7"/>
        <v>138.79129690975583</v>
      </c>
      <c r="M38" s="14">
        <f t="shared" si="8"/>
        <v>91.949584220250188</v>
      </c>
      <c r="N38" s="14">
        <f t="shared" si="9"/>
        <v>85.261112432408339</v>
      </c>
      <c r="O38" s="32"/>
    </row>
    <row r="39" spans="1:15" x14ac:dyDescent="0.35">
      <c r="A39" s="36">
        <v>1972</v>
      </c>
      <c r="B39" s="39">
        <v>71.242999999999995</v>
      </c>
      <c r="C39" s="39">
        <v>83.328000000000003</v>
      </c>
      <c r="E39" s="32">
        <f t="shared" si="0"/>
        <v>88.888195735442721</v>
      </c>
      <c r="F39" s="32">
        <f t="shared" si="1"/>
        <v>91.934950020962518</v>
      </c>
      <c r="G39" s="32">
        <f t="shared" si="2"/>
        <v>85.497071812595991</v>
      </c>
      <c r="H39" s="32">
        <f t="shared" si="3"/>
        <v>90.934637749143207</v>
      </c>
      <c r="I39">
        <f t="shared" si="4"/>
        <v>0.98911934719504147</v>
      </c>
      <c r="J39" s="32">
        <f t="shared" si="5"/>
        <v>153.97899195988583</v>
      </c>
      <c r="K39" s="32">
        <f t="shared" si="6"/>
        <v>143.88727724823872</v>
      </c>
      <c r="L39" s="32">
        <f t="shared" si="7"/>
        <v>142.32168974144983</v>
      </c>
      <c r="M39" s="14">
        <f t="shared" si="8"/>
        <v>91.762089232917177</v>
      </c>
      <c r="N39" s="14">
        <f t="shared" si="9"/>
        <v>84.695657803413312</v>
      </c>
      <c r="O39" s="32"/>
    </row>
    <row r="40" spans="1:15" x14ac:dyDescent="0.35">
      <c r="A40" s="37">
        <v>1973</v>
      </c>
      <c r="B40" s="38">
        <v>73.41</v>
      </c>
      <c r="C40" s="38">
        <v>85.063000000000002</v>
      </c>
      <c r="E40" s="32">
        <f t="shared" si="0"/>
        <v>91.591910067499285</v>
      </c>
      <c r="F40" s="32">
        <f t="shared" si="1"/>
        <v>93.849158189721763</v>
      </c>
      <c r="G40" s="32">
        <f t="shared" si="2"/>
        <v>86.300741803134144</v>
      </c>
      <c r="H40" s="32">
        <f t="shared" si="3"/>
        <v>93.114445477147996</v>
      </c>
      <c r="I40">
        <f t="shared" si="4"/>
        <v>0.99217134466897938</v>
      </c>
      <c r="J40" s="32">
        <f t="shared" si="5"/>
        <v>158.66257456557449</v>
      </c>
      <c r="K40" s="32">
        <f t="shared" si="6"/>
        <v>146.88320209973756</v>
      </c>
      <c r="L40" s="32">
        <f t="shared" si="7"/>
        <v>145.73330413658206</v>
      </c>
      <c r="M40" s="14">
        <f t="shared" si="8"/>
        <v>90.907560803094327</v>
      </c>
      <c r="N40" s="14">
        <f t="shared" si="9"/>
        <v>84.165835815354114</v>
      </c>
      <c r="O40" s="32"/>
    </row>
    <row r="41" spans="1:15" x14ac:dyDescent="0.35">
      <c r="A41" s="36">
        <v>1974</v>
      </c>
      <c r="B41" s="39">
        <v>72.257000000000005</v>
      </c>
      <c r="C41" s="39">
        <v>83.989000000000004</v>
      </c>
      <c r="E41" s="32">
        <f t="shared" si="0"/>
        <v>90.153339405357528</v>
      </c>
      <c r="F41" s="32">
        <f t="shared" si="1"/>
        <v>92.664224718109395</v>
      </c>
      <c r="G41" s="32">
        <f t="shared" si="2"/>
        <v>86.031504125540252</v>
      </c>
      <c r="H41" s="32">
        <f t="shared" si="3"/>
        <v>91.956334264083466</v>
      </c>
      <c r="I41">
        <f t="shared" si="4"/>
        <v>0.99236069307028274</v>
      </c>
      <c r="J41" s="32">
        <f t="shared" si="5"/>
        <v>156.17057145327226</v>
      </c>
      <c r="K41" s="32">
        <f t="shared" si="6"/>
        <v>145.02866418013539</v>
      </c>
      <c r="L41" s="32">
        <f t="shared" si="7"/>
        <v>143.92074570085646</v>
      </c>
      <c r="M41" s="14">
        <f t="shared" si="8"/>
        <v>91.192058218257898</v>
      </c>
      <c r="N41" s="14">
        <f t="shared" si="9"/>
        <v>84.445347520014906</v>
      </c>
      <c r="O41" s="32"/>
    </row>
    <row r="42" spans="1:15" x14ac:dyDescent="0.35">
      <c r="A42" s="37">
        <v>1975</v>
      </c>
      <c r="B42" s="38">
        <v>74.793000000000006</v>
      </c>
      <c r="C42" s="38">
        <v>84.843999999999994</v>
      </c>
      <c r="E42" s="32">
        <f t="shared" si="0"/>
        <v>93.317446256347566</v>
      </c>
      <c r="F42" s="32">
        <f t="shared" si="1"/>
        <v>93.607537677353861</v>
      </c>
      <c r="G42" s="32">
        <f t="shared" si="2"/>
        <v>88.153552402055553</v>
      </c>
      <c r="H42" s="32">
        <f t="shared" si="3"/>
        <v>94.498565481485826</v>
      </c>
      <c r="I42">
        <f t="shared" si="4"/>
        <v>1.0095187612690246</v>
      </c>
      <c r="J42" s="32">
        <f t="shared" si="5"/>
        <v>161.65168150773755</v>
      </c>
      <c r="K42" s="32">
        <f t="shared" si="6"/>
        <v>146.50504213289128</v>
      </c>
      <c r="L42" s="32">
        <f t="shared" si="7"/>
        <v>147.89958865366268</v>
      </c>
      <c r="M42" s="14">
        <f t="shared" si="8"/>
        <v>88.996866479513798</v>
      </c>
      <c r="N42" s="14">
        <f t="shared" si="9"/>
        <v>83.837489659234706</v>
      </c>
      <c r="O42" s="32"/>
    </row>
    <row r="43" spans="1:15" x14ac:dyDescent="0.35">
      <c r="A43" s="36">
        <v>1976</v>
      </c>
      <c r="B43" s="39">
        <v>77.144999999999996</v>
      </c>
      <c r="C43" s="39">
        <v>87.149000000000001</v>
      </c>
      <c r="E43" s="32">
        <f t="shared" si="0"/>
        <v>96.25198068597237</v>
      </c>
      <c r="F43" s="32">
        <f t="shared" si="1"/>
        <v>96.150621152276074</v>
      </c>
      <c r="G43" s="32">
        <f t="shared" si="2"/>
        <v>88.520809188860454</v>
      </c>
      <c r="H43" s="32">
        <f t="shared" si="3"/>
        <v>96.840247255913596</v>
      </c>
      <c r="I43">
        <f t="shared" si="4"/>
        <v>1.0071723520386346</v>
      </c>
      <c r="J43" s="32">
        <f t="shared" si="5"/>
        <v>166.73510849831416</v>
      </c>
      <c r="K43" s="32">
        <f t="shared" si="6"/>
        <v>150.48521895289403</v>
      </c>
      <c r="L43" s="32">
        <f t="shared" si="7"/>
        <v>151.5645519198352</v>
      </c>
      <c r="M43" s="14">
        <f t="shared" si="8"/>
        <v>88.627634617328283</v>
      </c>
      <c r="N43" s="14">
        <f t="shared" si="9"/>
        <v>83.295609351264829</v>
      </c>
      <c r="O43" s="32"/>
    </row>
    <row r="44" spans="1:15" x14ac:dyDescent="0.35">
      <c r="A44" s="37">
        <v>1977</v>
      </c>
      <c r="B44" s="38">
        <v>78.454999999999998</v>
      </c>
      <c r="C44" s="38">
        <v>88.334999999999994</v>
      </c>
      <c r="E44" s="32">
        <f t="shared" si="0"/>
        <v>97.886436511996408</v>
      </c>
      <c r="F44" s="32">
        <f t="shared" si="1"/>
        <v>97.459123105099394</v>
      </c>
      <c r="G44" s="32">
        <f t="shared" si="2"/>
        <v>88.815305371596764</v>
      </c>
      <c r="H44" s="32">
        <f t="shared" si="3"/>
        <v>98.13800191444335</v>
      </c>
      <c r="I44">
        <f t="shared" si="4"/>
        <v>1.0069657799876965</v>
      </c>
      <c r="J44" s="32">
        <f t="shared" si="5"/>
        <v>169.56643900752138</v>
      </c>
      <c r="K44" s="32">
        <f t="shared" si="6"/>
        <v>152.53315375051801</v>
      </c>
      <c r="L44" s="32">
        <f t="shared" si="7"/>
        <v>153.59566614037359</v>
      </c>
      <c r="M44" s="14">
        <f t="shared" si="8"/>
        <v>88.333760718335881</v>
      </c>
      <c r="N44" s="14">
        <f t="shared" si="9"/>
        <v>83.002388160645481</v>
      </c>
      <c r="O44" s="32"/>
    </row>
    <row r="45" spans="1:15" x14ac:dyDescent="0.35">
      <c r="A45" s="36">
        <v>1978</v>
      </c>
      <c r="B45" s="39">
        <v>79.319999999999993</v>
      </c>
      <c r="C45" s="39">
        <v>89.736000000000004</v>
      </c>
      <c r="E45" s="32">
        <f t="shared" si="0"/>
        <v>98.965676427653477</v>
      </c>
      <c r="F45" s="32">
        <f t="shared" si="1"/>
        <v>99.00483241024736</v>
      </c>
      <c r="G45" s="32">
        <f t="shared" si="2"/>
        <v>88.392618347151625</v>
      </c>
      <c r="H45" s="32">
        <f t="shared" si="3"/>
        <v>98.992427209428044</v>
      </c>
      <c r="I45">
        <f t="shared" si="4"/>
        <v>0.99987470105733922</v>
      </c>
      <c r="J45" s="32">
        <f t="shared" si="5"/>
        <v>171.43598167199789</v>
      </c>
      <c r="K45" s="32">
        <f t="shared" si="6"/>
        <v>154.95234148363036</v>
      </c>
      <c r="L45" s="32">
        <f t="shared" si="7"/>
        <v>154.93292611907964</v>
      </c>
      <c r="M45" s="14">
        <f t="shared" si="8"/>
        <v>88.756166289912514</v>
      </c>
      <c r="N45" s="14">
        <f t="shared" si="9"/>
        <v>82.811999486468821</v>
      </c>
      <c r="O45" s="32"/>
    </row>
    <row r="46" spans="1:15" x14ac:dyDescent="0.35">
      <c r="A46" s="37">
        <v>1979</v>
      </c>
      <c r="B46" s="38">
        <v>79.305000000000007</v>
      </c>
      <c r="C46" s="38">
        <v>89.864000000000004</v>
      </c>
      <c r="E46" s="32">
        <f t="shared" ref="E46:E79" si="10">B46*100/$B$49</f>
        <v>98.946961284607426</v>
      </c>
      <c r="F46" s="32">
        <f t="shared" ref="F46:F79" si="11">C46*100/$C$49</f>
        <v>99.14605353163131</v>
      </c>
      <c r="G46" s="32">
        <f t="shared" ref="G46:G79" si="12">(B46/C46)*100</f>
        <v>88.250022255853295</v>
      </c>
      <c r="H46" s="32">
        <f t="shared" ref="H46:H79" si="13">EXP($I$8+$I$9*LN(E46))</f>
        <v>98.977627267667984</v>
      </c>
      <c r="I46">
        <f t="shared" ref="I46:I77" si="14">H46/F46</f>
        <v>0.99830123078061206</v>
      </c>
      <c r="J46" s="32">
        <f t="shared" ref="J46:J79" si="15">E46*100/$E$25</f>
        <v>171.40356185700702</v>
      </c>
      <c r="K46" s="32">
        <f t="shared" ref="K46:K79" si="16">F46*100/$F$25</f>
        <v>155.17336648708385</v>
      </c>
      <c r="L46" s="32">
        <f t="shared" ref="L46:L77" si="17">K46*I46</f>
        <v>154.9097627484268</v>
      </c>
      <c r="M46" s="14">
        <f t="shared" ref="M46:M79" si="18">(F46/E46)*100/($F$14/$E$14)</f>
        <v>88.899580218521763</v>
      </c>
      <c r="N46" s="14">
        <f t="shared" ref="N46:N79" si="19">(H46/E46)*100/($H$14/$E$14)</f>
        <v>82.815279595738787</v>
      </c>
      <c r="O46" s="32"/>
    </row>
    <row r="47" spans="1:15" x14ac:dyDescent="0.35">
      <c r="A47" s="36">
        <v>1980</v>
      </c>
      <c r="B47" s="39">
        <v>79.150999999999996</v>
      </c>
      <c r="C47" s="39">
        <v>89.593000000000004</v>
      </c>
      <c r="E47" s="32">
        <f t="shared" si="10"/>
        <v>98.754819149334352</v>
      </c>
      <c r="F47" s="32">
        <f t="shared" si="11"/>
        <v>98.847061938701216</v>
      </c>
      <c r="G47" s="32">
        <f t="shared" si="12"/>
        <v>88.345071601576009</v>
      </c>
      <c r="H47" s="32">
        <f t="shared" si="13"/>
        <v>98.825647267816535</v>
      </c>
      <c r="I47">
        <f t="shared" si="14"/>
        <v>0.99978335551442121</v>
      </c>
      <c r="J47" s="32">
        <f t="shared" si="15"/>
        <v>171.07071842310017</v>
      </c>
      <c r="K47" s="32">
        <f t="shared" si="16"/>
        <v>154.70541511258463</v>
      </c>
      <c r="L47" s="32">
        <f t="shared" si="17"/>
        <v>154.67189903751131</v>
      </c>
      <c r="M47" s="14">
        <f t="shared" si="18"/>
        <v>88.803934283987914</v>
      </c>
      <c r="N47" s="14">
        <f t="shared" si="19"/>
        <v>82.848998841778482</v>
      </c>
      <c r="O47" s="32"/>
    </row>
    <row r="48" spans="1:15" x14ac:dyDescent="0.35">
      <c r="A48" s="37">
        <v>1981</v>
      </c>
      <c r="B48" s="38">
        <v>80.778999999999996</v>
      </c>
      <c r="C48" s="38">
        <v>89.644999999999996</v>
      </c>
      <c r="E48" s="32">
        <f t="shared" si="10"/>
        <v>100.78603600793521</v>
      </c>
      <c r="F48" s="32">
        <f t="shared" si="11"/>
        <v>98.904433019263436</v>
      </c>
      <c r="G48" s="32">
        <f t="shared" si="12"/>
        <v>90.109877851525468</v>
      </c>
      <c r="H48" s="32">
        <f t="shared" si="13"/>
        <v>100.42918740847756</v>
      </c>
      <c r="I48">
        <f t="shared" si="14"/>
        <v>1.01541644133299</v>
      </c>
      <c r="J48" s="32">
        <f t="shared" si="15"/>
        <v>174.58934901011497</v>
      </c>
      <c r="K48" s="32">
        <f t="shared" si="16"/>
        <v>154.7952065202376</v>
      </c>
      <c r="L48" s="32">
        <f t="shared" si="17"/>
        <v>157.18159774018491</v>
      </c>
      <c r="M48" s="14">
        <f t="shared" si="18"/>
        <v>87.064705001015028</v>
      </c>
      <c r="N48" s="14">
        <f t="shared" si="19"/>
        <v>82.496491651032514</v>
      </c>
      <c r="O48" s="32"/>
    </row>
    <row r="49" spans="1:15" s="40" customFormat="1" x14ac:dyDescent="0.35">
      <c r="A49" s="43">
        <v>1982</v>
      </c>
      <c r="B49" s="42">
        <v>80.149000000000001</v>
      </c>
      <c r="C49" s="42">
        <v>90.638000000000005</v>
      </c>
      <c r="E49" s="41">
        <f t="shared" si="10"/>
        <v>100</v>
      </c>
      <c r="F49" s="41">
        <f t="shared" si="11"/>
        <v>100</v>
      </c>
      <c r="G49" s="41">
        <f t="shared" si="12"/>
        <v>88.427591076590389</v>
      </c>
      <c r="H49" s="32">
        <f t="shared" si="13"/>
        <v>99.809463064396354</v>
      </c>
      <c r="I49">
        <f t="shared" si="14"/>
        <v>0.99809463064396353</v>
      </c>
      <c r="J49" s="32">
        <f t="shared" si="15"/>
        <v>173.22771678049625</v>
      </c>
      <c r="K49" s="32">
        <f t="shared" si="16"/>
        <v>156.50987705484184</v>
      </c>
      <c r="L49" s="32">
        <f t="shared" si="17"/>
        <v>156.21166793118451</v>
      </c>
      <c r="M49" s="14">
        <f t="shared" si="18"/>
        <v>88.721063610399383</v>
      </c>
      <c r="N49" s="14">
        <f t="shared" si="19"/>
        <v>82.631876344046404</v>
      </c>
      <c r="O49" s="32"/>
    </row>
    <row r="50" spans="1:15" x14ac:dyDescent="0.35">
      <c r="A50" s="37">
        <v>1983</v>
      </c>
      <c r="B50" s="38">
        <v>83.001999999999995</v>
      </c>
      <c r="C50" s="38">
        <v>90.591999999999999</v>
      </c>
      <c r="E50" s="32">
        <f t="shared" si="10"/>
        <v>103.55962020736376</v>
      </c>
      <c r="F50" s="32">
        <f t="shared" si="11"/>
        <v>99.949248659502643</v>
      </c>
      <c r="G50" s="32">
        <f t="shared" si="12"/>
        <v>91.62177675732957</v>
      </c>
      <c r="H50" s="32">
        <f t="shared" si="13"/>
        <v>102.60791144324099</v>
      </c>
      <c r="I50">
        <f t="shared" si="14"/>
        <v>1.0266001277587951</v>
      </c>
      <c r="J50" s="32">
        <f t="shared" si="15"/>
        <v>179.39396559176967</v>
      </c>
      <c r="K50" s="32">
        <f t="shared" si="16"/>
        <v>156.43044619422574</v>
      </c>
      <c r="L50" s="32">
        <f t="shared" si="17"/>
        <v>160.59151604835745</v>
      </c>
      <c r="M50" s="14">
        <f t="shared" si="18"/>
        <v>85.628004722064588</v>
      </c>
      <c r="N50" s="14">
        <f t="shared" si="19"/>
        <v>82.028787846947878</v>
      </c>
      <c r="O50" s="32"/>
    </row>
    <row r="51" spans="1:15" x14ac:dyDescent="0.35">
      <c r="A51" s="36">
        <v>1984</v>
      </c>
      <c r="B51" s="39">
        <v>85.215000000000003</v>
      </c>
      <c r="C51" s="39">
        <v>90.769000000000005</v>
      </c>
      <c r="E51" s="32">
        <f t="shared" si="10"/>
        <v>106.32072764476163</v>
      </c>
      <c r="F51" s="32">
        <f t="shared" si="11"/>
        <v>100.14453099141642</v>
      </c>
      <c r="G51" s="32">
        <f t="shared" si="12"/>
        <v>93.881170884332761</v>
      </c>
      <c r="H51" s="32">
        <f t="shared" si="13"/>
        <v>104.76472826284571</v>
      </c>
      <c r="I51">
        <f t="shared" si="14"/>
        <v>1.0461352929180456</v>
      </c>
      <c r="J51" s="32">
        <f t="shared" si="15"/>
        <v>184.17696896343045</v>
      </c>
      <c r="K51" s="32">
        <f t="shared" si="16"/>
        <v>156.7360823318138</v>
      </c>
      <c r="L51" s="32">
        <f t="shared" si="17"/>
        <v>163.96714740101896</v>
      </c>
      <c r="M51" s="14">
        <f t="shared" si="18"/>
        <v>83.567235675900903</v>
      </c>
      <c r="N51" s="14">
        <f t="shared" si="19"/>
        <v>81.577998524121782</v>
      </c>
      <c r="O51" s="32"/>
    </row>
    <row r="52" spans="1:15" x14ac:dyDescent="0.35">
      <c r="A52" s="37">
        <v>1985</v>
      </c>
      <c r="B52" s="38">
        <v>87.131</v>
      </c>
      <c r="C52" s="38">
        <v>91.965999999999994</v>
      </c>
      <c r="E52" s="32">
        <f t="shared" si="10"/>
        <v>108.71127524984716</v>
      </c>
      <c r="F52" s="32">
        <f t="shared" si="11"/>
        <v>101.46516913435863</v>
      </c>
      <c r="G52" s="32">
        <f t="shared" si="12"/>
        <v>94.742622273448887</v>
      </c>
      <c r="H52" s="32">
        <f t="shared" si="13"/>
        <v>106.62262204134038</v>
      </c>
      <c r="I52">
        <f t="shared" si="14"/>
        <v>1.0508297867236818</v>
      </c>
      <c r="J52" s="32">
        <f t="shared" si="15"/>
        <v>188.31805999827097</v>
      </c>
      <c r="K52" s="32">
        <f t="shared" si="16"/>
        <v>158.80301146567203</v>
      </c>
      <c r="L52" s="32">
        <f t="shared" si="17"/>
        <v>166.87493466955053</v>
      </c>
      <c r="M52" s="14">
        <f t="shared" si="18"/>
        <v>82.807396972578701</v>
      </c>
      <c r="N52" s="14">
        <f t="shared" si="19"/>
        <v>81.198996743082063</v>
      </c>
      <c r="O52" s="32"/>
    </row>
    <row r="53" spans="1:15" x14ac:dyDescent="0.35">
      <c r="A53" s="36">
        <v>1986</v>
      </c>
      <c r="B53" s="39">
        <v>89.673000000000002</v>
      </c>
      <c r="C53" s="39">
        <v>94.926000000000002</v>
      </c>
      <c r="E53" s="32">
        <f t="shared" si="10"/>
        <v>111.88286815805562</v>
      </c>
      <c r="F53" s="32">
        <f t="shared" si="11"/>
        <v>104.73090756636289</v>
      </c>
      <c r="G53" s="32">
        <f t="shared" si="12"/>
        <v>94.466215789141017</v>
      </c>
      <c r="H53" s="32">
        <f t="shared" si="13"/>
        <v>109.07439185959325</v>
      </c>
      <c r="I53">
        <f t="shared" si="14"/>
        <v>1.0414728029591276</v>
      </c>
      <c r="J53" s="32">
        <f t="shared" si="15"/>
        <v>193.81213797873258</v>
      </c>
      <c r="K53" s="32">
        <f t="shared" si="16"/>
        <v>163.91421467053462</v>
      </c>
      <c r="L53" s="32">
        <f t="shared" si="17"/>
        <v>170.71219659776585</v>
      </c>
      <c r="M53" s="14">
        <f t="shared" si="18"/>
        <v>83.049689958284489</v>
      </c>
      <c r="N53" s="14">
        <f t="shared" si="19"/>
        <v>80.711441599752391</v>
      </c>
      <c r="O53" s="32"/>
    </row>
    <row r="54" spans="1:15" x14ac:dyDescent="0.35">
      <c r="A54" s="37">
        <v>1987</v>
      </c>
      <c r="B54" s="38">
        <v>90.132999999999996</v>
      </c>
      <c r="C54" s="38">
        <v>95.207999999999998</v>
      </c>
      <c r="E54" s="32">
        <f t="shared" si="10"/>
        <v>112.45679921146863</v>
      </c>
      <c r="F54" s="32">
        <f t="shared" si="11"/>
        <v>105.04203534941193</v>
      </c>
      <c r="G54" s="32">
        <f t="shared" si="12"/>
        <v>94.669565582724132</v>
      </c>
      <c r="H54" s="32">
        <f t="shared" si="13"/>
        <v>109.51649840576265</v>
      </c>
      <c r="I54">
        <f t="shared" si="14"/>
        <v>1.0425968807769848</v>
      </c>
      <c r="J54" s="32">
        <f t="shared" si="15"/>
        <v>194.80634563845422</v>
      </c>
      <c r="K54" s="32">
        <f t="shared" si="16"/>
        <v>164.40116038126811</v>
      </c>
      <c r="L54" s="32">
        <f t="shared" si="17"/>
        <v>171.40413700962694</v>
      </c>
      <c r="M54" s="14">
        <f t="shared" si="18"/>
        <v>82.871299604360203</v>
      </c>
      <c r="N54" s="14">
        <f t="shared" si="19"/>
        <v>80.62499979007822</v>
      </c>
      <c r="O54" s="32"/>
    </row>
    <row r="55" spans="1:15" x14ac:dyDescent="0.35">
      <c r="A55" s="36">
        <v>1988</v>
      </c>
      <c r="B55" s="39">
        <v>91.507000000000005</v>
      </c>
      <c r="C55" s="39">
        <v>96.528000000000006</v>
      </c>
      <c r="E55" s="32">
        <f t="shared" si="10"/>
        <v>114.17110631448926</v>
      </c>
      <c r="F55" s="32">
        <f t="shared" si="11"/>
        <v>106.49837816368411</v>
      </c>
      <c r="G55" s="32">
        <f t="shared" si="12"/>
        <v>94.798400464114039</v>
      </c>
      <c r="H55" s="32">
        <f t="shared" si="13"/>
        <v>110.83425062511415</v>
      </c>
      <c r="I55">
        <f t="shared" si="14"/>
        <v>1.040713037477115</v>
      </c>
      <c r="J55" s="32">
        <f t="shared" si="15"/>
        <v>197.77600069162273</v>
      </c>
      <c r="K55" s="32">
        <f t="shared" si="16"/>
        <v>166.68048072938251</v>
      </c>
      <c r="L55" s="32">
        <f t="shared" si="17"/>
        <v>173.46654938802141</v>
      </c>
      <c r="M55" s="14">
        <f t="shared" si="18"/>
        <v>82.758674138077211</v>
      </c>
      <c r="N55" s="14">
        <f t="shared" si="19"/>
        <v>80.369945742255382</v>
      </c>
      <c r="O55" s="32"/>
    </row>
    <row r="56" spans="1:15" x14ac:dyDescent="0.35">
      <c r="A56" s="37">
        <v>1989</v>
      </c>
      <c r="B56" s="38">
        <v>92.409000000000006</v>
      </c>
      <c r="C56" s="38">
        <v>95.006</v>
      </c>
      <c r="E56" s="32">
        <f t="shared" si="10"/>
        <v>115.29651024966003</v>
      </c>
      <c r="F56" s="32">
        <f t="shared" si="11"/>
        <v>104.81917076722787</v>
      </c>
      <c r="G56" s="32">
        <f t="shared" si="12"/>
        <v>97.266488432309544</v>
      </c>
      <c r="H56" s="32">
        <f t="shared" si="13"/>
        <v>111.69707093006897</v>
      </c>
      <c r="I56">
        <f t="shared" si="14"/>
        <v>1.0656168152495202</v>
      </c>
      <c r="J56" s="32">
        <f t="shared" si="15"/>
        <v>199.72551223307687</v>
      </c>
      <c r="K56" s="32">
        <f t="shared" si="16"/>
        <v>164.05235529769305</v>
      </c>
      <c r="L56" s="32">
        <f t="shared" si="17"/>
        <v>174.81694838651043</v>
      </c>
      <c r="M56" s="14">
        <f t="shared" si="18"/>
        <v>80.658714622769438</v>
      </c>
      <c r="N56" s="14">
        <f t="shared" si="19"/>
        <v>80.205013716144109</v>
      </c>
      <c r="O56" s="32"/>
    </row>
    <row r="57" spans="1:15" x14ac:dyDescent="0.35">
      <c r="A57" s="36">
        <v>1990</v>
      </c>
      <c r="B57" s="39">
        <v>94.381</v>
      </c>
      <c r="C57" s="39">
        <v>96.215000000000003</v>
      </c>
      <c r="E57" s="32">
        <f t="shared" si="10"/>
        <v>117.75692772211755</v>
      </c>
      <c r="F57" s="32">
        <f t="shared" si="11"/>
        <v>106.15304839029987</v>
      </c>
      <c r="G57" s="32">
        <f t="shared" si="12"/>
        <v>98.093852309930881</v>
      </c>
      <c r="H57" s="32">
        <f t="shared" si="13"/>
        <v>113.57730541932024</v>
      </c>
      <c r="I57">
        <f t="shared" si="14"/>
        <v>1.0699391787763184</v>
      </c>
      <c r="J57" s="32">
        <f t="shared" si="15"/>
        <v>203.98763724388346</v>
      </c>
      <c r="K57" s="32">
        <f t="shared" si="16"/>
        <v>166.14000552562507</v>
      </c>
      <c r="L57" s="32">
        <f t="shared" si="17"/>
        <v>177.7597010739803</v>
      </c>
      <c r="M57" s="14">
        <f t="shared" si="18"/>
        <v>79.978405864139006</v>
      </c>
      <c r="N57" s="14">
        <f t="shared" si="19"/>
        <v>79.851115929478581</v>
      </c>
      <c r="O57" s="32"/>
    </row>
    <row r="58" spans="1:15" x14ac:dyDescent="0.35">
      <c r="A58" s="37">
        <v>1991</v>
      </c>
      <c r="B58" s="38">
        <v>95.902000000000001</v>
      </c>
      <c r="C58" s="38">
        <v>97.463999999999999</v>
      </c>
      <c r="E58" s="32">
        <f t="shared" si="10"/>
        <v>119.65464322698973</v>
      </c>
      <c r="F58" s="32">
        <f t="shared" si="11"/>
        <v>107.53105761380435</v>
      </c>
      <c r="G58" s="32">
        <f t="shared" si="12"/>
        <v>98.397356972830991</v>
      </c>
      <c r="H58" s="32">
        <f t="shared" si="13"/>
        <v>115.02190772384793</v>
      </c>
      <c r="I58">
        <f t="shared" si="14"/>
        <v>1.0696622006355301</v>
      </c>
      <c r="J58" s="32">
        <f t="shared" si="15"/>
        <v>207.27500648396301</v>
      </c>
      <c r="K58" s="32">
        <f t="shared" si="16"/>
        <v>168.29672606713632</v>
      </c>
      <c r="L58" s="32">
        <f t="shared" si="17"/>
        <v>180.02064636472801</v>
      </c>
      <c r="M58" s="14">
        <f t="shared" si="18"/>
        <v>79.73171408442191</v>
      </c>
      <c r="N58" s="14">
        <f t="shared" si="19"/>
        <v>79.584209251948693</v>
      </c>
      <c r="O58" s="32"/>
    </row>
    <row r="59" spans="1:15" x14ac:dyDescent="0.35">
      <c r="A59" s="36">
        <v>1992</v>
      </c>
      <c r="B59" s="39">
        <v>100</v>
      </c>
      <c r="C59" s="39">
        <v>100</v>
      </c>
      <c r="E59" s="32">
        <f t="shared" si="10"/>
        <v>124.76762030717788</v>
      </c>
      <c r="F59" s="32">
        <f t="shared" si="11"/>
        <v>110.32900108122421</v>
      </c>
      <c r="G59" s="32">
        <f t="shared" si="12"/>
        <v>100</v>
      </c>
      <c r="H59" s="32">
        <f t="shared" si="13"/>
        <v>118.89048207175</v>
      </c>
      <c r="I59">
        <f t="shared" si="14"/>
        <v>1.0775995514019276</v>
      </c>
      <c r="J59" s="32">
        <f t="shared" si="15"/>
        <v>216.132099939483</v>
      </c>
      <c r="K59" s="32">
        <f t="shared" si="16"/>
        <v>172.67578394805915</v>
      </c>
      <c r="L59" s="32">
        <f t="shared" si="17"/>
        <v>186.07534732040472</v>
      </c>
      <c r="M59" s="14">
        <f t="shared" si="18"/>
        <v>78.453899328205608</v>
      </c>
      <c r="N59" s="14">
        <f t="shared" si="19"/>
        <v>78.889842933357301</v>
      </c>
      <c r="O59" s="32"/>
    </row>
    <row r="60" spans="1:15" x14ac:dyDescent="0.35">
      <c r="A60" s="37">
        <v>1993</v>
      </c>
      <c r="B60" s="38">
        <v>100.39</v>
      </c>
      <c r="C60" s="38">
        <v>99.763000000000005</v>
      </c>
      <c r="E60" s="32">
        <f t="shared" si="10"/>
        <v>125.25421402637588</v>
      </c>
      <c r="F60" s="32">
        <f t="shared" si="11"/>
        <v>110.06752134866171</v>
      </c>
      <c r="G60" s="32">
        <f t="shared" si="12"/>
        <v>100.62848952016279</v>
      </c>
      <c r="H60" s="32">
        <f t="shared" si="13"/>
        <v>119.25689893833008</v>
      </c>
      <c r="I60">
        <f t="shared" si="14"/>
        <v>1.0834885484570795</v>
      </c>
      <c r="J60" s="32">
        <f t="shared" si="15"/>
        <v>216.97501512924703</v>
      </c>
      <c r="K60" s="32">
        <f t="shared" si="16"/>
        <v>172.26654234010226</v>
      </c>
      <c r="L60" s="32">
        <f t="shared" si="17"/>
        <v>186.64882590779743</v>
      </c>
      <c r="M60" s="14">
        <f t="shared" si="18"/>
        <v>77.963904359794554</v>
      </c>
      <c r="N60" s="14">
        <f t="shared" si="19"/>
        <v>78.825559359547782</v>
      </c>
      <c r="O60" s="32"/>
    </row>
    <row r="61" spans="1:15" x14ac:dyDescent="0.35">
      <c r="A61" s="36">
        <v>1994</v>
      </c>
      <c r="B61" s="39">
        <v>101.36</v>
      </c>
      <c r="C61" s="39">
        <v>99.036000000000001</v>
      </c>
      <c r="E61" s="32">
        <f t="shared" si="10"/>
        <v>126.46445994335549</v>
      </c>
      <c r="F61" s="32">
        <f t="shared" si="11"/>
        <v>109.26542951080121</v>
      </c>
      <c r="G61" s="32">
        <f t="shared" si="12"/>
        <v>102.3466214305909</v>
      </c>
      <c r="H61" s="32">
        <f t="shared" si="13"/>
        <v>120.16695414941864</v>
      </c>
      <c r="I61">
        <f t="shared" si="14"/>
        <v>1.0997710317657223</v>
      </c>
      <c r="J61" s="32">
        <f t="shared" si="15"/>
        <v>219.07149649865997</v>
      </c>
      <c r="K61" s="32">
        <f t="shared" si="16"/>
        <v>171.01118939079984</v>
      </c>
      <c r="L61" s="32">
        <f t="shared" si="17"/>
        <v>188.0731521998033</v>
      </c>
      <c r="M61" s="14">
        <f t="shared" si="18"/>
        <v>76.655094454105878</v>
      </c>
      <c r="N61" s="14">
        <f t="shared" si="19"/>
        <v>78.666975792078901</v>
      </c>
      <c r="O61" s="32"/>
    </row>
    <row r="62" spans="1:15" x14ac:dyDescent="0.35">
      <c r="A62" s="37">
        <v>1995</v>
      </c>
      <c r="B62" s="38">
        <v>101.495</v>
      </c>
      <c r="C62" s="38">
        <v>98.69</v>
      </c>
      <c r="E62" s="32">
        <f t="shared" si="10"/>
        <v>126.63289623077019</v>
      </c>
      <c r="F62" s="32">
        <f t="shared" si="11"/>
        <v>108.88369116706016</v>
      </c>
      <c r="G62" s="32">
        <f t="shared" si="12"/>
        <v>102.84223325564901</v>
      </c>
      <c r="H62" s="32">
        <f t="shared" si="13"/>
        <v>120.29346639295773</v>
      </c>
      <c r="I62">
        <f t="shared" si="14"/>
        <v>1.1047886520341375</v>
      </c>
      <c r="J62" s="32">
        <f t="shared" si="15"/>
        <v>219.36327483357829</v>
      </c>
      <c r="K62" s="32">
        <f t="shared" si="16"/>
        <v>170.41373117833956</v>
      </c>
      <c r="L62" s="32">
        <f t="shared" si="17"/>
        <v>188.27115635662562</v>
      </c>
      <c r="M62" s="14">
        <f t="shared" si="18"/>
        <v>76.285682296670885</v>
      </c>
      <c r="N62" s="14">
        <f t="shared" si="19"/>
        <v>78.645050425814574</v>
      </c>
      <c r="O62" s="32"/>
    </row>
    <row r="63" spans="1:15" x14ac:dyDescent="0.35">
      <c r="A63" s="36">
        <v>1996</v>
      </c>
      <c r="B63" s="39">
        <v>104.494</v>
      </c>
      <c r="C63" s="39">
        <v>99.48</v>
      </c>
      <c r="E63" s="32">
        <f t="shared" si="10"/>
        <v>130.37467716378245</v>
      </c>
      <c r="F63" s="32">
        <f t="shared" si="11"/>
        <v>109.75529027560184</v>
      </c>
      <c r="G63" s="32">
        <f t="shared" si="12"/>
        <v>105.04020908725371</v>
      </c>
      <c r="H63" s="32">
        <f t="shared" si="13"/>
        <v>123.09492809204478</v>
      </c>
      <c r="I63">
        <f t="shared" si="14"/>
        <v>1.1215398162853594</v>
      </c>
      <c r="J63" s="32">
        <f t="shared" si="15"/>
        <v>225.84507651076339</v>
      </c>
      <c r="K63" s="32">
        <f t="shared" si="16"/>
        <v>171.77786987152922</v>
      </c>
      <c r="L63" s="32">
        <f t="shared" si="17"/>
        <v>192.65572061760525</v>
      </c>
      <c r="M63" s="14">
        <f t="shared" si="18"/>
        <v>74.689397526842626</v>
      </c>
      <c r="N63" s="14">
        <f t="shared" si="19"/>
        <v>78.16688550316006</v>
      </c>
      <c r="O63" s="32"/>
    </row>
    <row r="64" spans="1:15" x14ac:dyDescent="0.35">
      <c r="A64" s="37">
        <v>1997</v>
      </c>
      <c r="B64" s="38">
        <v>106.47799999999999</v>
      </c>
      <c r="C64" s="38">
        <v>100.512</v>
      </c>
      <c r="E64" s="32">
        <f t="shared" si="10"/>
        <v>132.85006675067686</v>
      </c>
      <c r="F64" s="32">
        <f t="shared" si="11"/>
        <v>110.89388556676008</v>
      </c>
      <c r="G64" s="32">
        <f t="shared" si="12"/>
        <v>105.93560967844635</v>
      </c>
      <c r="H64" s="32">
        <f t="shared" si="13"/>
        <v>124.93898189363348</v>
      </c>
      <c r="I64">
        <f t="shared" si="14"/>
        <v>1.1266534782787281</v>
      </c>
      <c r="J64" s="32">
        <f t="shared" si="15"/>
        <v>230.1331373735627</v>
      </c>
      <c r="K64" s="32">
        <f t="shared" si="16"/>
        <v>173.5598839618732</v>
      </c>
      <c r="L64" s="32">
        <f t="shared" si="17"/>
        <v>195.54184695529688</v>
      </c>
      <c r="M64" s="14">
        <f t="shared" si="18"/>
        <v>74.05809960063678</v>
      </c>
      <c r="N64" s="14">
        <f t="shared" si="19"/>
        <v>77.859584349332451</v>
      </c>
      <c r="O64" s="32"/>
    </row>
    <row r="65" spans="1:15" x14ac:dyDescent="0.35">
      <c r="A65" s="36">
        <v>1998</v>
      </c>
      <c r="B65" s="39">
        <v>109.477</v>
      </c>
      <c r="C65" s="39">
        <v>105.17700000000001</v>
      </c>
      <c r="E65" s="32">
        <f t="shared" si="10"/>
        <v>136.59184768368914</v>
      </c>
      <c r="F65" s="32">
        <f t="shared" si="11"/>
        <v>116.04073346719919</v>
      </c>
      <c r="G65" s="32">
        <f t="shared" si="12"/>
        <v>104.08834631145592</v>
      </c>
      <c r="H65" s="32">
        <f t="shared" si="13"/>
        <v>127.7128577217032</v>
      </c>
      <c r="I65">
        <f t="shared" si="14"/>
        <v>1.100586439828074</v>
      </c>
      <c r="J65" s="32">
        <f t="shared" si="15"/>
        <v>236.61493905074784</v>
      </c>
      <c r="K65" s="32">
        <f t="shared" si="16"/>
        <v>181.61520928305015</v>
      </c>
      <c r="L65" s="32">
        <f t="shared" si="17"/>
        <v>199.88323660346273</v>
      </c>
      <c r="M65" s="14">
        <f t="shared" si="18"/>
        <v>75.372414019772933</v>
      </c>
      <c r="N65" s="14">
        <f t="shared" si="19"/>
        <v>77.407980682713074</v>
      </c>
      <c r="O65" s="32"/>
    </row>
    <row r="66" spans="1:15" x14ac:dyDescent="0.35">
      <c r="A66" s="37">
        <v>1999</v>
      </c>
      <c r="B66" s="38">
        <v>112.84099999999999</v>
      </c>
      <c r="C66" s="38">
        <v>108.102</v>
      </c>
      <c r="E66" s="32">
        <f t="shared" si="10"/>
        <v>140.78903043082258</v>
      </c>
      <c r="F66" s="32">
        <f t="shared" si="11"/>
        <v>119.267856748825</v>
      </c>
      <c r="G66" s="32">
        <f t="shared" si="12"/>
        <v>104.38382268598174</v>
      </c>
      <c r="H66" s="32">
        <f t="shared" si="13"/>
        <v>130.80547383527659</v>
      </c>
      <c r="I66">
        <f t="shared" si="14"/>
        <v>1.0967370203587168</v>
      </c>
      <c r="J66" s="32">
        <f t="shared" si="15"/>
        <v>243.88562289271201</v>
      </c>
      <c r="K66" s="32">
        <f t="shared" si="16"/>
        <v>186.66597596353088</v>
      </c>
      <c r="L66" s="32">
        <f t="shared" si="17"/>
        <v>204.7234862805947</v>
      </c>
      <c r="M66" s="14">
        <f t="shared" si="18"/>
        <v>75.159059430328369</v>
      </c>
      <c r="N66" s="14">
        <f t="shared" si="19"/>
        <v>76.918887715793588</v>
      </c>
      <c r="O66" s="32"/>
    </row>
    <row r="67" spans="1:15" x14ac:dyDescent="0.35">
      <c r="A67" s="36">
        <v>2000</v>
      </c>
      <c r="B67" s="34">
        <v>117.24</v>
      </c>
      <c r="C67" s="34">
        <v>111.928</v>
      </c>
      <c r="E67" s="32">
        <f t="shared" si="10"/>
        <v>146.27755804813535</v>
      </c>
      <c r="F67" s="32">
        <f t="shared" si="11"/>
        <v>123.48904433019261</v>
      </c>
      <c r="G67" s="32">
        <f t="shared" si="12"/>
        <v>104.74590808376814</v>
      </c>
      <c r="H67" s="32">
        <f t="shared" si="13"/>
        <v>134.82065104954123</v>
      </c>
      <c r="I67">
        <f t="shared" si="14"/>
        <v>1.0917620407608748</v>
      </c>
      <c r="J67" s="32">
        <f t="shared" si="15"/>
        <v>253.39327396904989</v>
      </c>
      <c r="K67" s="32">
        <f t="shared" si="16"/>
        <v>193.2725514573836</v>
      </c>
      <c r="L67" s="32">
        <f t="shared" si="17"/>
        <v>211.0076352021743</v>
      </c>
      <c r="M67" s="14">
        <f t="shared" si="18"/>
        <v>74.899249778295768</v>
      </c>
      <c r="N67" s="14">
        <f t="shared" si="19"/>
        <v>76.30528409610686</v>
      </c>
      <c r="O67" s="32"/>
    </row>
    <row r="68" spans="1:15" x14ac:dyDescent="0.35">
      <c r="A68" s="37">
        <v>2001</v>
      </c>
      <c r="B68" s="34">
        <v>120.739</v>
      </c>
      <c r="C68" s="34">
        <v>113.976</v>
      </c>
      <c r="E68" s="32">
        <f t="shared" si="10"/>
        <v>150.64317708268351</v>
      </c>
      <c r="F68" s="32">
        <f t="shared" si="11"/>
        <v>125.74858227233611</v>
      </c>
      <c r="G68" s="32">
        <f t="shared" si="12"/>
        <v>105.93370534147539</v>
      </c>
      <c r="H68" s="32">
        <f t="shared" si="13"/>
        <v>137.99184040176786</v>
      </c>
      <c r="I68">
        <f t="shared" si="14"/>
        <v>1.0973629913609386</v>
      </c>
      <c r="J68" s="32">
        <f t="shared" si="15"/>
        <v>260.95573614593241</v>
      </c>
      <c r="K68" s="32">
        <f t="shared" si="16"/>
        <v>196.80895151263988</v>
      </c>
      <c r="L68" s="32">
        <f t="shared" si="17"/>
        <v>215.97085975852042</v>
      </c>
      <c r="M68" s="14">
        <f t="shared" si="18"/>
        <v>74.059430919848296</v>
      </c>
      <c r="N68" s="14">
        <f t="shared" si="19"/>
        <v>75.836771436032564</v>
      </c>
      <c r="O68" s="32"/>
    </row>
    <row r="69" spans="1:15" x14ac:dyDescent="0.35">
      <c r="A69" s="36">
        <v>2002</v>
      </c>
      <c r="B69" s="34">
        <v>126.172</v>
      </c>
      <c r="C69" s="34">
        <v>115.63200000000001</v>
      </c>
      <c r="E69" s="32">
        <f t="shared" si="10"/>
        <v>157.42180189397246</v>
      </c>
      <c r="F69" s="32">
        <f t="shared" si="11"/>
        <v>127.57563053024118</v>
      </c>
      <c r="G69" s="32">
        <f t="shared" si="12"/>
        <v>109.11512384115123</v>
      </c>
      <c r="H69" s="32">
        <f t="shared" si="13"/>
        <v>142.87804457140524</v>
      </c>
      <c r="I69">
        <f t="shared" si="14"/>
        <v>1.1199477829548072</v>
      </c>
      <c r="J69" s="32">
        <f t="shared" si="15"/>
        <v>272.69819313564449</v>
      </c>
      <c r="K69" s="32">
        <f t="shared" si="16"/>
        <v>199.66846249481972</v>
      </c>
      <c r="L69" s="32">
        <f t="shared" si="17"/>
        <v>223.61825189706843</v>
      </c>
      <c r="M69" s="14">
        <f t="shared" si="18"/>
        <v>71.900114820396539</v>
      </c>
      <c r="N69" s="14">
        <f t="shared" si="19"/>
        <v>75.140921006963694</v>
      </c>
      <c r="O69" s="32"/>
    </row>
    <row r="70" spans="1:15" x14ac:dyDescent="0.35">
      <c r="A70" s="37">
        <v>2003</v>
      </c>
      <c r="B70" s="34">
        <v>131.01599999999999</v>
      </c>
      <c r="C70" s="34">
        <v>118.55</v>
      </c>
      <c r="E70" s="32">
        <f t="shared" si="10"/>
        <v>163.46554542165217</v>
      </c>
      <c r="F70" s="32">
        <f t="shared" si="11"/>
        <v>130.7950307817913</v>
      </c>
      <c r="G70" s="32">
        <f t="shared" si="12"/>
        <v>110.5153943483762</v>
      </c>
      <c r="H70" s="32">
        <f t="shared" si="13"/>
        <v>147.19745649815295</v>
      </c>
      <c r="I70">
        <f t="shared" si="14"/>
        <v>1.1254055725077678</v>
      </c>
      <c r="J70" s="32">
        <f t="shared" si="15"/>
        <v>283.16763205671305</v>
      </c>
      <c r="K70" s="32">
        <f t="shared" si="16"/>
        <v>204.7071418704241</v>
      </c>
      <c r="L70" s="32">
        <f t="shared" si="17"/>
        <v>230.37855819311349</v>
      </c>
      <c r="M70" s="14">
        <f t="shared" si="18"/>
        <v>70.989114042245035</v>
      </c>
      <c r="N70" s="14">
        <f t="shared" si="19"/>
        <v>74.550399146596234</v>
      </c>
      <c r="O70" s="32"/>
    </row>
    <row r="71" spans="1:15" x14ac:dyDescent="0.35">
      <c r="A71" s="36">
        <v>2004</v>
      </c>
      <c r="B71" s="34">
        <v>134.86500000000001</v>
      </c>
      <c r="C71" s="34">
        <v>119.477</v>
      </c>
      <c r="E71" s="32">
        <f t="shared" si="10"/>
        <v>168.26785112727543</v>
      </c>
      <c r="F71" s="32">
        <f t="shared" si="11"/>
        <v>131.81778062181425</v>
      </c>
      <c r="G71" s="32">
        <f t="shared" si="12"/>
        <v>112.879466340802</v>
      </c>
      <c r="H71" s="32">
        <f t="shared" si="13"/>
        <v>150.60579165672232</v>
      </c>
      <c r="I71">
        <f t="shared" si="14"/>
        <v>1.1425301726844495</v>
      </c>
      <c r="J71" s="32">
        <f t="shared" si="15"/>
        <v>291.48655658338373</v>
      </c>
      <c r="K71" s="32">
        <f t="shared" si="16"/>
        <v>206.30784638762262</v>
      </c>
      <c r="L71" s="32">
        <f t="shared" si="17"/>
        <v>235.71293935940733</v>
      </c>
      <c r="M71" s="14">
        <f t="shared" si="18"/>
        <v>69.502365551003024</v>
      </c>
      <c r="N71" s="14">
        <f t="shared" si="19"/>
        <v>74.099694926295697</v>
      </c>
      <c r="O71" s="32"/>
    </row>
    <row r="72" spans="1:15" x14ac:dyDescent="0.35">
      <c r="A72" s="37">
        <v>2005</v>
      </c>
      <c r="B72" s="34">
        <v>137.154</v>
      </c>
      <c r="C72" s="34">
        <v>120.182</v>
      </c>
      <c r="E72" s="32">
        <f t="shared" si="10"/>
        <v>171.12378195610674</v>
      </c>
      <c r="F72" s="32">
        <f t="shared" si="11"/>
        <v>132.59560007943688</v>
      </c>
      <c r="G72" s="32">
        <f t="shared" si="12"/>
        <v>114.12191509543858</v>
      </c>
      <c r="H72" s="32">
        <f t="shared" si="13"/>
        <v>152.62305122954371</v>
      </c>
      <c r="I72">
        <f t="shared" si="14"/>
        <v>1.1510415966903016</v>
      </c>
      <c r="J72" s="32">
        <f t="shared" si="15"/>
        <v>296.43382035099847</v>
      </c>
      <c r="K72" s="32">
        <f t="shared" si="16"/>
        <v>207.52521066445644</v>
      </c>
      <c r="L72" s="32">
        <f t="shared" si="17"/>
        <v>238.87014983670716</v>
      </c>
      <c r="M72" s="14">
        <f t="shared" si="18"/>
        <v>68.745691187004439</v>
      </c>
      <c r="N72" s="14">
        <f t="shared" si="19"/>
        <v>73.838974605370581</v>
      </c>
      <c r="O72" s="32"/>
    </row>
    <row r="73" spans="1:15" x14ac:dyDescent="0.35">
      <c r="A73" s="36">
        <v>2006</v>
      </c>
      <c r="B73" s="34">
        <v>138.50399999999999</v>
      </c>
      <c r="C73" s="34">
        <v>120.84</v>
      </c>
      <c r="E73" s="32">
        <f t="shared" si="10"/>
        <v>172.80814483025364</v>
      </c>
      <c r="F73" s="32">
        <f t="shared" si="11"/>
        <v>133.32156490655132</v>
      </c>
      <c r="G73" s="32">
        <f t="shared" si="12"/>
        <v>114.61767626613704</v>
      </c>
      <c r="H73" s="32">
        <f t="shared" si="13"/>
        <v>153.80947601794401</v>
      </c>
      <c r="I73">
        <f t="shared" si="14"/>
        <v>1.1536728969972203</v>
      </c>
      <c r="J73" s="32">
        <f t="shared" si="15"/>
        <v>299.3516037001815</v>
      </c>
      <c r="K73" s="32">
        <f t="shared" si="16"/>
        <v>208.66141732283464</v>
      </c>
      <c r="L73" s="32">
        <f t="shared" si="17"/>
        <v>240.72702181438061</v>
      </c>
      <c r="M73" s="14">
        <f t="shared" si="18"/>
        <v>68.448342248746371</v>
      </c>
      <c r="N73" s="14">
        <f t="shared" si="19"/>
        <v>73.687662473873488</v>
      </c>
      <c r="O73" s="32"/>
    </row>
    <row r="74" spans="1:15" x14ac:dyDescent="0.35">
      <c r="A74" s="37">
        <v>2007</v>
      </c>
      <c r="B74" s="34">
        <v>140.97800000000001</v>
      </c>
      <c r="C74" s="34">
        <v>122.43300000000001</v>
      </c>
      <c r="E74" s="32">
        <f t="shared" si="10"/>
        <v>175.89489575665326</v>
      </c>
      <c r="F74" s="32">
        <f t="shared" si="11"/>
        <v>135.07910589377525</v>
      </c>
      <c r="G74" s="32">
        <f t="shared" si="12"/>
        <v>115.14706002466654</v>
      </c>
      <c r="H74" s="32">
        <f t="shared" si="13"/>
        <v>155.97745002747715</v>
      </c>
      <c r="I74">
        <f t="shared" si="14"/>
        <v>1.154711892675216</v>
      </c>
      <c r="J74" s="32">
        <f t="shared" si="15"/>
        <v>304.69871185268437</v>
      </c>
      <c r="K74" s="32">
        <f t="shared" si="16"/>
        <v>211.41214256112727</v>
      </c>
      <c r="L74" s="32">
        <f t="shared" si="17"/>
        <v>244.12011527128186</v>
      </c>
      <c r="M74" s="14">
        <f t="shared" si="18"/>
        <v>68.133653878266088</v>
      </c>
      <c r="N74" s="14">
        <f t="shared" si="19"/>
        <v>73.414944420946284</v>
      </c>
      <c r="O74" s="32"/>
    </row>
    <row r="75" spans="1:15" x14ac:dyDescent="0.35">
      <c r="A75" s="36">
        <v>2008</v>
      </c>
      <c r="B75" s="34">
        <v>143.952</v>
      </c>
      <c r="C75" s="34">
        <v>121.402</v>
      </c>
      <c r="E75" s="32">
        <f t="shared" si="10"/>
        <v>179.6054847845887</v>
      </c>
      <c r="F75" s="32">
        <f t="shared" si="11"/>
        <v>133.94161389262783</v>
      </c>
      <c r="G75" s="32">
        <f t="shared" si="12"/>
        <v>118.57465280637879</v>
      </c>
      <c r="H75" s="32">
        <f t="shared" si="13"/>
        <v>158.57306325111023</v>
      </c>
      <c r="I75">
        <f t="shared" si="14"/>
        <v>1.1838969133090169</v>
      </c>
      <c r="J75" s="32">
        <f t="shared" si="15"/>
        <v>311.12648050488457</v>
      </c>
      <c r="K75" s="32">
        <f t="shared" si="16"/>
        <v>209.63185522862275</v>
      </c>
      <c r="L75" s="32">
        <f t="shared" si="17"/>
        <v>248.18250633640918</v>
      </c>
      <c r="M75" s="14">
        <f t="shared" si="18"/>
        <v>66.164140034475508</v>
      </c>
      <c r="N75" s="14">
        <f t="shared" si="19"/>
        <v>73.094671062455859</v>
      </c>
      <c r="O75" s="32"/>
    </row>
    <row r="76" spans="1:15" ht="14.4" x14ac:dyDescent="0.3">
      <c r="A76" s="35">
        <v>2009</v>
      </c>
      <c r="B76" s="34">
        <v>149.375</v>
      </c>
      <c r="C76" s="34">
        <v>124.00700000000001</v>
      </c>
      <c r="E76" s="32">
        <f t="shared" si="10"/>
        <v>186.37163283384695</v>
      </c>
      <c r="F76" s="32">
        <f t="shared" si="11"/>
        <v>136.81568437079372</v>
      </c>
      <c r="G76" s="32">
        <f t="shared" si="12"/>
        <v>120.45690969058198</v>
      </c>
      <c r="H76" s="32">
        <f t="shared" si="13"/>
        <v>163.27743008489986</v>
      </c>
      <c r="I76">
        <f t="shared" si="14"/>
        <v>1.1934116387006501</v>
      </c>
      <c r="J76" s="32">
        <f t="shared" si="15"/>
        <v>322.84732428460273</v>
      </c>
      <c r="K76" s="32">
        <f t="shared" si="16"/>
        <v>214.13005940046969</v>
      </c>
      <c r="L76" s="32">
        <f t="shared" si="17"/>
        <v>255.54530508418208</v>
      </c>
      <c r="M76" s="14">
        <f t="shared" si="18"/>
        <v>65.130260712922464</v>
      </c>
      <c r="N76" s="14">
        <f t="shared" si="19"/>
        <v>72.530762185891703</v>
      </c>
      <c r="O76" s="32"/>
    </row>
    <row r="77" spans="1:15" ht="14.4" x14ac:dyDescent="0.3">
      <c r="A77" s="33">
        <v>2010</v>
      </c>
      <c r="B77" s="32">
        <f>109.484*100/73.056</f>
        <v>149.86311870346037</v>
      </c>
      <c r="C77" s="32">
        <f>103.298*100/83.348</f>
        <v>123.93578730143494</v>
      </c>
      <c r="E77" s="32">
        <f t="shared" si="10"/>
        <v>186.9806469244287</v>
      </c>
      <c r="F77" s="32">
        <f t="shared" si="11"/>
        <v>136.73711611182389</v>
      </c>
      <c r="G77" s="32">
        <f t="shared" si="12"/>
        <v>120.9199715163509</v>
      </c>
      <c r="H77" s="32">
        <f t="shared" si="13"/>
        <v>163.69909370163433</v>
      </c>
      <c r="I77">
        <f t="shared" si="14"/>
        <v>1.1971811191904973</v>
      </c>
      <c r="J77" s="32">
        <f t="shared" si="15"/>
        <v>323.90230548858898</v>
      </c>
      <c r="K77" s="32">
        <f t="shared" si="16"/>
        <v>214.0070923149519</v>
      </c>
      <c r="L77" s="32">
        <f t="shared" si="17"/>
        <v>256.20525029231817</v>
      </c>
      <c r="M77" s="14">
        <f t="shared" si="18"/>
        <v>64.880845028645254</v>
      </c>
      <c r="N77" s="14">
        <f t="shared" si="19"/>
        <v>72.481222914092612</v>
      </c>
      <c r="O77" s="32"/>
    </row>
    <row r="78" spans="1:15" ht="14.4" x14ac:dyDescent="0.3">
      <c r="A78" s="33">
        <v>2011</v>
      </c>
      <c r="B78" s="32">
        <f>110.554*100/73.056</f>
        <v>151.32774857643452</v>
      </c>
      <c r="C78" s="32">
        <f>102.668*100/83.348</f>
        <v>123.17992033402123</v>
      </c>
      <c r="E78" s="32">
        <f t="shared" si="10"/>
        <v>188.80803076324659</v>
      </c>
      <c r="F78" s="32">
        <f t="shared" si="11"/>
        <v>135.9031756371734</v>
      </c>
      <c r="G78" s="32">
        <f t="shared" si="12"/>
        <v>122.85098753602546</v>
      </c>
      <c r="H78" s="32">
        <f t="shared" si="13"/>
        <v>164.96259979480652</v>
      </c>
      <c r="I78">
        <f t="shared" ref="I78:I79" si="20">H78/F78</f>
        <v>1.213824467466561</v>
      </c>
      <c r="J78" s="32">
        <f t="shared" si="15"/>
        <v>327.06784078938904</v>
      </c>
      <c r="K78" s="32">
        <f t="shared" si="16"/>
        <v>212.70189310336588</v>
      </c>
      <c r="L78" s="32">
        <f t="shared" ref="L78:L79" si="21">K78*I78</f>
        <v>258.18276212532248</v>
      </c>
      <c r="M78" s="14">
        <f t="shared" si="18"/>
        <v>63.861024564576162</v>
      </c>
      <c r="N78" s="14">
        <f t="shared" si="19"/>
        <v>72.333740709641546</v>
      </c>
      <c r="O78" s="32"/>
    </row>
    <row r="79" spans="1:15" ht="14.4" x14ac:dyDescent="0.3">
      <c r="A79" s="33">
        <v>2012</v>
      </c>
      <c r="B79" s="32">
        <f>109.852*100/73.056</f>
        <v>150.36684187472625</v>
      </c>
      <c r="C79" s="32">
        <f>102.457*100/83.348</f>
        <v>122.92676488937946</v>
      </c>
      <c r="E79" s="32">
        <f t="shared" si="10"/>
        <v>187.60913033815299</v>
      </c>
      <c r="F79" s="32">
        <f t="shared" si="11"/>
        <v>135.62387176391738</v>
      </c>
      <c r="G79" s="32">
        <f t="shared" si="12"/>
        <v>122.32229653976484</v>
      </c>
      <c r="H79" s="32">
        <f t="shared" si="13"/>
        <v>164.13393585619221</v>
      </c>
      <c r="I79">
        <f t="shared" si="20"/>
        <v>1.2102142028646901</v>
      </c>
      <c r="J79" s="32">
        <f t="shared" si="15"/>
        <v>324.99101295652775</v>
      </c>
      <c r="K79" s="32">
        <f t="shared" si="16"/>
        <v>212.26475495472343</v>
      </c>
      <c r="L79" s="32">
        <f t="shared" si="21"/>
        <v>256.88582121379937</v>
      </c>
      <c r="M79" s="14">
        <f t="shared" si="18"/>
        <v>64.137039237733418</v>
      </c>
      <c r="N79" s="14">
        <f t="shared" si="19"/>
        <v>72.430304128027515</v>
      </c>
      <c r="O79" s="32"/>
    </row>
  </sheetData>
  <mergeCells count="1">
    <mergeCell ref="A12:B12"/>
  </mergeCells>
  <hyperlinks>
    <hyperlink ref="C1" r:id="rId1"/>
  </hyperlinks>
  <pageMargins left="0.7" right="0.7" top="0.75" bottom="0.75" header="0.3" footer="0.3"/>
  <pageSetup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I42"/>
  <sheetViews>
    <sheetView workbookViewId="0">
      <selection activeCell="D4" sqref="D4"/>
    </sheetView>
  </sheetViews>
  <sheetFormatPr defaultColWidth="8.81640625" defaultRowHeight="12.5" x14ac:dyDescent="0.25"/>
  <cols>
    <col min="1" max="1" width="8.81640625" style="25"/>
    <col min="2" max="2" width="10.08984375" style="25" customWidth="1"/>
    <col min="3" max="3" width="15.90625" style="25" customWidth="1"/>
    <col min="4" max="4" width="15.1796875" style="25" customWidth="1"/>
    <col min="5" max="16384" width="8.81640625" style="25"/>
  </cols>
  <sheetData>
    <row r="1" spans="1:4" x14ac:dyDescent="0.25">
      <c r="B1" s="25" t="s">
        <v>181</v>
      </c>
      <c r="C1" s="25" t="s">
        <v>180</v>
      </c>
    </row>
    <row r="2" spans="1:4" x14ac:dyDescent="0.25">
      <c r="B2" s="25" t="s">
        <v>179</v>
      </c>
      <c r="C2" s="25" t="s">
        <v>178</v>
      </c>
    </row>
    <row r="4" spans="1:4" x14ac:dyDescent="0.25">
      <c r="A4" s="25" t="s">
        <v>177</v>
      </c>
      <c r="B4" s="25" t="s">
        <v>176</v>
      </c>
      <c r="C4" s="27" t="s">
        <v>175</v>
      </c>
      <c r="D4" s="25" t="s">
        <v>174</v>
      </c>
    </row>
    <row r="5" spans="1:4" ht="14.5" x14ac:dyDescent="0.35">
      <c r="A5" s="25">
        <v>1975</v>
      </c>
      <c r="B5" s="25">
        <v>734.3</v>
      </c>
      <c r="C5" s="25">
        <v>1187.3</v>
      </c>
      <c r="D5" s="11">
        <f t="shared" ref="D5:D42" si="0">B5/C5</f>
        <v>0.61846205676745558</v>
      </c>
    </row>
    <row r="6" spans="1:4" ht="14.5" x14ac:dyDescent="0.35">
      <c r="A6" s="25">
        <v>1976</v>
      </c>
      <c r="B6" s="25">
        <v>818.9</v>
      </c>
      <c r="C6" s="25">
        <v>1302.3</v>
      </c>
      <c r="D6" s="11">
        <f t="shared" si="0"/>
        <v>0.6288105659218306</v>
      </c>
    </row>
    <row r="7" spans="1:4" ht="14.5" x14ac:dyDescent="0.35">
      <c r="A7" s="25">
        <v>1977</v>
      </c>
      <c r="B7" s="25">
        <v>946.7</v>
      </c>
      <c r="C7" s="25">
        <v>1435</v>
      </c>
      <c r="D7" s="11">
        <f t="shared" si="0"/>
        <v>0.65972125435540074</v>
      </c>
    </row>
    <row r="8" spans="1:4" ht="14.5" x14ac:dyDescent="0.35">
      <c r="A8" s="25">
        <v>1978</v>
      </c>
      <c r="B8" s="25">
        <v>1105.4000000000001</v>
      </c>
      <c r="C8" s="25">
        <v>1607.3</v>
      </c>
      <c r="D8" s="11">
        <f t="shared" si="0"/>
        <v>0.68773719902942831</v>
      </c>
    </row>
    <row r="9" spans="1:4" ht="14.5" x14ac:dyDescent="0.35">
      <c r="A9" s="25">
        <v>1979</v>
      </c>
      <c r="B9" s="25">
        <v>1276.0999999999999</v>
      </c>
      <c r="C9" s="25">
        <v>1790.9</v>
      </c>
      <c r="D9" s="11">
        <f t="shared" si="0"/>
        <v>0.71254676419677243</v>
      </c>
    </row>
    <row r="10" spans="1:4" ht="14.4" x14ac:dyDescent="0.3">
      <c r="A10" s="25">
        <v>1980</v>
      </c>
      <c r="B10" s="25">
        <v>1396</v>
      </c>
      <c r="C10" s="25">
        <v>2002.7</v>
      </c>
      <c r="D10" s="11">
        <f t="shared" si="0"/>
        <v>0.69705897038997355</v>
      </c>
    </row>
    <row r="11" spans="1:4" ht="14.4" x14ac:dyDescent="0.3">
      <c r="A11" s="25">
        <v>1981</v>
      </c>
      <c r="B11" s="25">
        <v>1507.2</v>
      </c>
      <c r="C11" s="25">
        <v>2237.1</v>
      </c>
      <c r="D11" s="11">
        <f t="shared" si="0"/>
        <v>0.67372938178892317</v>
      </c>
    </row>
    <row r="12" spans="1:4" ht="14.4" x14ac:dyDescent="0.3">
      <c r="A12" s="25">
        <v>1982</v>
      </c>
      <c r="B12" s="25">
        <v>1576.4</v>
      </c>
      <c r="C12" s="25">
        <v>2412.6999999999998</v>
      </c>
      <c r="D12" s="11">
        <f t="shared" si="0"/>
        <v>0.6533758859369172</v>
      </c>
    </row>
    <row r="13" spans="1:4" ht="14.4" x14ac:dyDescent="0.3">
      <c r="A13" s="25">
        <v>1983</v>
      </c>
      <c r="B13" s="25">
        <v>1732</v>
      </c>
      <c r="C13" s="25">
        <v>2599.8000000000002</v>
      </c>
      <c r="D13" s="11">
        <f t="shared" si="0"/>
        <v>0.66620509269943839</v>
      </c>
    </row>
    <row r="14" spans="1:4" ht="14.4" x14ac:dyDescent="0.3">
      <c r="A14" s="25">
        <v>1984</v>
      </c>
      <c r="B14" s="25">
        <v>1943.3</v>
      </c>
      <c r="C14" s="25">
        <v>2891.5</v>
      </c>
      <c r="D14" s="11">
        <f t="shared" si="0"/>
        <v>0.67207331834687878</v>
      </c>
    </row>
    <row r="15" spans="1:4" ht="14.4" x14ac:dyDescent="0.3">
      <c r="A15" s="25">
        <v>1985</v>
      </c>
      <c r="B15" s="25">
        <v>2277.8000000000002</v>
      </c>
      <c r="C15" s="25">
        <v>3079.3</v>
      </c>
      <c r="D15" s="11">
        <f t="shared" si="0"/>
        <v>0.73971357126619686</v>
      </c>
    </row>
    <row r="16" spans="1:4" ht="14.4" x14ac:dyDescent="0.3">
      <c r="A16" s="25">
        <v>1986</v>
      </c>
      <c r="B16" s="25">
        <v>2537.3000000000002</v>
      </c>
      <c r="C16" s="25">
        <v>3258.8</v>
      </c>
      <c r="D16" s="11">
        <f t="shared" si="0"/>
        <v>0.77859948447281213</v>
      </c>
    </row>
    <row r="17" spans="1:4" ht="14.4" x14ac:dyDescent="0.3">
      <c r="A17" s="25">
        <v>1987</v>
      </c>
      <c r="B17" s="25">
        <v>2755.1</v>
      </c>
      <c r="C17" s="25">
        <v>3435.3</v>
      </c>
      <c r="D17" s="11">
        <f t="shared" si="0"/>
        <v>0.80199691438884513</v>
      </c>
    </row>
    <row r="18" spans="1:4" ht="14.4" x14ac:dyDescent="0.3">
      <c r="A18" s="25">
        <v>1988</v>
      </c>
      <c r="B18" s="25">
        <v>3043.6</v>
      </c>
      <c r="C18" s="25">
        <v>3726.3</v>
      </c>
      <c r="D18" s="11">
        <f t="shared" si="0"/>
        <v>0.81678877170383479</v>
      </c>
    </row>
    <row r="19" spans="1:4" ht="14.4" x14ac:dyDescent="0.3">
      <c r="A19" s="25">
        <v>1989</v>
      </c>
      <c r="B19" s="25">
        <v>3319</v>
      </c>
      <c r="C19" s="25">
        <v>3991.4</v>
      </c>
      <c r="D19" s="11">
        <f t="shared" si="0"/>
        <v>0.83153780628350948</v>
      </c>
    </row>
    <row r="20" spans="1:4" ht="14.4" x14ac:dyDescent="0.3">
      <c r="A20" s="25">
        <v>1990</v>
      </c>
      <c r="B20" s="25">
        <v>3580.9</v>
      </c>
      <c r="C20" s="25">
        <v>4254</v>
      </c>
      <c r="D20" s="11">
        <f t="shared" si="0"/>
        <v>0.84177244945933238</v>
      </c>
    </row>
    <row r="21" spans="1:4" ht="14.4" x14ac:dyDescent="0.3">
      <c r="A21" s="25">
        <v>1991</v>
      </c>
      <c r="B21" s="25">
        <v>3769.7</v>
      </c>
      <c r="C21" s="25">
        <v>4444.8999999999996</v>
      </c>
      <c r="D21" s="11">
        <f t="shared" si="0"/>
        <v>0.84809557020405413</v>
      </c>
    </row>
    <row r="22" spans="1:4" ht="14.4" x14ac:dyDescent="0.3">
      <c r="A22" s="25">
        <v>1992</v>
      </c>
      <c r="B22" s="25">
        <v>3970.4</v>
      </c>
      <c r="C22" s="25">
        <v>4736.7</v>
      </c>
      <c r="D22" s="11">
        <f t="shared" si="0"/>
        <v>0.83822070217662092</v>
      </c>
    </row>
    <row r="23" spans="1:4" ht="14.4" x14ac:dyDescent="0.3">
      <c r="A23" s="25">
        <v>1993</v>
      </c>
      <c r="B23" s="25">
        <v>4210.3</v>
      </c>
      <c r="C23" s="25">
        <v>4921.6000000000004</v>
      </c>
      <c r="D23" s="11">
        <f t="shared" si="0"/>
        <v>0.85547382964889462</v>
      </c>
    </row>
    <row r="24" spans="1:4" ht="14.4" x14ac:dyDescent="0.3">
      <c r="A24" s="25">
        <v>1994</v>
      </c>
      <c r="B24" s="25">
        <v>4531.8</v>
      </c>
      <c r="C24" s="25">
        <v>5184.3</v>
      </c>
      <c r="D24" s="11">
        <f t="shared" si="0"/>
        <v>0.87413922805393207</v>
      </c>
    </row>
    <row r="25" spans="1:4" ht="14.4" x14ac:dyDescent="0.3">
      <c r="A25" s="25">
        <v>1995</v>
      </c>
      <c r="B25" s="25">
        <v>4841.2</v>
      </c>
      <c r="C25" s="25">
        <v>5457</v>
      </c>
      <c r="D25" s="11">
        <f t="shared" si="0"/>
        <v>0.88715411398204136</v>
      </c>
    </row>
    <row r="26" spans="1:4" ht="14.4" x14ac:dyDescent="0.3">
      <c r="A26" s="25">
        <v>1996</v>
      </c>
      <c r="B26" s="25">
        <v>5177</v>
      </c>
      <c r="C26" s="25">
        <v>5759.6</v>
      </c>
      <c r="D26" s="11">
        <f t="shared" si="0"/>
        <v>0.89884714216265016</v>
      </c>
    </row>
    <row r="27" spans="1:4" ht="14.5" x14ac:dyDescent="0.35">
      <c r="A27" s="25">
        <v>1997</v>
      </c>
      <c r="B27" s="25">
        <v>5477.6</v>
      </c>
      <c r="C27" s="25">
        <v>6074.6</v>
      </c>
      <c r="D27" s="11">
        <f t="shared" si="0"/>
        <v>0.90172192407730556</v>
      </c>
    </row>
    <row r="28" spans="1:4" ht="14.5" x14ac:dyDescent="0.35">
      <c r="A28" s="25">
        <v>1998</v>
      </c>
      <c r="B28" s="25">
        <v>5903.4</v>
      </c>
      <c r="C28" s="25">
        <v>6498.9</v>
      </c>
      <c r="D28" s="11">
        <f t="shared" si="0"/>
        <v>0.9083691086183816</v>
      </c>
    </row>
    <row r="29" spans="1:4" ht="14.5" x14ac:dyDescent="0.35">
      <c r="A29" s="25">
        <v>1999</v>
      </c>
      <c r="B29" s="25">
        <v>6396</v>
      </c>
      <c r="C29" s="25">
        <v>6803.3</v>
      </c>
      <c r="D29" s="11">
        <f t="shared" si="0"/>
        <v>0.94013199476724529</v>
      </c>
    </row>
    <row r="30" spans="1:4" ht="14.5" x14ac:dyDescent="0.35">
      <c r="A30" s="25">
        <v>2000</v>
      </c>
      <c r="B30" s="25">
        <v>6987.3</v>
      </c>
      <c r="C30" s="25">
        <v>7327.2</v>
      </c>
      <c r="D30" s="11">
        <f t="shared" si="0"/>
        <v>0.95361120209629879</v>
      </c>
    </row>
    <row r="31" spans="1:4" ht="14.5" x14ac:dyDescent="0.35">
      <c r="A31" s="25">
        <v>2001</v>
      </c>
      <c r="B31" s="25">
        <v>7659.3</v>
      </c>
      <c r="C31" s="25">
        <v>7648.5</v>
      </c>
      <c r="D31" s="11">
        <f t="shared" si="0"/>
        <v>1.0014120415767798</v>
      </c>
    </row>
    <row r="32" spans="1:4" ht="14.5" x14ac:dyDescent="0.35">
      <c r="A32" s="25">
        <v>2002</v>
      </c>
      <c r="B32" s="25">
        <v>8484.2999999999993</v>
      </c>
      <c r="C32" s="25">
        <v>8009.7</v>
      </c>
      <c r="D32" s="11">
        <f t="shared" si="0"/>
        <v>1.0592531555488969</v>
      </c>
    </row>
    <row r="33" spans="1:9" ht="14.5" x14ac:dyDescent="0.35">
      <c r="A33" s="25">
        <v>2003</v>
      </c>
      <c r="B33" s="25">
        <v>9505</v>
      </c>
      <c r="C33" s="25">
        <v>8377.7999999999993</v>
      </c>
      <c r="D33" s="11">
        <f t="shared" si="0"/>
        <v>1.1345460622120367</v>
      </c>
    </row>
    <row r="34" spans="1:9" ht="14.5" x14ac:dyDescent="0.35">
      <c r="A34" s="25">
        <v>2004</v>
      </c>
      <c r="B34" s="25">
        <v>10569.6</v>
      </c>
      <c r="C34" s="25">
        <v>8889.4</v>
      </c>
      <c r="D34" s="11">
        <f t="shared" si="0"/>
        <v>1.1890116318311699</v>
      </c>
    </row>
    <row r="35" spans="1:9" ht="14.5" x14ac:dyDescent="0.35">
      <c r="A35" s="25">
        <v>2005</v>
      </c>
      <c r="B35" s="25">
        <v>11742.9</v>
      </c>
      <c r="C35" s="25">
        <v>9277.2999999999993</v>
      </c>
      <c r="D35" s="11">
        <f t="shared" si="0"/>
        <v>1.2657669796169144</v>
      </c>
    </row>
    <row r="36" spans="1:9" ht="14.5" x14ac:dyDescent="0.35">
      <c r="A36" s="25">
        <v>2006</v>
      </c>
      <c r="B36" s="25">
        <v>12929.5</v>
      </c>
      <c r="C36" s="25">
        <v>9915.7000000000007</v>
      </c>
      <c r="D36" s="11">
        <f t="shared" si="0"/>
        <v>1.3039422330243955</v>
      </c>
    </row>
    <row r="37" spans="1:9" ht="14.5" x14ac:dyDescent="0.35">
      <c r="A37" s="25">
        <v>2007</v>
      </c>
      <c r="B37" s="25">
        <v>13802.1</v>
      </c>
      <c r="C37" s="25">
        <v>10423.6</v>
      </c>
      <c r="D37" s="11">
        <f t="shared" si="0"/>
        <v>1.3241202655512492</v>
      </c>
    </row>
    <row r="38" spans="1:9" ht="14.5" x14ac:dyDescent="0.35">
      <c r="A38" s="25">
        <v>2008</v>
      </c>
      <c r="B38" s="25">
        <v>13843</v>
      </c>
      <c r="C38" s="25">
        <v>11024.5</v>
      </c>
      <c r="D38" s="11">
        <f t="shared" si="0"/>
        <v>1.2556578529638531</v>
      </c>
    </row>
    <row r="39" spans="1:9" ht="14.5" x14ac:dyDescent="0.35">
      <c r="A39" s="25">
        <v>2009</v>
      </c>
      <c r="B39" s="26">
        <v>13397</v>
      </c>
      <c r="C39" s="25">
        <v>10722.4</v>
      </c>
      <c r="D39" s="11">
        <f t="shared" si="0"/>
        <v>1.2494404237857197</v>
      </c>
      <c r="F39" s="26"/>
      <c r="G39" s="26"/>
      <c r="H39" s="26"/>
      <c r="I39" s="26"/>
    </row>
    <row r="40" spans="1:9" ht="14.5" x14ac:dyDescent="0.35">
      <c r="A40" s="25">
        <v>2010</v>
      </c>
      <c r="B40" s="26">
        <v>13059.9</v>
      </c>
      <c r="C40" s="25">
        <v>11127.1</v>
      </c>
      <c r="D40" s="11">
        <f t="shared" si="0"/>
        <v>1.1737020427604676</v>
      </c>
    </row>
    <row r="41" spans="1:9" ht="14.5" x14ac:dyDescent="0.35">
      <c r="A41" s="25">
        <v>2011</v>
      </c>
      <c r="B41" s="26">
        <v>12863.7</v>
      </c>
      <c r="C41" s="25">
        <v>11549.3</v>
      </c>
      <c r="D41" s="11">
        <f t="shared" si="0"/>
        <v>1.1138077632410623</v>
      </c>
    </row>
    <row r="42" spans="1:9" ht="14.5" x14ac:dyDescent="0.35">
      <c r="A42" s="25">
        <v>2012</v>
      </c>
      <c r="B42" s="26">
        <v>12819.3</v>
      </c>
      <c r="C42" s="25">
        <v>11950.8</v>
      </c>
      <c r="D42" s="11">
        <f t="shared" si="0"/>
        <v>1.0726729591324431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C139"/>
  <sheetViews>
    <sheetView topLeftCell="A130" workbookViewId="0">
      <selection activeCell="A151" sqref="A151"/>
    </sheetView>
  </sheetViews>
  <sheetFormatPr defaultColWidth="8.81640625" defaultRowHeight="12.5" x14ac:dyDescent="0.25"/>
  <cols>
    <col min="1" max="1" width="16.6328125" style="25" bestFit="1" customWidth="1"/>
    <col min="2" max="2" width="27.6328125" style="25" customWidth="1"/>
    <col min="3" max="3" width="23.453125" style="25" customWidth="1"/>
    <col min="4" max="16384" width="8.81640625" style="25"/>
  </cols>
  <sheetData>
    <row r="1" spans="1:3" s="30" customFormat="1" ht="18" x14ac:dyDescent="0.4">
      <c r="A1" s="31" t="s">
        <v>197</v>
      </c>
      <c r="B1" s="30" t="s">
        <v>196</v>
      </c>
    </row>
    <row r="2" spans="1:3" x14ac:dyDescent="0.25">
      <c r="A2" s="25" t="s">
        <v>195</v>
      </c>
      <c r="B2" s="25" t="s">
        <v>194</v>
      </c>
      <c r="C2" s="25" t="s">
        <v>193</v>
      </c>
    </row>
    <row r="3" spans="1:3" x14ac:dyDescent="0.25">
      <c r="A3" s="25" t="s">
        <v>192</v>
      </c>
      <c r="B3" s="25" t="s">
        <v>191</v>
      </c>
      <c r="C3" s="25" t="s">
        <v>191</v>
      </c>
    </row>
    <row r="4" spans="1:3" x14ac:dyDescent="0.25">
      <c r="A4" s="25" t="s">
        <v>190</v>
      </c>
      <c r="B4" s="25">
        <v>1</v>
      </c>
      <c r="C4" s="25">
        <v>1</v>
      </c>
    </row>
    <row r="5" spans="1:3" x14ac:dyDescent="0.25">
      <c r="A5" s="25" t="s">
        <v>189</v>
      </c>
      <c r="B5" s="25" t="s">
        <v>188</v>
      </c>
      <c r="C5" s="25" t="s">
        <v>188</v>
      </c>
    </row>
    <row r="6" spans="1:3" x14ac:dyDescent="0.25">
      <c r="A6" s="25" t="s">
        <v>187</v>
      </c>
      <c r="B6" s="25" t="s">
        <v>186</v>
      </c>
      <c r="C6" s="25" t="s">
        <v>185</v>
      </c>
    </row>
    <row r="7" spans="1:3" ht="13" thickBot="1" x14ac:dyDescent="0.3">
      <c r="A7" s="28" t="s">
        <v>184</v>
      </c>
      <c r="B7" s="29" t="s">
        <v>183</v>
      </c>
      <c r="C7" s="29" t="s">
        <v>182</v>
      </c>
    </row>
    <row r="8" spans="1:3" x14ac:dyDescent="0.25">
      <c r="A8" s="28" t="s">
        <v>40</v>
      </c>
      <c r="B8" s="25">
        <v>0.15945500000000001</v>
      </c>
      <c r="C8" s="25">
        <v>0.111181</v>
      </c>
    </row>
    <row r="9" spans="1:3" x14ac:dyDescent="0.25">
      <c r="A9" s="28" t="s">
        <v>41</v>
      </c>
      <c r="B9" s="25">
        <v>0.15992899999999999</v>
      </c>
      <c r="C9" s="25">
        <v>0.11090999999999999</v>
      </c>
    </row>
    <row r="10" spans="1:3" x14ac:dyDescent="0.25">
      <c r="A10" s="28" t="s">
        <v>42</v>
      </c>
      <c r="B10" s="25">
        <v>0.156724</v>
      </c>
      <c r="C10" s="25">
        <v>0.107849</v>
      </c>
    </row>
    <row r="11" spans="1:3" x14ac:dyDescent="0.25">
      <c r="A11" s="28" t="s">
        <v>43</v>
      </c>
      <c r="B11" s="25">
        <v>0.15345200000000001</v>
      </c>
      <c r="C11" s="25">
        <v>0.10505200000000001</v>
      </c>
    </row>
    <row r="12" spans="1:3" x14ac:dyDescent="0.25">
      <c r="A12" s="28" t="s">
        <v>44</v>
      </c>
      <c r="B12" s="25">
        <v>0.15448600000000001</v>
      </c>
      <c r="C12" s="25">
        <v>0.105674</v>
      </c>
    </row>
    <row r="13" spans="1:3" x14ac:dyDescent="0.25">
      <c r="A13" s="28" t="s">
        <v>45</v>
      </c>
      <c r="B13" s="25">
        <v>0.156553</v>
      </c>
      <c r="C13" s="25">
        <v>0.106986</v>
      </c>
    </row>
    <row r="14" spans="1:3" x14ac:dyDescent="0.25">
      <c r="A14" s="28" t="s">
        <v>46</v>
      </c>
      <c r="B14" s="25">
        <v>0.15470500000000001</v>
      </c>
      <c r="C14" s="25">
        <v>0.10545</v>
      </c>
    </row>
    <row r="15" spans="1:3" x14ac:dyDescent="0.25">
      <c r="A15" s="28" t="s">
        <v>47</v>
      </c>
      <c r="B15" s="25">
        <v>0.155863</v>
      </c>
      <c r="C15" s="25">
        <v>0.105961</v>
      </c>
    </row>
    <row r="16" spans="1:3" x14ac:dyDescent="0.25">
      <c r="A16" s="28" t="s">
        <v>48</v>
      </c>
      <c r="B16" s="25">
        <v>0.15709400000000001</v>
      </c>
      <c r="C16" s="25">
        <v>0.10682800000000001</v>
      </c>
    </row>
    <row r="17" spans="1:3" x14ac:dyDescent="0.25">
      <c r="A17" s="28" t="s">
        <v>49</v>
      </c>
      <c r="B17" s="25">
        <v>0.15747</v>
      </c>
      <c r="C17" s="25">
        <v>0.107169</v>
      </c>
    </row>
    <row r="18" spans="1:3" x14ac:dyDescent="0.25">
      <c r="A18" s="28" t="s">
        <v>50</v>
      </c>
      <c r="B18" s="25">
        <v>0.156361</v>
      </c>
      <c r="C18" s="25">
        <v>0.105889</v>
      </c>
    </row>
    <row r="19" spans="1:3" x14ac:dyDescent="0.25">
      <c r="A19" s="28" t="s">
        <v>51</v>
      </c>
      <c r="B19" s="25">
        <v>0.15617400000000001</v>
      </c>
      <c r="C19" s="25">
        <v>0.105346</v>
      </c>
    </row>
    <row r="20" spans="1:3" x14ac:dyDescent="0.25">
      <c r="A20" s="28" t="s">
        <v>52</v>
      </c>
      <c r="B20" s="25">
        <v>0.15614700000000001</v>
      </c>
      <c r="C20" s="25">
        <v>0.10524</v>
      </c>
    </row>
    <row r="21" spans="1:3" x14ac:dyDescent="0.25">
      <c r="A21" s="28" t="s">
        <v>53</v>
      </c>
      <c r="B21" s="25">
        <v>0.156224</v>
      </c>
      <c r="C21" s="25">
        <v>0.105349</v>
      </c>
    </row>
    <row r="22" spans="1:3" x14ac:dyDescent="0.25">
      <c r="A22" s="28" t="s">
        <v>54</v>
      </c>
      <c r="B22" s="25">
        <v>0.155725</v>
      </c>
      <c r="C22" s="25">
        <v>0.105091</v>
      </c>
    </row>
    <row r="23" spans="1:3" x14ac:dyDescent="0.25">
      <c r="A23" s="28" t="s">
        <v>55</v>
      </c>
      <c r="B23" s="25">
        <v>0.156385</v>
      </c>
      <c r="C23" s="25">
        <v>0.10582999999999999</v>
      </c>
    </row>
    <row r="24" spans="1:3" x14ac:dyDescent="0.25">
      <c r="A24" s="28" t="s">
        <v>56</v>
      </c>
      <c r="B24" s="25">
        <v>0.156497</v>
      </c>
      <c r="C24" s="25">
        <v>0.106492</v>
      </c>
    </row>
    <row r="25" spans="1:3" x14ac:dyDescent="0.25">
      <c r="A25" s="28" t="s">
        <v>57</v>
      </c>
      <c r="B25" s="25">
        <v>0.157689</v>
      </c>
      <c r="C25" s="25">
        <v>0.107831</v>
      </c>
    </row>
    <row r="26" spans="1:3" x14ac:dyDescent="0.25">
      <c r="A26" s="28" t="s">
        <v>58</v>
      </c>
      <c r="B26" s="25">
        <v>0.15872800000000001</v>
      </c>
      <c r="C26" s="25">
        <v>0.108581</v>
      </c>
    </row>
    <row r="27" spans="1:3" x14ac:dyDescent="0.25">
      <c r="A27" s="28" t="s">
        <v>59</v>
      </c>
      <c r="B27" s="25">
        <v>0.16083500000000001</v>
      </c>
      <c r="C27" s="25">
        <v>0.10997899999999999</v>
      </c>
    </row>
    <row r="28" spans="1:3" x14ac:dyDescent="0.25">
      <c r="A28" s="28" t="s">
        <v>60</v>
      </c>
      <c r="B28" s="25">
        <v>0.165432</v>
      </c>
      <c r="C28" s="25">
        <v>0.113562</v>
      </c>
    </row>
    <row r="29" spans="1:3" x14ac:dyDescent="0.25">
      <c r="A29" s="28" t="s">
        <v>61</v>
      </c>
      <c r="B29" s="25">
        <v>0.16650999999999999</v>
      </c>
      <c r="C29" s="25">
        <v>0.11450299999999999</v>
      </c>
    </row>
    <row r="30" spans="1:3" x14ac:dyDescent="0.25">
      <c r="A30" s="28" t="s">
        <v>62</v>
      </c>
      <c r="B30" s="25">
        <v>0.17133599999999999</v>
      </c>
      <c r="C30" s="25">
        <v>0.11785900000000001</v>
      </c>
    </row>
    <row r="31" spans="1:3" x14ac:dyDescent="0.25">
      <c r="A31" s="28" t="s">
        <v>63</v>
      </c>
      <c r="B31" s="25">
        <v>0.17294699999999999</v>
      </c>
      <c r="C31" s="25">
        <v>0.119046</v>
      </c>
    </row>
    <row r="32" spans="1:3" x14ac:dyDescent="0.25">
      <c r="A32" s="28" t="s">
        <v>64</v>
      </c>
      <c r="B32" s="25">
        <v>0.17317099999999999</v>
      </c>
      <c r="C32" s="25">
        <v>0.119421</v>
      </c>
    </row>
    <row r="33" spans="1:3" x14ac:dyDescent="0.25">
      <c r="A33" s="28" t="s">
        <v>65</v>
      </c>
      <c r="B33" s="25">
        <v>0.174461</v>
      </c>
      <c r="C33" s="25">
        <v>0.120285</v>
      </c>
    </row>
    <row r="34" spans="1:3" ht="13.25" x14ac:dyDescent="0.25">
      <c r="A34" s="28" t="s">
        <v>66</v>
      </c>
      <c r="B34" s="25">
        <v>0.17610300000000001</v>
      </c>
      <c r="C34" s="25">
        <v>0.121544</v>
      </c>
    </row>
    <row r="35" spans="1:3" ht="13.25" x14ac:dyDescent="0.25">
      <c r="A35" s="28" t="s">
        <v>67</v>
      </c>
      <c r="B35" s="25">
        <v>0.178398</v>
      </c>
      <c r="C35" s="25">
        <v>0.12317400000000001</v>
      </c>
    </row>
    <row r="36" spans="1:3" ht="13.25" x14ac:dyDescent="0.25">
      <c r="A36" s="28" t="s">
        <v>68</v>
      </c>
      <c r="B36" s="25">
        <v>0.17682</v>
      </c>
      <c r="C36" s="25">
        <v>0.121708</v>
      </c>
    </row>
    <row r="37" spans="1:3" ht="13.25" x14ac:dyDescent="0.25">
      <c r="A37" s="28" t="s">
        <v>69</v>
      </c>
      <c r="B37" s="25">
        <v>0.17929700000000001</v>
      </c>
      <c r="C37" s="25">
        <v>0.123293</v>
      </c>
    </row>
    <row r="38" spans="1:3" ht="13.25" x14ac:dyDescent="0.25">
      <c r="A38" s="28" t="s">
        <v>70</v>
      </c>
      <c r="B38" s="25">
        <v>0.17727799999999999</v>
      </c>
      <c r="C38" s="25">
        <v>0.121841</v>
      </c>
    </row>
    <row r="39" spans="1:3" ht="13.25" x14ac:dyDescent="0.25">
      <c r="A39" s="28" t="s">
        <v>71</v>
      </c>
      <c r="B39" s="25">
        <v>0.17519699999999999</v>
      </c>
      <c r="C39" s="25">
        <v>0.12024600000000001</v>
      </c>
    </row>
    <row r="40" spans="1:3" ht="13.25" x14ac:dyDescent="0.25">
      <c r="A40" s="28" t="s">
        <v>72</v>
      </c>
      <c r="B40" s="25">
        <v>0.17433299999999999</v>
      </c>
      <c r="C40" s="25">
        <v>0.119764</v>
      </c>
    </row>
    <row r="41" spans="1:3" ht="13.25" x14ac:dyDescent="0.25">
      <c r="A41" s="28" t="s">
        <v>73</v>
      </c>
      <c r="B41" s="25">
        <v>0.173708</v>
      </c>
      <c r="C41" s="25">
        <v>0.119584</v>
      </c>
    </row>
    <row r="42" spans="1:3" ht="13.25" x14ac:dyDescent="0.25">
      <c r="A42" s="28" t="s">
        <v>74</v>
      </c>
      <c r="B42" s="25">
        <v>0.17293900000000001</v>
      </c>
      <c r="C42" s="25">
        <v>0.119115</v>
      </c>
    </row>
    <row r="43" spans="1:3" ht="13.25" x14ac:dyDescent="0.25">
      <c r="A43" s="28" t="s">
        <v>75</v>
      </c>
      <c r="B43" s="25">
        <v>0.17147299999999999</v>
      </c>
      <c r="C43" s="25">
        <v>0.117854</v>
      </c>
    </row>
    <row r="44" spans="1:3" ht="13.25" x14ac:dyDescent="0.25">
      <c r="A44" s="28" t="s">
        <v>76</v>
      </c>
      <c r="B44" s="25">
        <v>0.17038300000000001</v>
      </c>
      <c r="C44" s="25">
        <v>0.117314</v>
      </c>
    </row>
    <row r="45" spans="1:3" ht="13.25" x14ac:dyDescent="0.25">
      <c r="A45" s="28" t="s">
        <v>77</v>
      </c>
      <c r="B45" s="25">
        <v>0.172236</v>
      </c>
      <c r="C45" s="25">
        <v>0.11888600000000001</v>
      </c>
    </row>
    <row r="46" spans="1:3" ht="13.25" x14ac:dyDescent="0.25">
      <c r="A46" s="28" t="s">
        <v>78</v>
      </c>
      <c r="B46" s="25">
        <v>0.17322799999999999</v>
      </c>
      <c r="C46" s="25">
        <v>0.119703</v>
      </c>
    </row>
    <row r="47" spans="1:3" ht="13.25" x14ac:dyDescent="0.25">
      <c r="A47" s="28" t="s">
        <v>79</v>
      </c>
      <c r="B47" s="25">
        <v>0.17335900000000001</v>
      </c>
      <c r="C47" s="25">
        <v>0.119779</v>
      </c>
    </row>
    <row r="48" spans="1:3" ht="13.25" x14ac:dyDescent="0.25">
      <c r="A48" s="28" t="s">
        <v>80</v>
      </c>
      <c r="B48" s="25">
        <v>0.17266100000000001</v>
      </c>
      <c r="C48" s="25">
        <v>0.119232</v>
      </c>
    </row>
    <row r="49" spans="1:3" ht="13.25" x14ac:dyDescent="0.25">
      <c r="A49" s="28" t="s">
        <v>81</v>
      </c>
      <c r="B49" s="25">
        <v>0.172545</v>
      </c>
      <c r="C49" s="25">
        <v>0.118965</v>
      </c>
    </row>
    <row r="50" spans="1:3" ht="13.25" x14ac:dyDescent="0.25">
      <c r="A50" s="28" t="s">
        <v>82</v>
      </c>
      <c r="B50" s="25">
        <v>0.17266300000000001</v>
      </c>
      <c r="C50" s="25">
        <v>0.118843</v>
      </c>
    </row>
    <row r="51" spans="1:3" ht="13.25" x14ac:dyDescent="0.25">
      <c r="A51" s="28" t="s">
        <v>83</v>
      </c>
      <c r="B51" s="25">
        <v>0.173265</v>
      </c>
      <c r="C51" s="25">
        <v>0.11902500000000001</v>
      </c>
    </row>
    <row r="52" spans="1:3" ht="13.25" x14ac:dyDescent="0.25">
      <c r="A52" s="28" t="s">
        <v>84</v>
      </c>
      <c r="B52" s="25">
        <v>0.17310800000000001</v>
      </c>
      <c r="C52" s="25">
        <v>0.11868099999999999</v>
      </c>
    </row>
    <row r="53" spans="1:3" ht="13.25" x14ac:dyDescent="0.25">
      <c r="A53" s="28" t="s">
        <v>85</v>
      </c>
      <c r="B53" s="25">
        <v>0.17154900000000001</v>
      </c>
      <c r="C53" s="25">
        <v>0.117129</v>
      </c>
    </row>
    <row r="54" spans="1:3" ht="13.25" x14ac:dyDescent="0.25">
      <c r="A54" s="28" t="s">
        <v>86</v>
      </c>
      <c r="B54" s="25">
        <v>0.170519</v>
      </c>
      <c r="C54" s="25">
        <v>0.116031</v>
      </c>
    </row>
    <row r="55" spans="1:3" ht="13.25" x14ac:dyDescent="0.25">
      <c r="A55" s="28" t="s">
        <v>87</v>
      </c>
      <c r="B55" s="25">
        <v>0.168459</v>
      </c>
      <c r="C55" s="25">
        <v>0.11412899999999999</v>
      </c>
    </row>
    <row r="56" spans="1:3" ht="13.25" x14ac:dyDescent="0.25">
      <c r="A56" s="28" t="s">
        <v>88</v>
      </c>
      <c r="B56" s="25">
        <v>0.1658</v>
      </c>
      <c r="C56" s="25">
        <v>0.11187</v>
      </c>
    </row>
    <row r="57" spans="1:3" ht="13.25" x14ac:dyDescent="0.25">
      <c r="A57" s="28" t="s">
        <v>89</v>
      </c>
      <c r="B57" s="25">
        <v>0.16416800000000001</v>
      </c>
      <c r="C57" s="25">
        <v>0.110295</v>
      </c>
    </row>
    <row r="58" spans="1:3" ht="13.25" x14ac:dyDescent="0.25">
      <c r="A58" s="28" t="s">
        <v>90</v>
      </c>
      <c r="B58" s="25">
        <v>0.162545</v>
      </c>
      <c r="C58" s="25">
        <v>0.108763</v>
      </c>
    </row>
    <row r="59" spans="1:3" ht="13.25" x14ac:dyDescent="0.25">
      <c r="A59" s="28" t="s">
        <v>91</v>
      </c>
      <c r="B59" s="25">
        <v>0.16039400000000001</v>
      </c>
      <c r="C59" s="25">
        <v>0.107006</v>
      </c>
    </row>
    <row r="60" spans="1:3" ht="13.25" x14ac:dyDescent="0.25">
      <c r="A60" s="28" t="s">
        <v>92</v>
      </c>
      <c r="B60" s="25">
        <v>0.162768</v>
      </c>
      <c r="C60" s="25">
        <v>0.108804</v>
      </c>
    </row>
    <row r="61" spans="1:3" ht="13.25" x14ac:dyDescent="0.25">
      <c r="A61" s="28" t="s">
        <v>93</v>
      </c>
      <c r="B61" s="25">
        <v>0.160168</v>
      </c>
      <c r="C61" s="25">
        <v>0.10697</v>
      </c>
    </row>
    <row r="62" spans="1:3" ht="13.25" x14ac:dyDescent="0.25">
      <c r="A62" s="28" t="s">
        <v>94</v>
      </c>
      <c r="B62" s="25">
        <v>0.16092100000000001</v>
      </c>
      <c r="C62" s="25">
        <v>0.107459</v>
      </c>
    </row>
    <row r="63" spans="1:3" ht="13.25" x14ac:dyDescent="0.25">
      <c r="A63" s="28" t="s">
        <v>95</v>
      </c>
      <c r="B63" s="25">
        <v>0.159524</v>
      </c>
      <c r="C63" s="25">
        <v>0.106298</v>
      </c>
    </row>
    <row r="64" spans="1:3" ht="13.25" x14ac:dyDescent="0.25">
      <c r="A64" s="28" t="s">
        <v>96</v>
      </c>
      <c r="B64" s="25">
        <v>0.16180900000000001</v>
      </c>
      <c r="C64" s="25">
        <v>0.107653</v>
      </c>
    </row>
    <row r="65" spans="1:3" ht="13.25" x14ac:dyDescent="0.25">
      <c r="A65" s="28" t="s">
        <v>97</v>
      </c>
      <c r="B65" s="25">
        <v>0.16156499999999999</v>
      </c>
      <c r="C65" s="25">
        <v>0.107641</v>
      </c>
    </row>
    <row r="66" spans="1:3" ht="13.25" x14ac:dyDescent="0.25">
      <c r="A66" s="28" t="s">
        <v>98</v>
      </c>
      <c r="B66" s="25">
        <v>0.16276299999999999</v>
      </c>
      <c r="C66" s="25">
        <v>0.108766</v>
      </c>
    </row>
    <row r="67" spans="1:3" ht="13.25" x14ac:dyDescent="0.25">
      <c r="A67" s="28" t="s">
        <v>99</v>
      </c>
      <c r="B67" s="25">
        <v>0.163656</v>
      </c>
      <c r="C67" s="25">
        <v>0.109968</v>
      </c>
    </row>
    <row r="68" spans="1:3" ht="13.25" x14ac:dyDescent="0.25">
      <c r="A68" s="28" t="s">
        <v>100</v>
      </c>
      <c r="B68" s="25">
        <v>0.16577600000000001</v>
      </c>
      <c r="C68" s="25">
        <v>0.11193599999999999</v>
      </c>
    </row>
    <row r="69" spans="1:3" ht="13.25" x14ac:dyDescent="0.25">
      <c r="A69" s="28" t="s">
        <v>101</v>
      </c>
      <c r="B69" s="25">
        <v>0.168265</v>
      </c>
      <c r="C69" s="25">
        <v>0.114135</v>
      </c>
    </row>
    <row r="70" spans="1:3" ht="13.25" x14ac:dyDescent="0.25">
      <c r="A70" s="28" t="s">
        <v>102</v>
      </c>
      <c r="B70" s="25">
        <v>0.16960800000000001</v>
      </c>
      <c r="C70" s="25">
        <v>0.115326</v>
      </c>
    </row>
    <row r="71" spans="1:3" ht="13.25" x14ac:dyDescent="0.25">
      <c r="A71" s="28" t="s">
        <v>103</v>
      </c>
      <c r="B71" s="25">
        <v>0.17041899999999999</v>
      </c>
      <c r="C71" s="25">
        <v>0.116123</v>
      </c>
    </row>
    <row r="72" spans="1:3" ht="13.25" x14ac:dyDescent="0.25">
      <c r="A72" s="28" t="s">
        <v>104</v>
      </c>
      <c r="B72" s="25">
        <v>0.17039299999999999</v>
      </c>
      <c r="C72" s="25">
        <v>0.116535</v>
      </c>
    </row>
    <row r="73" spans="1:3" ht="13.25" x14ac:dyDescent="0.25">
      <c r="A73" s="28" t="s">
        <v>105</v>
      </c>
      <c r="B73" s="25">
        <v>0.17052100000000001</v>
      </c>
      <c r="C73" s="25">
        <v>0.117023</v>
      </c>
    </row>
    <row r="74" spans="1:3" ht="13.25" x14ac:dyDescent="0.25">
      <c r="A74" s="28" t="s">
        <v>106</v>
      </c>
      <c r="B74" s="25">
        <v>0.17124</v>
      </c>
      <c r="C74" s="25">
        <v>0.11772000000000001</v>
      </c>
    </row>
    <row r="75" spans="1:3" ht="13.25" x14ac:dyDescent="0.25">
      <c r="A75" s="28" t="s">
        <v>107</v>
      </c>
      <c r="B75" s="25">
        <v>0.171987</v>
      </c>
      <c r="C75" s="25">
        <v>0.118409</v>
      </c>
    </row>
    <row r="76" spans="1:3" ht="13.25" x14ac:dyDescent="0.25">
      <c r="A76" s="28" t="s">
        <v>108</v>
      </c>
      <c r="B76" s="25">
        <v>0.17178499999999999</v>
      </c>
      <c r="C76" s="25">
        <v>0.118052</v>
      </c>
    </row>
    <row r="77" spans="1:3" ht="13.25" x14ac:dyDescent="0.25">
      <c r="A77" s="28" t="s">
        <v>109</v>
      </c>
      <c r="B77" s="25">
        <v>0.17242299999999999</v>
      </c>
      <c r="C77" s="25">
        <v>0.118364</v>
      </c>
    </row>
    <row r="78" spans="1:3" ht="13.25" x14ac:dyDescent="0.25">
      <c r="A78" s="28" t="s">
        <v>110</v>
      </c>
      <c r="B78" s="25">
        <v>0.172483</v>
      </c>
      <c r="C78" s="25">
        <v>0.118531</v>
      </c>
    </row>
    <row r="79" spans="1:3" ht="13.25" x14ac:dyDescent="0.25">
      <c r="A79" s="28" t="s">
        <v>111</v>
      </c>
      <c r="B79" s="25">
        <v>0.17160400000000001</v>
      </c>
      <c r="C79" s="25">
        <v>0.118161</v>
      </c>
    </row>
    <row r="80" spans="1:3" ht="13.25" x14ac:dyDescent="0.25">
      <c r="A80" s="28" t="s">
        <v>112</v>
      </c>
      <c r="B80" s="25">
        <v>0.16903599999999999</v>
      </c>
      <c r="C80" s="25">
        <v>0.116533</v>
      </c>
    </row>
    <row r="81" spans="1:3" ht="13.25" x14ac:dyDescent="0.25">
      <c r="A81" s="28" t="s">
        <v>113</v>
      </c>
      <c r="B81" s="25">
        <v>0.16880000000000001</v>
      </c>
      <c r="C81" s="25">
        <v>0.116795</v>
      </c>
    </row>
    <row r="82" spans="1:3" ht="13.25" x14ac:dyDescent="0.25">
      <c r="A82" s="28" t="s">
        <v>114</v>
      </c>
      <c r="B82" s="25">
        <v>0.16849900000000001</v>
      </c>
      <c r="C82" s="25">
        <v>0.11669</v>
      </c>
    </row>
    <row r="83" spans="1:3" ht="13.25" x14ac:dyDescent="0.25">
      <c r="A83" s="28" t="s">
        <v>115</v>
      </c>
      <c r="B83" s="25">
        <v>0.169208</v>
      </c>
      <c r="C83" s="25">
        <v>0.117259</v>
      </c>
    </row>
    <row r="84" spans="1:3" ht="13.25" x14ac:dyDescent="0.25">
      <c r="A84" s="28" t="s">
        <v>116</v>
      </c>
      <c r="B84" s="25">
        <v>0.17016899999999999</v>
      </c>
      <c r="C84" s="25">
        <v>0.118017</v>
      </c>
    </row>
    <row r="85" spans="1:3" ht="13.25" x14ac:dyDescent="0.25">
      <c r="A85" s="28" t="s">
        <v>117</v>
      </c>
      <c r="B85" s="25">
        <v>0.171871</v>
      </c>
      <c r="C85" s="25">
        <v>0.119422</v>
      </c>
    </row>
    <row r="86" spans="1:3" ht="13.25" x14ac:dyDescent="0.25">
      <c r="A86" s="28" t="s">
        <v>118</v>
      </c>
      <c r="B86" s="25">
        <v>0.173094</v>
      </c>
      <c r="C86" s="25">
        <v>0.120613</v>
      </c>
    </row>
    <row r="87" spans="1:3" ht="13.25" x14ac:dyDescent="0.25">
      <c r="A87" s="28" t="s">
        <v>119</v>
      </c>
      <c r="B87" s="25">
        <v>0.17226900000000001</v>
      </c>
      <c r="C87" s="25">
        <v>0.120383</v>
      </c>
    </row>
    <row r="88" spans="1:3" ht="13.25" x14ac:dyDescent="0.25">
      <c r="A88" s="28" t="s">
        <v>120</v>
      </c>
      <c r="B88" s="25">
        <v>0.17039799999999999</v>
      </c>
      <c r="C88" s="25">
        <v>0.119522</v>
      </c>
    </row>
    <row r="89" spans="1:3" ht="13.25" x14ac:dyDescent="0.25">
      <c r="A89" s="28" t="s">
        <v>121</v>
      </c>
      <c r="B89" s="25">
        <v>0.171712</v>
      </c>
      <c r="C89" s="25">
        <v>0.121131</v>
      </c>
    </row>
    <row r="90" spans="1:3" ht="13.25" x14ac:dyDescent="0.25">
      <c r="A90" s="28" t="s">
        <v>122</v>
      </c>
      <c r="B90" s="25">
        <v>0.172795</v>
      </c>
      <c r="C90" s="25">
        <v>0.122462</v>
      </c>
    </row>
    <row r="91" spans="1:3" ht="13.25" x14ac:dyDescent="0.25">
      <c r="A91" s="28" t="s">
        <v>123</v>
      </c>
      <c r="B91" s="25">
        <v>0.17528199999999999</v>
      </c>
      <c r="C91" s="25">
        <v>0.12461999999999999</v>
      </c>
    </row>
    <row r="92" spans="1:3" ht="13.25" x14ac:dyDescent="0.25">
      <c r="A92" s="28" t="s">
        <v>124</v>
      </c>
      <c r="B92" s="25">
        <v>0.17624200000000001</v>
      </c>
      <c r="C92" s="25">
        <v>0.125607</v>
      </c>
    </row>
    <row r="93" spans="1:3" ht="13.25" x14ac:dyDescent="0.25">
      <c r="A93" s="28" t="s">
        <v>125</v>
      </c>
      <c r="B93" s="25">
        <v>0.178728</v>
      </c>
      <c r="C93" s="25">
        <v>0.12754099999999999</v>
      </c>
    </row>
    <row r="94" spans="1:3" ht="13.25" x14ac:dyDescent="0.25">
      <c r="A94" s="28" t="s">
        <v>126</v>
      </c>
      <c r="B94" s="25">
        <v>0.17663100000000001</v>
      </c>
      <c r="C94" s="25">
        <v>0.12615899999999999</v>
      </c>
    </row>
    <row r="95" spans="1:3" ht="13.25" x14ac:dyDescent="0.25">
      <c r="A95" s="28" t="s">
        <v>127</v>
      </c>
      <c r="B95" s="25">
        <v>0.18141199999999999</v>
      </c>
      <c r="C95" s="25">
        <v>0.12992999999999999</v>
      </c>
    </row>
    <row r="96" spans="1:3" ht="13.25" x14ac:dyDescent="0.25">
      <c r="A96" s="28" t="s">
        <v>128</v>
      </c>
      <c r="B96" s="25">
        <v>0.178735</v>
      </c>
      <c r="C96" s="25">
        <v>0.12837799999999999</v>
      </c>
    </row>
    <row r="97" spans="1:3" ht="13.25" x14ac:dyDescent="0.25">
      <c r="A97" s="28" t="s">
        <v>129</v>
      </c>
      <c r="B97" s="25">
        <v>0.17866899999999999</v>
      </c>
      <c r="C97" s="25">
        <v>0.12878200000000001</v>
      </c>
    </row>
    <row r="98" spans="1:3" ht="13.25" x14ac:dyDescent="0.25">
      <c r="A98" s="28" t="s">
        <v>130</v>
      </c>
      <c r="B98" s="25">
        <v>0.18013299999999999</v>
      </c>
      <c r="C98" s="25">
        <v>0.13026099999999999</v>
      </c>
    </row>
    <row r="99" spans="1:3" ht="13.25" x14ac:dyDescent="0.25">
      <c r="A99" s="28" t="s">
        <v>131</v>
      </c>
      <c r="B99" s="25">
        <v>0.180446</v>
      </c>
      <c r="C99" s="25">
        <v>0.130962</v>
      </c>
    </row>
    <row r="100" spans="1:3" ht="13.25" x14ac:dyDescent="0.25">
      <c r="A100" s="28" t="s">
        <v>132</v>
      </c>
      <c r="B100" s="25">
        <v>0.18021799999999999</v>
      </c>
      <c r="C100" s="25">
        <v>0.131325</v>
      </c>
    </row>
    <row r="101" spans="1:3" ht="13.25" x14ac:dyDescent="0.25">
      <c r="A101" s="28" t="s">
        <v>133</v>
      </c>
      <c r="B101" s="25">
        <v>0.17882600000000001</v>
      </c>
      <c r="C101" s="25">
        <v>0.13079099999999999</v>
      </c>
    </row>
    <row r="102" spans="1:3" ht="13.25" x14ac:dyDescent="0.25">
      <c r="A102" s="28" t="s">
        <v>134</v>
      </c>
      <c r="B102" s="25">
        <v>0.17729</v>
      </c>
      <c r="C102" s="25">
        <v>0.13004099999999999</v>
      </c>
    </row>
    <row r="103" spans="1:3" ht="13.25" x14ac:dyDescent="0.25">
      <c r="A103" s="28" t="s">
        <v>135</v>
      </c>
      <c r="B103" s="25">
        <v>0.17779700000000001</v>
      </c>
      <c r="C103" s="25">
        <v>0.13070399999999999</v>
      </c>
    </row>
    <row r="104" spans="1:3" ht="13.25" x14ac:dyDescent="0.25">
      <c r="A104" s="28" t="s">
        <v>136</v>
      </c>
      <c r="B104" s="25">
        <v>0.17824899999999999</v>
      </c>
      <c r="C104" s="25">
        <v>0.13128300000000001</v>
      </c>
    </row>
    <row r="105" spans="1:3" ht="13.25" x14ac:dyDescent="0.25">
      <c r="A105" s="28" t="s">
        <v>137</v>
      </c>
      <c r="B105" s="25">
        <v>0.17765600000000001</v>
      </c>
      <c r="C105" s="25">
        <v>0.13091700000000001</v>
      </c>
    </row>
    <row r="106" spans="1:3" ht="13.25" x14ac:dyDescent="0.25">
      <c r="A106" s="28" t="s">
        <v>138</v>
      </c>
      <c r="B106" s="25">
        <v>0.17896899999999999</v>
      </c>
      <c r="C106" s="25">
        <v>0.13225999999999999</v>
      </c>
    </row>
    <row r="107" spans="1:3" ht="13.25" x14ac:dyDescent="0.25">
      <c r="A107" s="28" t="s">
        <v>139</v>
      </c>
      <c r="B107" s="25">
        <v>0.17813000000000001</v>
      </c>
      <c r="C107" s="25">
        <v>0.13192000000000001</v>
      </c>
    </row>
    <row r="108" spans="1:3" ht="13.25" x14ac:dyDescent="0.25">
      <c r="A108" s="28" t="s">
        <v>140</v>
      </c>
      <c r="B108" s="25">
        <v>0.18268100000000001</v>
      </c>
      <c r="C108" s="25">
        <v>0.135605</v>
      </c>
    </row>
    <row r="109" spans="1:3" ht="13.25" x14ac:dyDescent="0.25">
      <c r="A109" s="28" t="s">
        <v>141</v>
      </c>
      <c r="B109" s="25">
        <v>0.18371999999999999</v>
      </c>
      <c r="C109" s="25">
        <v>0.13666300000000001</v>
      </c>
    </row>
    <row r="110" spans="1:3" ht="13.25" x14ac:dyDescent="0.25">
      <c r="A110" s="28" t="s">
        <v>142</v>
      </c>
      <c r="B110" s="25">
        <v>0.18234500000000001</v>
      </c>
      <c r="C110" s="25">
        <v>0.13544800000000001</v>
      </c>
    </row>
    <row r="111" spans="1:3" ht="13.25" x14ac:dyDescent="0.25">
      <c r="A111" s="28" t="s">
        <v>143</v>
      </c>
      <c r="B111" s="25">
        <v>0.18324299999999999</v>
      </c>
      <c r="C111" s="25">
        <v>0.136291</v>
      </c>
    </row>
    <row r="112" spans="1:3" ht="13.25" x14ac:dyDescent="0.25">
      <c r="A112" s="28" t="s">
        <v>144</v>
      </c>
      <c r="B112" s="25">
        <v>0.18412999999999999</v>
      </c>
      <c r="C112" s="25">
        <v>0.13738300000000001</v>
      </c>
    </row>
    <row r="113" spans="1:3" ht="13.25" x14ac:dyDescent="0.25">
      <c r="A113" s="28" t="s">
        <v>145</v>
      </c>
      <c r="B113" s="25">
        <v>0.184921</v>
      </c>
      <c r="C113" s="25">
        <v>0.13799900000000001</v>
      </c>
    </row>
    <row r="114" spans="1:3" ht="13.25" x14ac:dyDescent="0.25">
      <c r="A114" s="28" t="s">
        <v>146</v>
      </c>
      <c r="B114" s="25">
        <v>0.18650700000000001</v>
      </c>
      <c r="C114" s="25">
        <v>0.13914299999999999</v>
      </c>
    </row>
    <row r="115" spans="1:3" ht="13.25" x14ac:dyDescent="0.25">
      <c r="A115" s="28" t="s">
        <v>147</v>
      </c>
      <c r="B115" s="25">
        <v>0.187226</v>
      </c>
      <c r="C115" s="25">
        <v>0.13936999999999999</v>
      </c>
    </row>
    <row r="116" spans="1:3" ht="13.25" x14ac:dyDescent="0.25">
      <c r="A116" s="28" t="s">
        <v>148</v>
      </c>
      <c r="B116" s="25">
        <v>0.18759999999999999</v>
      </c>
      <c r="C116" s="25">
        <v>0.139316</v>
      </c>
    </row>
    <row r="117" spans="1:3" ht="13.25" x14ac:dyDescent="0.25">
      <c r="A117" s="28" t="s">
        <v>149</v>
      </c>
      <c r="B117" s="25">
        <v>0.188528</v>
      </c>
      <c r="C117" s="25">
        <v>0.139797</v>
      </c>
    </row>
    <row r="118" spans="1:3" ht="13.25" x14ac:dyDescent="0.25">
      <c r="A118" s="28" t="s">
        <v>150</v>
      </c>
      <c r="B118" s="25">
        <v>0.18979499999999999</v>
      </c>
      <c r="C118" s="25">
        <v>0.140872</v>
      </c>
    </row>
    <row r="119" spans="1:3" ht="13.25" x14ac:dyDescent="0.25">
      <c r="A119" s="28" t="s">
        <v>151</v>
      </c>
      <c r="B119" s="25">
        <v>0.188892</v>
      </c>
      <c r="C119" s="25">
        <v>0.14032900000000001</v>
      </c>
    </row>
    <row r="120" spans="1:3" ht="13.25" x14ac:dyDescent="0.25">
      <c r="A120" s="28" t="s">
        <v>152</v>
      </c>
      <c r="B120" s="25">
        <v>0.18535699999999999</v>
      </c>
      <c r="C120" s="25">
        <v>0.13753099999999999</v>
      </c>
    </row>
    <row r="121" spans="1:3" ht="13.25" x14ac:dyDescent="0.25">
      <c r="A121" s="28" t="s">
        <v>153</v>
      </c>
      <c r="B121" s="25">
        <v>0.18041199999999999</v>
      </c>
      <c r="C121" s="25">
        <v>0.13356399999999999</v>
      </c>
    </row>
    <row r="122" spans="1:3" ht="13.25" x14ac:dyDescent="0.25">
      <c r="A122" s="28" t="s">
        <v>154</v>
      </c>
      <c r="B122" s="25">
        <v>0.18258199999999999</v>
      </c>
      <c r="C122" s="25">
        <v>0.13449</v>
      </c>
    </row>
    <row r="123" spans="1:3" ht="13.25" x14ac:dyDescent="0.25">
      <c r="A123" s="28" t="s">
        <v>155</v>
      </c>
      <c r="B123" s="25">
        <v>0.18467600000000001</v>
      </c>
      <c r="C123" s="25">
        <v>0.135098</v>
      </c>
    </row>
    <row r="124" spans="1:3" ht="13.25" x14ac:dyDescent="0.25">
      <c r="A124" s="28" t="s">
        <v>156</v>
      </c>
      <c r="B124" s="25">
        <v>0.18671599999999999</v>
      </c>
      <c r="C124" s="25">
        <v>0.13555200000000001</v>
      </c>
    </row>
    <row r="125" spans="1:3" ht="13.25" x14ac:dyDescent="0.25">
      <c r="A125" s="28" t="s">
        <v>157</v>
      </c>
      <c r="B125" s="25">
        <v>0.18465999999999999</v>
      </c>
      <c r="C125" s="25">
        <v>0.13305400000000001</v>
      </c>
    </row>
    <row r="126" spans="1:3" ht="13.25" x14ac:dyDescent="0.25">
      <c r="A126" s="28" t="s">
        <v>158</v>
      </c>
      <c r="B126" s="25">
        <v>0.18427399999999999</v>
      </c>
      <c r="C126" s="25">
        <v>0.131966</v>
      </c>
    </row>
    <row r="127" spans="1:3" ht="13.25" x14ac:dyDescent="0.25">
      <c r="A127" s="28" t="s">
        <v>159</v>
      </c>
      <c r="B127" s="25">
        <v>0.18116099999999999</v>
      </c>
      <c r="C127" s="25">
        <v>0.12915499999999999</v>
      </c>
    </row>
    <row r="128" spans="1:3" ht="13.25" x14ac:dyDescent="0.25">
      <c r="A128" s="28" t="s">
        <v>160</v>
      </c>
      <c r="B128" s="25">
        <v>0.17576800000000001</v>
      </c>
      <c r="C128" s="25">
        <v>0.12475600000000001</v>
      </c>
    </row>
    <row r="129" spans="1:3" ht="13.25" x14ac:dyDescent="0.25">
      <c r="A129" s="28" t="s">
        <v>161</v>
      </c>
      <c r="B129" s="25">
        <v>0.17134199999999999</v>
      </c>
      <c r="C129" s="25">
        <v>0.121076</v>
      </c>
    </row>
    <row r="130" spans="1:3" ht="13.25" x14ac:dyDescent="0.25">
      <c r="A130" s="28" t="s">
        <v>162</v>
      </c>
      <c r="B130" s="25">
        <v>0.16888900000000001</v>
      </c>
      <c r="C130" s="25">
        <v>0.11866400000000001</v>
      </c>
    </row>
    <row r="131" spans="1:3" ht="13.25" x14ac:dyDescent="0.25">
      <c r="A131" s="28" t="s">
        <v>163</v>
      </c>
      <c r="B131" s="25">
        <v>0.16602</v>
      </c>
      <c r="C131" s="25">
        <v>0.11576599999999999</v>
      </c>
    </row>
    <row r="132" spans="1:3" ht="13.25" x14ac:dyDescent="0.25">
      <c r="A132" s="28" t="s">
        <v>164</v>
      </c>
      <c r="B132" s="25">
        <v>0.16173100000000001</v>
      </c>
      <c r="C132" s="25">
        <v>0.111848</v>
      </c>
    </row>
    <row r="133" spans="1:3" ht="13.25" x14ac:dyDescent="0.25">
      <c r="A133" s="28" t="s">
        <v>165</v>
      </c>
      <c r="B133" s="25">
        <v>0.16101299999999999</v>
      </c>
      <c r="C133" s="25">
        <v>0.110912</v>
      </c>
    </row>
    <row r="134" spans="1:3" ht="13.25" x14ac:dyDescent="0.25">
      <c r="A134" s="28" t="s">
        <v>166</v>
      </c>
      <c r="B134" s="25">
        <v>0.160718</v>
      </c>
      <c r="C134" s="25">
        <v>0.110273</v>
      </c>
    </row>
    <row r="135" spans="1:3" ht="13.25" x14ac:dyDescent="0.25">
      <c r="A135" s="28" t="s">
        <v>167</v>
      </c>
      <c r="B135" s="25">
        <v>0.16056899999999999</v>
      </c>
      <c r="C135" s="25">
        <v>0.109807</v>
      </c>
    </row>
    <row r="136" spans="1:3" ht="13.25" x14ac:dyDescent="0.25">
      <c r="A136" s="28" t="s">
        <v>168</v>
      </c>
      <c r="B136" s="25">
        <v>0.15857199999999999</v>
      </c>
      <c r="C136" s="25">
        <v>0.107728</v>
      </c>
    </row>
    <row r="137" spans="1:3" ht="13.25" x14ac:dyDescent="0.25">
      <c r="A137" s="28" t="s">
        <v>169</v>
      </c>
      <c r="B137" s="25">
        <v>0.15779299999999999</v>
      </c>
      <c r="C137" s="25">
        <v>0.10679</v>
      </c>
    </row>
    <row r="138" spans="1:3" ht="13.25" x14ac:dyDescent="0.25">
      <c r="A138" s="28" t="s">
        <v>170</v>
      </c>
      <c r="B138" s="25">
        <v>0.156918</v>
      </c>
      <c r="C138" s="25">
        <v>0.105605</v>
      </c>
    </row>
    <row r="139" spans="1:3" ht="13.25" x14ac:dyDescent="0.25">
      <c r="A139" s="28" t="s">
        <v>171</v>
      </c>
      <c r="B139" s="25">
        <v>0.15484899999999999</v>
      </c>
      <c r="C139" s="25">
        <v>0.103753</v>
      </c>
    </row>
  </sheetData>
  <hyperlinks>
    <hyperlink ref="A1" r:id="rId1" display="http://www.federalreserve.gov/datadownload/Download.aspx?rel=FOR&amp;series=6d253f59629f788ab250a7a30662e79e&amp;filetype=spreadsheetml&amp;label=include&amp;layout=seriescolumn&amp;from=03/01/1980&amp;to=12/31/20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F56"/>
  <sheetViews>
    <sheetView workbookViewId="0">
      <selection activeCell="J8" sqref="J8"/>
    </sheetView>
  </sheetViews>
  <sheetFormatPr defaultRowHeight="14.5" x14ac:dyDescent="0.35"/>
  <sheetData>
    <row r="1" spans="1:6" ht="14.4" x14ac:dyDescent="0.3">
      <c r="A1" t="s">
        <v>33</v>
      </c>
    </row>
    <row r="3" spans="1:6" ht="14.4" x14ac:dyDescent="0.3">
      <c r="A3" t="s">
        <v>30</v>
      </c>
      <c r="B3" t="s">
        <v>32</v>
      </c>
      <c r="C3" t="s">
        <v>31</v>
      </c>
      <c r="D3" t="s">
        <v>34</v>
      </c>
      <c r="E3" t="s">
        <v>35</v>
      </c>
      <c r="F3" t="s">
        <v>32</v>
      </c>
    </row>
    <row r="4" spans="1:6" ht="14.4" x14ac:dyDescent="0.3">
      <c r="A4">
        <v>1960</v>
      </c>
      <c r="B4" s="15">
        <v>4.1166700000000001E-2</v>
      </c>
      <c r="C4" s="16">
        <v>4.9133504407290293E-2</v>
      </c>
    </row>
    <row r="5" spans="1:6" ht="14.4" x14ac:dyDescent="0.3">
      <c r="A5">
        <v>1961</v>
      </c>
      <c r="B5" s="15">
        <v>3.8824999999999998E-2</v>
      </c>
      <c r="C5" s="17">
        <v>4.638770654060418E-2</v>
      </c>
    </row>
    <row r="6" spans="1:6" ht="14.4" x14ac:dyDescent="0.3">
      <c r="A6">
        <v>1962</v>
      </c>
      <c r="B6" s="15">
        <v>3.9458300000000002E-2</v>
      </c>
      <c r="C6" s="17">
        <v>4.5435947891659341E-2</v>
      </c>
    </row>
    <row r="7" spans="1:6" ht="14.4" x14ac:dyDescent="0.3">
      <c r="A7">
        <v>1963</v>
      </c>
      <c r="B7" s="15">
        <v>4.0025000000000005E-2</v>
      </c>
      <c r="C7" s="17">
        <v>4.6036691150504794E-2</v>
      </c>
    </row>
    <row r="8" spans="1:6" ht="14.4" x14ac:dyDescent="0.3">
      <c r="A8">
        <v>1964</v>
      </c>
      <c r="B8" s="15">
        <v>4.1866700000000007E-2</v>
      </c>
      <c r="C8" s="17">
        <v>4.9630778258356295E-2</v>
      </c>
    </row>
    <row r="9" spans="1:6" ht="14.4" x14ac:dyDescent="0.3">
      <c r="A9">
        <v>1965</v>
      </c>
      <c r="B9" s="15">
        <v>4.3441669999999995E-2</v>
      </c>
      <c r="C9" s="17">
        <v>5.4616059692168754E-2</v>
      </c>
    </row>
    <row r="10" spans="1:6" ht="14.4" x14ac:dyDescent="0.3">
      <c r="A10">
        <v>1966</v>
      </c>
      <c r="B10" s="15">
        <v>5.483333E-2</v>
      </c>
      <c r="C10" s="17">
        <v>6.2255005889280388E-2</v>
      </c>
    </row>
    <row r="11" spans="1:6" ht="14.4" x14ac:dyDescent="0.3">
      <c r="A11">
        <v>1967</v>
      </c>
      <c r="B11" s="15">
        <v>5.0208329999999995E-2</v>
      </c>
      <c r="C11" s="17">
        <v>5.7028601564675679E-2</v>
      </c>
    </row>
    <row r="12" spans="1:6" ht="14.4" x14ac:dyDescent="0.3">
      <c r="A12">
        <v>1968</v>
      </c>
      <c r="B12" s="15">
        <v>5.8591670000000005E-2</v>
      </c>
      <c r="C12" s="17">
        <v>5.9307383361669297E-2</v>
      </c>
    </row>
    <row r="13" spans="1:6" ht="14.4" x14ac:dyDescent="0.3">
      <c r="A13">
        <v>1969</v>
      </c>
      <c r="B13" s="15">
        <v>7.7608330000000003E-2</v>
      </c>
      <c r="C13" s="17">
        <v>7.2530996045776619E-2</v>
      </c>
    </row>
    <row r="14" spans="1:6" ht="14.4" x14ac:dyDescent="0.3">
      <c r="A14">
        <v>1970</v>
      </c>
      <c r="B14" s="15">
        <v>7.5641670000000008E-2</v>
      </c>
      <c r="C14" s="17">
        <v>8.0787534737091993E-2</v>
      </c>
    </row>
    <row r="15" spans="1:6" ht="14.4" x14ac:dyDescent="0.3">
      <c r="A15">
        <v>1971</v>
      </c>
      <c r="B15" s="15">
        <v>5.0049999999999997E-2</v>
      </c>
      <c r="C15" s="17">
        <v>6.3591206491675295E-2</v>
      </c>
    </row>
    <row r="16" spans="1:6" ht="14.4" x14ac:dyDescent="0.3">
      <c r="A16">
        <v>1972</v>
      </c>
      <c r="B16" s="15">
        <v>4.6658329999999998E-2</v>
      </c>
      <c r="C16" s="17">
        <v>5.8279721464529609E-2</v>
      </c>
    </row>
    <row r="17" spans="1:6" ht="14.4" x14ac:dyDescent="0.3">
      <c r="A17">
        <v>1973</v>
      </c>
      <c r="B17" s="15">
        <v>8.415832999999999E-2</v>
      </c>
      <c r="C17" s="17">
        <v>8.6254267740019944E-2</v>
      </c>
    </row>
    <row r="18" spans="1:6" ht="14.4" x14ac:dyDescent="0.3">
      <c r="A18">
        <v>1974</v>
      </c>
      <c r="B18" s="15">
        <v>0.10244170000000001</v>
      </c>
      <c r="C18" s="17">
        <v>0.10422777381869762</v>
      </c>
    </row>
    <row r="19" spans="1:6" ht="14.4" x14ac:dyDescent="0.3">
      <c r="A19">
        <v>1975</v>
      </c>
      <c r="B19" s="15">
        <v>6.4366659999999992E-2</v>
      </c>
      <c r="C19" s="17">
        <v>7.6860798142148079E-2</v>
      </c>
    </row>
    <row r="20" spans="1:6" ht="14.4" x14ac:dyDescent="0.3">
      <c r="A20">
        <v>1976</v>
      </c>
      <c r="B20" s="15">
        <v>5.268333E-2</v>
      </c>
      <c r="C20" s="17">
        <v>7.7019208795629943E-2</v>
      </c>
    </row>
    <row r="21" spans="1:6" ht="14.4" x14ac:dyDescent="0.3">
      <c r="A21">
        <v>1977</v>
      </c>
      <c r="B21" s="15">
        <v>5.640833E-2</v>
      </c>
      <c r="C21" s="17">
        <v>7.438839813427206E-2</v>
      </c>
    </row>
    <row r="22" spans="1:6" ht="14.4" x14ac:dyDescent="0.3">
      <c r="A22">
        <v>1978</v>
      </c>
      <c r="B22" s="15">
        <v>8.2216660000000011E-2</v>
      </c>
      <c r="C22" s="17">
        <v>7.7352934314325217E-2</v>
      </c>
    </row>
    <row r="23" spans="1:6" ht="14.4" x14ac:dyDescent="0.3">
      <c r="A23">
        <v>1979</v>
      </c>
      <c r="B23" s="15">
        <v>0.11225</v>
      </c>
      <c r="C23" s="17">
        <v>9.9396432167403279E-2</v>
      </c>
    </row>
    <row r="24" spans="1:6" ht="14.4" x14ac:dyDescent="0.3">
      <c r="A24">
        <v>1980</v>
      </c>
      <c r="B24" s="15">
        <v>0.1306667</v>
      </c>
      <c r="C24" s="17">
        <v>0.12005181997346051</v>
      </c>
    </row>
    <row r="25" spans="1:6" ht="14.4" x14ac:dyDescent="0.3">
      <c r="A25">
        <v>1981</v>
      </c>
      <c r="B25" s="15">
        <v>0.15910830000000001</v>
      </c>
      <c r="C25" s="17">
        <v>0.13930953820413353</v>
      </c>
    </row>
    <row r="26" spans="1:6" x14ac:dyDescent="0.35">
      <c r="A26">
        <v>1982</v>
      </c>
      <c r="B26" s="15">
        <v>0.12270830000000001</v>
      </c>
      <c r="C26" s="17">
        <v>0.11932403019271824</v>
      </c>
    </row>
    <row r="27" spans="1:6" x14ac:dyDescent="0.35">
      <c r="A27">
        <v>1983</v>
      </c>
      <c r="B27" s="15">
        <v>9.0666670000000005E-2</v>
      </c>
      <c r="C27" s="17">
        <v>9.5058722668257822E-2</v>
      </c>
    </row>
    <row r="28" spans="1:6" x14ac:dyDescent="0.35">
      <c r="A28">
        <v>1984</v>
      </c>
      <c r="B28" s="15">
        <v>0.10365000000000001</v>
      </c>
      <c r="C28" s="17">
        <v>9.7363551011295235E-2</v>
      </c>
    </row>
    <row r="29" spans="1:6" x14ac:dyDescent="0.35">
      <c r="A29">
        <v>1985</v>
      </c>
      <c r="B29" s="15">
        <v>8.0474999999999991E-2</v>
      </c>
      <c r="C29" s="17">
        <v>8.588176626890473E-2</v>
      </c>
    </row>
    <row r="30" spans="1:6" x14ac:dyDescent="0.35">
      <c r="A30">
        <v>1986</v>
      </c>
      <c r="B30" s="15">
        <v>6.5183329999999998E-2</v>
      </c>
      <c r="C30" s="17">
        <v>7.2059542941861551E-2</v>
      </c>
      <c r="F30">
        <v>6.52</v>
      </c>
    </row>
    <row r="31" spans="1:6" x14ac:dyDescent="0.35">
      <c r="A31">
        <v>1987</v>
      </c>
      <c r="B31" s="15">
        <v>6.8608330000000009E-2</v>
      </c>
      <c r="C31" s="17">
        <v>6.9447297022016713E-2</v>
      </c>
      <c r="F31">
        <v>6.86</v>
      </c>
    </row>
    <row r="32" spans="1:6" x14ac:dyDescent="0.35">
      <c r="A32">
        <v>1988</v>
      </c>
      <c r="B32" s="15">
        <v>7.7274999999999996E-2</v>
      </c>
      <c r="C32" s="17">
        <v>7.212436288682611E-2</v>
      </c>
      <c r="F32">
        <v>7.73</v>
      </c>
    </row>
    <row r="33" spans="1:6" x14ac:dyDescent="0.35">
      <c r="A33">
        <v>1989</v>
      </c>
      <c r="B33" s="15">
        <v>9.0850000000000014E-2</v>
      </c>
      <c r="C33" s="17">
        <v>8.8028155046519563E-2</v>
      </c>
      <c r="F33">
        <v>9.09</v>
      </c>
    </row>
    <row r="34" spans="1:6" x14ac:dyDescent="0.35">
      <c r="A34">
        <v>1990</v>
      </c>
      <c r="B34" s="15">
        <v>8.1475000000000006E-2</v>
      </c>
      <c r="C34" s="17">
        <v>9.6354915867203308E-2</v>
      </c>
      <c r="F34">
        <v>8.15</v>
      </c>
    </row>
    <row r="35" spans="1:6" x14ac:dyDescent="0.35">
      <c r="A35">
        <v>1991</v>
      </c>
      <c r="B35" s="15">
        <v>5.8349999999999999E-2</v>
      </c>
      <c r="C35" s="17">
        <v>8.5817108616379964E-2</v>
      </c>
      <c r="F35">
        <v>5.84</v>
      </c>
    </row>
    <row r="36" spans="1:6" x14ac:dyDescent="0.35">
      <c r="A36">
        <v>1992</v>
      </c>
      <c r="B36" s="15">
        <v>3.6816670000000003E-2</v>
      </c>
      <c r="C36" s="17">
        <v>7.3962792466979468E-2</v>
      </c>
      <c r="F36">
        <v>3.68</v>
      </c>
    </row>
    <row r="37" spans="1:6" x14ac:dyDescent="0.35">
      <c r="A37">
        <v>1993</v>
      </c>
      <c r="B37" s="15">
        <v>3.174167E-2</v>
      </c>
      <c r="C37" s="17">
        <v>5.7132434192124756E-2</v>
      </c>
      <c r="F37">
        <v>3.17</v>
      </c>
    </row>
    <row r="38" spans="1:6" x14ac:dyDescent="0.35">
      <c r="A38">
        <v>1994</v>
      </c>
      <c r="B38" s="15">
        <v>4.629167E-2</v>
      </c>
      <c r="C38" s="17">
        <v>5.7989423546240267E-2</v>
      </c>
      <c r="D38" s="11">
        <v>6.5299999999999997E-2</v>
      </c>
      <c r="E38">
        <f>C38/D38</f>
        <v>0.88804630239265347</v>
      </c>
      <c r="F38">
        <v>4.63</v>
      </c>
    </row>
    <row r="39" spans="1:6" x14ac:dyDescent="0.35">
      <c r="A39">
        <v>1995</v>
      </c>
      <c r="B39" s="15">
        <v>5.9166670000000005E-2</v>
      </c>
      <c r="C39" s="17">
        <v>5.9400471566150283E-2</v>
      </c>
      <c r="D39" s="11">
        <v>6.8199999999999997E-2</v>
      </c>
      <c r="E39">
        <f t="shared" ref="E39:E56" si="0">C39/D39</f>
        <v>0.87097465639516547</v>
      </c>
      <c r="F39">
        <v>5.92</v>
      </c>
    </row>
    <row r="40" spans="1:6" x14ac:dyDescent="0.35">
      <c r="A40">
        <v>1996</v>
      </c>
      <c r="B40" s="15">
        <v>5.3899999999999997E-2</v>
      </c>
      <c r="C40" s="17">
        <v>4.7785455321685245E-2</v>
      </c>
      <c r="D40" s="11">
        <v>5.0900000000000001E-2</v>
      </c>
      <c r="E40">
        <f t="shared" si="0"/>
        <v>0.93881051712544683</v>
      </c>
      <c r="F40">
        <v>5.39</v>
      </c>
    </row>
    <row r="41" spans="1:6" x14ac:dyDescent="0.35">
      <c r="A41">
        <v>1997</v>
      </c>
      <c r="B41" s="15">
        <v>5.6158330000000006E-2</v>
      </c>
      <c r="C41" s="17">
        <v>4.4430146778104251E-2</v>
      </c>
      <c r="D41" s="11">
        <v>4.3799999999999999E-2</v>
      </c>
      <c r="E41">
        <f t="shared" si="0"/>
        <v>1.0143869127421061</v>
      </c>
      <c r="F41">
        <v>5.62</v>
      </c>
    </row>
    <row r="42" spans="1:6" x14ac:dyDescent="0.35">
      <c r="A42">
        <v>1998</v>
      </c>
      <c r="B42" s="15">
        <v>5.4666670000000001E-2</v>
      </c>
      <c r="C42" s="17">
        <v>4.1352092186909661E-2</v>
      </c>
      <c r="D42" s="11">
        <v>3.9599999999999996E-2</v>
      </c>
      <c r="E42">
        <f t="shared" si="0"/>
        <v>1.0442447521946885</v>
      </c>
      <c r="F42">
        <v>5.47</v>
      </c>
    </row>
    <row r="43" spans="1:6" x14ac:dyDescent="0.35">
      <c r="A43">
        <v>1999</v>
      </c>
      <c r="B43" s="15">
        <v>5.33E-2</v>
      </c>
      <c r="C43" s="17">
        <v>3.9510147219643993E-2</v>
      </c>
      <c r="D43" s="11">
        <v>2.9600000000000001E-2</v>
      </c>
      <c r="E43">
        <f t="shared" si="0"/>
        <v>1.3348022709339187</v>
      </c>
      <c r="F43">
        <v>5.33</v>
      </c>
    </row>
    <row r="44" spans="1:6" x14ac:dyDescent="0.35">
      <c r="A44">
        <v>2000</v>
      </c>
      <c r="B44" s="15">
        <v>6.4558329999999997E-2</v>
      </c>
      <c r="C44" s="17">
        <v>4.8764782564484258E-2</v>
      </c>
      <c r="D44" s="11">
        <v>4.3899999999999995E-2</v>
      </c>
      <c r="E44">
        <f t="shared" si="0"/>
        <v>1.1108150925850631</v>
      </c>
      <c r="F44">
        <v>6.46</v>
      </c>
    </row>
    <row r="45" spans="1:6" x14ac:dyDescent="0.35">
      <c r="A45">
        <v>2001</v>
      </c>
      <c r="B45" s="15">
        <v>3.6866669999999997E-2</v>
      </c>
      <c r="C45" s="17">
        <v>3.8688763607497109E-2</v>
      </c>
      <c r="D45" s="11">
        <v>4.2599999999999999E-2</v>
      </c>
      <c r="E45">
        <f t="shared" si="0"/>
        <v>0.90818693914312465</v>
      </c>
      <c r="F45">
        <v>3.69</v>
      </c>
    </row>
    <row r="46" spans="1:6" x14ac:dyDescent="0.35">
      <c r="A46">
        <v>2002</v>
      </c>
      <c r="B46" s="15">
        <v>1.7258329999999999E-2</v>
      </c>
      <c r="C46" s="18">
        <v>2.8962843053612804E-2</v>
      </c>
      <c r="D46" s="11">
        <v>3.32E-2</v>
      </c>
      <c r="E46">
        <f t="shared" si="0"/>
        <v>0.87237479077146995</v>
      </c>
      <c r="F46">
        <v>1.73</v>
      </c>
    </row>
    <row r="47" spans="1:6" x14ac:dyDescent="0.35">
      <c r="A47">
        <v>2003</v>
      </c>
      <c r="B47" s="15">
        <v>1.1508330000000001E-2</v>
      </c>
      <c r="C47" s="17">
        <v>2.2565492448344052E-2</v>
      </c>
      <c r="D47" s="11">
        <v>2.3300000000000001E-2</v>
      </c>
      <c r="E47">
        <f t="shared" si="0"/>
        <v>0.96847607074437991</v>
      </c>
      <c r="F47">
        <v>1.1499999999999999</v>
      </c>
    </row>
    <row r="48" spans="1:6" x14ac:dyDescent="0.35">
      <c r="A48">
        <v>2004</v>
      </c>
      <c r="B48" s="15">
        <v>1.5633330000000001E-2</v>
      </c>
      <c r="C48" s="17">
        <v>2.4097420018320066E-2</v>
      </c>
      <c r="D48" s="11">
        <v>2.1099999999999997E-2</v>
      </c>
      <c r="E48">
        <f t="shared" si="0"/>
        <v>1.1420578207734631</v>
      </c>
      <c r="F48">
        <v>1.56</v>
      </c>
    </row>
    <row r="49" spans="1:6" x14ac:dyDescent="0.35">
      <c r="A49">
        <v>2005</v>
      </c>
      <c r="B49" s="15">
        <v>3.5116670000000003E-2</v>
      </c>
      <c r="C49" s="17">
        <v>2.7830400917681949E-2</v>
      </c>
      <c r="D49" s="11">
        <v>2.18E-2</v>
      </c>
      <c r="E49">
        <f t="shared" si="0"/>
        <v>1.2766238953065114</v>
      </c>
      <c r="F49">
        <v>3.51</v>
      </c>
    </row>
    <row r="50" spans="1:6" x14ac:dyDescent="0.35">
      <c r="A50">
        <v>2006</v>
      </c>
      <c r="B50" s="15">
        <v>5.1533330000000002E-2</v>
      </c>
      <c r="C50" s="17">
        <v>3.657379469833752E-2</v>
      </c>
      <c r="D50" s="11">
        <v>3.0800000000000001E-2</v>
      </c>
      <c r="E50">
        <f t="shared" si="0"/>
        <v>1.1874608668291402</v>
      </c>
      <c r="F50">
        <v>5.15</v>
      </c>
    </row>
    <row r="51" spans="1:6" x14ac:dyDescent="0.35">
      <c r="A51">
        <v>2007</v>
      </c>
      <c r="B51" s="15">
        <v>5.268333E-2</v>
      </c>
      <c r="C51" s="17">
        <v>4.2307966373964855E-2</v>
      </c>
      <c r="D51" s="11">
        <v>4.2800000000000005E-2</v>
      </c>
      <c r="E51">
        <f t="shared" si="0"/>
        <v>0.98850388724216942</v>
      </c>
      <c r="F51">
        <v>5.27</v>
      </c>
    </row>
    <row r="52" spans="1:6" x14ac:dyDescent="0.35">
      <c r="A52">
        <v>2008</v>
      </c>
      <c r="B52" s="15">
        <v>2.9649999999999999E-2</v>
      </c>
      <c r="C52" s="17">
        <v>3.6497181944516122E-2</v>
      </c>
      <c r="D52" s="11">
        <v>4.6300000000000001E-2</v>
      </c>
      <c r="E52">
        <f t="shared" si="0"/>
        <v>0.78827606791611493</v>
      </c>
      <c r="F52">
        <v>2.97</v>
      </c>
    </row>
    <row r="53" spans="1:6" x14ac:dyDescent="0.35">
      <c r="A53">
        <v>2009</v>
      </c>
      <c r="B53" s="15">
        <v>5.5583329999999995E-3</v>
      </c>
      <c r="C53" s="17">
        <v>1.3606428754510924E-2</v>
      </c>
      <c r="D53" s="11">
        <v>1.23E-2</v>
      </c>
      <c r="E53">
        <f t="shared" si="0"/>
        <v>1.106213719878937</v>
      </c>
      <c r="F53">
        <v>0.56000000000000005</v>
      </c>
    </row>
    <row r="54" spans="1:6" x14ac:dyDescent="0.35">
      <c r="A54">
        <v>2010</v>
      </c>
      <c r="B54" s="11">
        <v>3.0999999999999999E-3</v>
      </c>
      <c r="C54" s="11">
        <v>8.96033113101939E-3</v>
      </c>
      <c r="D54" s="11">
        <v>8.1000000000000013E-3</v>
      </c>
      <c r="E54">
        <f t="shared" si="0"/>
        <v>1.1062137198789368</v>
      </c>
      <c r="F54">
        <v>0.31</v>
      </c>
    </row>
    <row r="55" spans="1:6" x14ac:dyDescent="0.35">
      <c r="A55">
        <v>2011</v>
      </c>
      <c r="B55" s="11">
        <v>3.0000000000000001E-3</v>
      </c>
      <c r="C55" s="11">
        <v>1.5376370706317224E-2</v>
      </c>
      <c r="D55" s="11">
        <v>1.3899999999999999E-2</v>
      </c>
      <c r="E55">
        <f t="shared" si="0"/>
        <v>1.106213719878937</v>
      </c>
      <c r="F55">
        <v>0.3</v>
      </c>
    </row>
    <row r="56" spans="1:6" x14ac:dyDescent="0.35">
      <c r="A56">
        <v>2012</v>
      </c>
      <c r="B56" s="11">
        <v>2.8000000000000004E-3</v>
      </c>
      <c r="C56" s="11">
        <v>6.3054182033099402E-3</v>
      </c>
      <c r="D56" s="11">
        <v>5.6999999999999993E-3</v>
      </c>
      <c r="E56">
        <f t="shared" si="0"/>
        <v>1.106213719878937</v>
      </c>
      <c r="F56">
        <v>0.28000000000000003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selection activeCell="C1" sqref="C1:C65"/>
    </sheetView>
  </sheetViews>
  <sheetFormatPr defaultRowHeight="14.5" x14ac:dyDescent="0.35"/>
  <sheetData>
    <row r="1" spans="1:3" ht="14.4" x14ac:dyDescent="0.3">
      <c r="A1">
        <v>0.15210622652831399</v>
      </c>
    </row>
    <row r="2" spans="1:3" ht="14.4" x14ac:dyDescent="0.3">
      <c r="A2">
        <v>0.13192995709819899</v>
      </c>
      <c r="C2">
        <v>0.16202197919092801</v>
      </c>
    </row>
    <row r="3" spans="1:3" ht="14.4" x14ac:dyDescent="0.3">
      <c r="A3">
        <v>0.11327562540280101</v>
      </c>
      <c r="C3">
        <v>0.14326290783603601</v>
      </c>
    </row>
    <row r="4" spans="1:3" ht="14.4" x14ac:dyDescent="0.3">
      <c r="A4">
        <v>9.5041869605855797E-2</v>
      </c>
      <c r="C4">
        <v>0.12603061668923299</v>
      </c>
    </row>
    <row r="5" spans="1:3" ht="14.4" x14ac:dyDescent="0.3">
      <c r="A5">
        <v>7.9264571617068694E-2</v>
      </c>
      <c r="C5">
        <v>0.109226256880253</v>
      </c>
    </row>
    <row r="6" spans="1:3" ht="14.4" x14ac:dyDescent="0.3">
      <c r="A6">
        <v>6.7616194650088807E-2</v>
      </c>
      <c r="C6">
        <v>9.48826733719315E-2</v>
      </c>
    </row>
    <row r="7" spans="1:3" ht="14.4" x14ac:dyDescent="0.3">
      <c r="A7">
        <v>5.9934556202393803E-2</v>
      </c>
      <c r="C7">
        <v>8.4682448558304896E-2</v>
      </c>
    </row>
    <row r="8" spans="1:3" ht="14.4" x14ac:dyDescent="0.3">
      <c r="A8">
        <v>5.5355311824960597E-2</v>
      </c>
      <c r="C8">
        <v>7.8494338099689503E-2</v>
      </c>
    </row>
    <row r="9" spans="1:3" ht="14.4" x14ac:dyDescent="0.3">
      <c r="A9">
        <v>5.2186771506742197E-2</v>
      </c>
      <c r="C9">
        <v>7.5507273170818498E-2</v>
      </c>
    </row>
    <row r="10" spans="1:3" ht="14.4" x14ac:dyDescent="0.3">
      <c r="A10">
        <v>5.2691692118441699E-2</v>
      </c>
      <c r="C10">
        <v>7.3992241565428302E-2</v>
      </c>
    </row>
    <row r="11" spans="1:3" ht="14.4" x14ac:dyDescent="0.3">
      <c r="A11">
        <v>5.71659628156952E-2</v>
      </c>
      <c r="C11">
        <v>7.6148158345547098E-2</v>
      </c>
    </row>
    <row r="12" spans="1:3" ht="14.4" x14ac:dyDescent="0.3">
      <c r="A12">
        <v>6.4602555832954003E-2</v>
      </c>
      <c r="C12">
        <v>8.2255016157548794E-2</v>
      </c>
    </row>
    <row r="13" spans="1:3" ht="14.4" x14ac:dyDescent="0.3">
      <c r="A13">
        <v>7.2254783776512704E-2</v>
      </c>
      <c r="C13">
        <v>9.13813260643518E-2</v>
      </c>
    </row>
    <row r="14" spans="1:3" ht="14.4" x14ac:dyDescent="0.3">
      <c r="A14">
        <v>7.9602933694336103E-2</v>
      </c>
      <c r="C14">
        <v>0.100789048967299</v>
      </c>
    </row>
    <row r="15" spans="1:3" ht="14.4" x14ac:dyDescent="0.3">
      <c r="A15">
        <v>8.5060744796624302E-2</v>
      </c>
      <c r="C15">
        <v>0.110039332507089</v>
      </c>
    </row>
    <row r="16" spans="1:3" ht="14.4" x14ac:dyDescent="0.3">
      <c r="A16">
        <v>8.6705926956633705E-2</v>
      </c>
      <c r="C16">
        <v>0.11763343383475</v>
      </c>
    </row>
    <row r="17" spans="1:3" ht="14.4" x14ac:dyDescent="0.3">
      <c r="A17">
        <v>8.3945582599654706E-2</v>
      </c>
      <c r="C17">
        <v>0.121670216776237</v>
      </c>
    </row>
    <row r="18" spans="1:3" ht="14.4" x14ac:dyDescent="0.3">
      <c r="A18">
        <v>7.6689754881411096E-2</v>
      </c>
      <c r="C18">
        <v>0.12153021081915701</v>
      </c>
    </row>
    <row r="19" spans="1:3" ht="14.4" x14ac:dyDescent="0.3">
      <c r="A19">
        <v>6.55070311316302E-2</v>
      </c>
      <c r="C19">
        <v>0.117062243283357</v>
      </c>
    </row>
    <row r="20" spans="1:3" ht="14.4" x14ac:dyDescent="0.3">
      <c r="A20">
        <v>5.2381101131225197E-2</v>
      </c>
      <c r="C20">
        <v>0.10875283938049</v>
      </c>
    </row>
    <row r="21" spans="1:3" ht="14.4" x14ac:dyDescent="0.3">
      <c r="A21">
        <v>3.9483584349793197E-2</v>
      </c>
      <c r="C21">
        <v>9.8495901889376597E-2</v>
      </c>
    </row>
    <row r="22" spans="1:3" ht="14.4" x14ac:dyDescent="0.3">
      <c r="A22">
        <v>2.80072892456187E-2</v>
      </c>
      <c r="C22">
        <v>8.8428805195032198E-2</v>
      </c>
    </row>
    <row r="23" spans="1:3" ht="14.4" x14ac:dyDescent="0.3">
      <c r="A23">
        <v>1.92531884334885E-2</v>
      </c>
      <c r="C23">
        <v>7.9681964663578797E-2</v>
      </c>
    </row>
    <row r="24" spans="1:3" ht="14.4" x14ac:dyDescent="0.3">
      <c r="A24">
        <v>1.3483181635733201E-2</v>
      </c>
      <c r="C24">
        <v>7.3538507609187703E-2</v>
      </c>
    </row>
    <row r="25" spans="1:3" ht="14.4" x14ac:dyDescent="0.3">
      <c r="A25">
        <v>9.0146366903484498E-3</v>
      </c>
      <c r="C25">
        <v>7.0393741699394705E-2</v>
      </c>
    </row>
    <row r="26" spans="1:3" x14ac:dyDescent="0.35">
      <c r="A26">
        <v>4.9050896189725404E-3</v>
      </c>
      <c r="C26">
        <v>6.8801589525643303E-2</v>
      </c>
    </row>
    <row r="27" spans="1:3" x14ac:dyDescent="0.35">
      <c r="A27">
        <v>1.39593007634034E-3</v>
      </c>
      <c r="C27">
        <v>6.7922036262383398E-2</v>
      </c>
    </row>
    <row r="28" spans="1:3" x14ac:dyDescent="0.35">
      <c r="A28">
        <v>-9.5450317900302702E-4</v>
      </c>
      <c r="C28">
        <v>6.7908051188808299E-2</v>
      </c>
    </row>
    <row r="29" spans="1:3" x14ac:dyDescent="0.35">
      <c r="A29">
        <v>-3.1568306892758502E-3</v>
      </c>
      <c r="C29">
        <v>6.9303383221487505E-2</v>
      </c>
    </row>
    <row r="30" spans="1:3" x14ac:dyDescent="0.35">
      <c r="A30">
        <v>-6.2841279649063801E-3</v>
      </c>
      <c r="C30">
        <v>7.1205700765102506E-2</v>
      </c>
    </row>
    <row r="31" spans="1:3" x14ac:dyDescent="0.35">
      <c r="A31">
        <v>-1.0087902209430099E-2</v>
      </c>
      <c r="C31">
        <v>7.2531638392119693E-2</v>
      </c>
    </row>
    <row r="32" spans="1:3" x14ac:dyDescent="0.35">
      <c r="A32">
        <v>-1.34368193467335E-2</v>
      </c>
      <c r="C32">
        <v>7.3274773667354895E-2</v>
      </c>
    </row>
    <row r="33" spans="1:3" x14ac:dyDescent="0.35">
      <c r="A33">
        <v>-1.45076662786086E-2</v>
      </c>
      <c r="C33">
        <v>7.4050367771702194E-2</v>
      </c>
    </row>
    <row r="34" spans="1:3" x14ac:dyDescent="0.35">
      <c r="A34">
        <v>-1.2335861713380299E-2</v>
      </c>
      <c r="C34">
        <v>7.6053934149382704E-2</v>
      </c>
    </row>
    <row r="35" spans="1:3" x14ac:dyDescent="0.35">
      <c r="A35">
        <v>-7.5397476965874E-3</v>
      </c>
      <c r="C35">
        <v>7.9752482566899999E-2</v>
      </c>
    </row>
    <row r="36" spans="1:3" x14ac:dyDescent="0.35">
      <c r="A36">
        <v>-9.1530765663465005E-4</v>
      </c>
      <c r="C36">
        <v>8.4275483449264402E-2</v>
      </c>
    </row>
    <row r="37" spans="1:3" x14ac:dyDescent="0.35">
      <c r="A37">
        <v>5.4138724550388401E-3</v>
      </c>
      <c r="C37">
        <v>8.9056882395816703E-2</v>
      </c>
    </row>
    <row r="38" spans="1:3" x14ac:dyDescent="0.35">
      <c r="A38">
        <v>1.05373597635603E-2</v>
      </c>
      <c r="C38">
        <v>9.2353870171405394E-2</v>
      </c>
    </row>
    <row r="39" spans="1:3" x14ac:dyDescent="0.35">
      <c r="A39">
        <v>1.51035826695068E-2</v>
      </c>
      <c r="C39">
        <v>9.3600068716920795E-2</v>
      </c>
    </row>
    <row r="40" spans="1:3" x14ac:dyDescent="0.35">
      <c r="A40">
        <v>1.9733595975819501E-2</v>
      </c>
      <c r="C40">
        <v>9.3876561271538997E-2</v>
      </c>
    </row>
    <row r="41" spans="1:3" x14ac:dyDescent="0.35">
      <c r="A41">
        <v>2.4268418658744802E-2</v>
      </c>
      <c r="C41">
        <v>9.4154430387267202E-2</v>
      </c>
    </row>
    <row r="42" spans="1:3" x14ac:dyDescent="0.35">
      <c r="A42">
        <v>2.9093733734770501E-2</v>
      </c>
      <c r="C42">
        <v>9.4434993003396805E-2</v>
      </c>
    </row>
    <row r="43" spans="1:3" x14ac:dyDescent="0.35">
      <c r="A43">
        <v>3.5016540033797401E-2</v>
      </c>
      <c r="C43">
        <v>9.5102021755346794E-2</v>
      </c>
    </row>
    <row r="44" spans="1:3" x14ac:dyDescent="0.35">
      <c r="A44">
        <v>4.2437899048378303E-2</v>
      </c>
      <c r="C44">
        <v>9.6927939348502107E-2</v>
      </c>
    </row>
    <row r="45" spans="1:3" x14ac:dyDescent="0.35">
      <c r="A45">
        <v>5.09027068707281E-2</v>
      </c>
      <c r="C45">
        <v>0.10043114827069401</v>
      </c>
    </row>
    <row r="46" spans="1:3" x14ac:dyDescent="0.35">
      <c r="A46">
        <v>5.9359480602577799E-2</v>
      </c>
      <c r="C46">
        <v>0.105405771616269</v>
      </c>
    </row>
    <row r="47" spans="1:3" x14ac:dyDescent="0.35">
      <c r="A47">
        <v>6.6652710276951299E-2</v>
      </c>
      <c r="C47">
        <v>0.111011620996867</v>
      </c>
    </row>
    <row r="48" spans="1:3" x14ac:dyDescent="0.35">
      <c r="A48">
        <v>7.1632291120846597E-2</v>
      </c>
      <c r="C48">
        <v>0.116104450307964</v>
      </c>
    </row>
    <row r="49" spans="1:3" x14ac:dyDescent="0.35">
      <c r="A49">
        <v>7.3886591258492104E-2</v>
      </c>
      <c r="C49">
        <v>0.119330897235069</v>
      </c>
    </row>
    <row r="50" spans="1:3" x14ac:dyDescent="0.35">
      <c r="A50">
        <v>7.3187655902908003E-2</v>
      </c>
      <c r="C50">
        <v>0.120010554960609</v>
      </c>
    </row>
    <row r="51" spans="1:3" x14ac:dyDescent="0.35">
      <c r="A51">
        <v>7.0416664354529396E-2</v>
      </c>
      <c r="C51">
        <v>0.117720707694663</v>
      </c>
    </row>
    <row r="52" spans="1:3" x14ac:dyDescent="0.35">
      <c r="A52">
        <v>6.6980919354762497E-2</v>
      </c>
      <c r="C52">
        <v>0.11318853409770301</v>
      </c>
    </row>
    <row r="53" spans="1:3" x14ac:dyDescent="0.35">
      <c r="A53">
        <v>6.3709557001468103E-2</v>
      </c>
      <c r="C53">
        <v>0.107729005753253</v>
      </c>
    </row>
    <row r="54" spans="1:3" x14ac:dyDescent="0.35">
      <c r="A54">
        <v>6.1520904198959399E-2</v>
      </c>
      <c r="C54">
        <v>0.102132208903861</v>
      </c>
    </row>
    <row r="55" spans="1:3" x14ac:dyDescent="0.35">
      <c r="A55">
        <v>6.0604192281534998E-2</v>
      </c>
      <c r="C55">
        <v>9.7335939734544505E-2</v>
      </c>
    </row>
    <row r="56" spans="1:3" x14ac:dyDescent="0.35">
      <c r="A56">
        <v>6.02704435415038E-2</v>
      </c>
      <c r="C56">
        <v>9.3749672341278303E-2</v>
      </c>
    </row>
    <row r="57" spans="1:3" x14ac:dyDescent="0.35">
      <c r="A57">
        <v>5.9834638348359399E-2</v>
      </c>
      <c r="C57">
        <v>9.0891521422694702E-2</v>
      </c>
    </row>
    <row r="58" spans="1:3" x14ac:dyDescent="0.35">
      <c r="A58">
        <v>5.8905052636180497E-2</v>
      </c>
      <c r="C58">
        <v>8.8114104954012507E-2</v>
      </c>
    </row>
    <row r="59" spans="1:3" x14ac:dyDescent="0.35">
      <c r="A59">
        <v>5.8693615955562099E-2</v>
      </c>
      <c r="C59">
        <v>8.4859125696223697E-2</v>
      </c>
    </row>
    <row r="60" spans="1:3" x14ac:dyDescent="0.35">
      <c r="A60">
        <v>6.1167207330737203E-2</v>
      </c>
      <c r="C60">
        <v>8.2027145360779805E-2</v>
      </c>
    </row>
    <row r="61" spans="1:3" x14ac:dyDescent="0.35">
      <c r="A61">
        <v>6.8193769626383502E-2</v>
      </c>
      <c r="C61">
        <v>8.1330134402170504E-2</v>
      </c>
    </row>
    <row r="62" spans="1:3" x14ac:dyDescent="0.35">
      <c r="A62">
        <v>7.9845573633871195E-2</v>
      </c>
      <c r="C62">
        <v>8.4620791821277297E-2</v>
      </c>
    </row>
    <row r="63" spans="1:3" x14ac:dyDescent="0.35">
      <c r="A63">
        <v>9.3432952448306697E-2</v>
      </c>
      <c r="C63">
        <v>9.2195515274960296E-2</v>
      </c>
    </row>
    <row r="64" spans="1:3" x14ac:dyDescent="0.35">
      <c r="A64">
        <v>0.106754783428457</v>
      </c>
      <c r="C64">
        <v>0.10157249450186601</v>
      </c>
    </row>
    <row r="65" spans="3:3" x14ac:dyDescent="0.35">
      <c r="C65">
        <v>0.110650964087894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10</vt:i4>
      </vt:variant>
    </vt:vector>
  </HeadingPairs>
  <TitlesOfParts>
    <vt:vector size="18" baseType="lpstr">
      <vt:lpstr>Documentation</vt:lpstr>
      <vt:lpstr>Fig16.1Longwaves</vt:lpstr>
      <vt:lpstr>Ch 16 data</vt:lpstr>
      <vt:lpstr>WageprodData</vt:lpstr>
      <vt:lpstr>DebtInRatio</vt:lpstr>
      <vt:lpstr>DebtServRatio</vt:lpstr>
      <vt:lpstr>Int US OECD data</vt:lpstr>
      <vt:lpstr>Sheet1</vt:lpstr>
      <vt:lpstr>Fig16.2Aropnf</vt:lpstr>
      <vt:lpstr>Fig16.2ropsnorm</vt:lpstr>
      <vt:lpstr>Fig16.3 wr yr</vt:lpstr>
      <vt:lpstr>Fig16.4rop&amp;alt</vt:lpstr>
      <vt:lpstr>Fig16.5ropiropreal</vt:lpstr>
      <vt:lpstr>Fig16.6USintrate</vt:lpstr>
      <vt:lpstr>Fig16.7USOECDint</vt:lpstr>
      <vt:lpstr>Fig16.8netropiropreal</vt:lpstr>
      <vt:lpstr>Fig16.9HHDebInc</vt:lpstr>
      <vt:lpstr>Fig16.10DebServ</vt:lpstr>
    </vt:vector>
  </TitlesOfParts>
  <Company>FCS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Shaikh</dc:creator>
  <cp:lastModifiedBy>shaikh@newschool.edu</cp:lastModifiedBy>
  <cp:lastPrinted>2014-07-02T19:17:16Z</cp:lastPrinted>
  <dcterms:created xsi:type="dcterms:W3CDTF">2013-06-07T22:10:14Z</dcterms:created>
  <dcterms:modified xsi:type="dcterms:W3CDTF">2016-10-15T13:16:57Z</dcterms:modified>
</cp:coreProperties>
</file>