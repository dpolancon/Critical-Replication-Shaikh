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70" yWindow="-10" windowWidth="10090" windowHeight="9060" firstSheet="4" activeTab="4"/>
  </bookViews>
  <sheets>
    <sheet name="Documentation" sheetId="10" r:id="rId1"/>
    <sheet name="Fig 5.1" sheetId="2" r:id="rId2"/>
    <sheet name="Fig 5.2" sheetId="3" r:id="rId3"/>
    <sheet name="Fig5.3" sheetId="4" r:id="rId4"/>
    <sheet name="Fig5.4" sheetId="5" r:id="rId5"/>
    <sheet name="Fig 5.5" sheetId="6" r:id="rId6"/>
    <sheet name="Fig 5.6" sheetId="7" r:id="rId7"/>
    <sheet name="Fig16.1usukglddetrnded" sheetId="8" r:id="rId8"/>
    <sheet name="Fig17.1 usukwaveprojected " sheetId="9" r:id="rId9"/>
    <sheet name="DATALRprices" sheetId="1" r:id="rId10"/>
  </sheets>
  <externalReferences>
    <externalReference r:id="rId11"/>
  </externalReferences>
  <calcPr calcId="145621"/>
</workbook>
</file>

<file path=xl/calcChain.xml><?xml version="1.0" encoding="utf-8"?>
<calcChain xmlns="http://schemas.openxmlformats.org/spreadsheetml/2006/main">
  <c r="AS222" i="1" l="1"/>
  <c r="AS223" i="1"/>
  <c r="AS224" i="1"/>
  <c r="AS225" i="1"/>
  <c r="AS226" i="1"/>
  <c r="AS227" i="1"/>
  <c r="AS228" i="1"/>
  <c r="AS221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18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1" i="1"/>
  <c r="C1" i="1"/>
  <c r="AQ265" i="1" l="1"/>
  <c r="AP265" i="1"/>
  <c r="AQ264" i="1"/>
  <c r="AP264" i="1"/>
  <c r="AQ263" i="1"/>
  <c r="AP263" i="1"/>
  <c r="AO263" i="1"/>
  <c r="AN263" i="1"/>
  <c r="AQ262" i="1"/>
  <c r="AP262" i="1"/>
  <c r="AO262" i="1"/>
  <c r="AN262" i="1"/>
  <c r="AQ261" i="1"/>
  <c r="AP261" i="1"/>
  <c r="AO261" i="1"/>
  <c r="AN261" i="1"/>
  <c r="AQ260" i="1"/>
  <c r="AP260" i="1"/>
  <c r="AO260" i="1"/>
  <c r="AN260" i="1"/>
  <c r="AQ259" i="1"/>
  <c r="AP259" i="1"/>
  <c r="AO259" i="1"/>
  <c r="AN259" i="1"/>
  <c r="AQ258" i="1"/>
  <c r="AP258" i="1"/>
  <c r="AO258" i="1"/>
  <c r="AN258" i="1"/>
  <c r="AQ257" i="1"/>
  <c r="AP257" i="1"/>
  <c r="AO257" i="1"/>
  <c r="AN257" i="1"/>
  <c r="AQ256" i="1"/>
  <c r="AP256" i="1"/>
  <c r="AO256" i="1"/>
  <c r="AN256" i="1"/>
  <c r="P256" i="1"/>
  <c r="AQ255" i="1"/>
  <c r="AP255" i="1"/>
  <c r="AO255" i="1"/>
  <c r="AN255" i="1"/>
  <c r="P255" i="1"/>
  <c r="AQ254" i="1"/>
  <c r="AP254" i="1"/>
  <c r="AO254" i="1"/>
  <c r="AN254" i="1"/>
  <c r="AQ253" i="1"/>
  <c r="AP253" i="1"/>
  <c r="AO253" i="1"/>
  <c r="AN253" i="1"/>
  <c r="AQ252" i="1"/>
  <c r="AP252" i="1"/>
  <c r="AO252" i="1"/>
  <c r="AN252" i="1"/>
  <c r="AE252" i="1"/>
  <c r="AD252" i="1"/>
  <c r="AQ251" i="1"/>
  <c r="AP251" i="1"/>
  <c r="AO251" i="1"/>
  <c r="AN251" i="1"/>
  <c r="AE251" i="1"/>
  <c r="AD251" i="1"/>
  <c r="AQ250" i="1"/>
  <c r="AP250" i="1"/>
  <c r="AO250" i="1"/>
  <c r="AN250" i="1"/>
  <c r="AE250" i="1"/>
  <c r="AD250" i="1"/>
  <c r="AQ249" i="1"/>
  <c r="AP249" i="1"/>
  <c r="AO249" i="1"/>
  <c r="AN249" i="1"/>
  <c r="AE249" i="1"/>
  <c r="AD249" i="1"/>
  <c r="AQ248" i="1"/>
  <c r="AP248" i="1"/>
  <c r="AO248" i="1"/>
  <c r="AN248" i="1"/>
  <c r="N248" i="1"/>
  <c r="O248" i="1" s="1"/>
  <c r="F248" i="1"/>
  <c r="AQ247" i="1"/>
  <c r="AP247" i="1"/>
  <c r="AO247" i="1"/>
  <c r="AN247" i="1"/>
  <c r="N247" i="1"/>
  <c r="O247" i="1" s="1"/>
  <c r="F247" i="1"/>
  <c r="AQ246" i="1"/>
  <c r="AP246" i="1"/>
  <c r="AO246" i="1"/>
  <c r="AN246" i="1"/>
  <c r="N246" i="1"/>
  <c r="O246" i="1" s="1"/>
  <c r="F246" i="1"/>
  <c r="AQ245" i="1"/>
  <c r="AP245" i="1"/>
  <c r="AO245" i="1"/>
  <c r="AN245" i="1"/>
  <c r="N245" i="1"/>
  <c r="O245" i="1" s="1"/>
  <c r="F245" i="1"/>
  <c r="A245" i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Q244" i="1"/>
  <c r="AP244" i="1"/>
  <c r="AO244" i="1"/>
  <c r="AN244" i="1"/>
  <c r="N244" i="1"/>
  <c r="O244" i="1" s="1"/>
  <c r="F244" i="1"/>
  <c r="AQ243" i="1"/>
  <c r="AP243" i="1"/>
  <c r="AO243" i="1"/>
  <c r="AN243" i="1"/>
  <c r="N243" i="1"/>
  <c r="O243" i="1" s="1"/>
  <c r="F243" i="1"/>
  <c r="AQ242" i="1"/>
  <c r="AP242" i="1"/>
  <c r="AO242" i="1"/>
  <c r="AN242" i="1"/>
  <c r="N242" i="1"/>
  <c r="O242" i="1" s="1"/>
  <c r="F242" i="1"/>
  <c r="AQ241" i="1"/>
  <c r="AP241" i="1"/>
  <c r="AO241" i="1"/>
  <c r="AN241" i="1"/>
  <c r="S241" i="1"/>
  <c r="S242" i="1" s="1"/>
  <c r="S243" i="1" s="1"/>
  <c r="S244" i="1" s="1"/>
  <c r="S245" i="1" s="1"/>
  <c r="S246" i="1" s="1"/>
  <c r="S247" i="1" s="1"/>
  <c r="S248" i="1" s="1"/>
  <c r="N241" i="1"/>
  <c r="O241" i="1" s="1"/>
  <c r="F241" i="1"/>
  <c r="AQ240" i="1"/>
  <c r="AP240" i="1"/>
  <c r="AO240" i="1"/>
  <c r="AN240" i="1"/>
  <c r="N240" i="1"/>
  <c r="O240" i="1" s="1"/>
  <c r="F240" i="1"/>
  <c r="AQ239" i="1"/>
  <c r="AP239" i="1"/>
  <c r="AO239" i="1"/>
  <c r="AN239" i="1"/>
  <c r="N239" i="1"/>
  <c r="O239" i="1" s="1"/>
  <c r="F239" i="1"/>
  <c r="AQ238" i="1"/>
  <c r="AP238" i="1"/>
  <c r="AO238" i="1"/>
  <c r="AN238" i="1"/>
  <c r="N238" i="1"/>
  <c r="O238" i="1" s="1"/>
  <c r="F238" i="1"/>
  <c r="AQ237" i="1"/>
  <c r="AP237" i="1"/>
  <c r="AO237" i="1"/>
  <c r="AN237" i="1"/>
  <c r="N237" i="1"/>
  <c r="O237" i="1" s="1"/>
  <c r="F237" i="1"/>
  <c r="AQ236" i="1"/>
  <c r="AP236" i="1"/>
  <c r="AO236" i="1"/>
  <c r="AN236" i="1"/>
  <c r="N236" i="1"/>
  <c r="O236" i="1" s="1"/>
  <c r="F236" i="1"/>
  <c r="AQ235" i="1"/>
  <c r="AP235" i="1"/>
  <c r="AO235" i="1"/>
  <c r="AN235" i="1"/>
  <c r="N235" i="1"/>
  <c r="O235" i="1" s="1"/>
  <c r="F235" i="1"/>
  <c r="AQ234" i="1"/>
  <c r="AP234" i="1"/>
  <c r="AO234" i="1"/>
  <c r="AN234" i="1"/>
  <c r="O234" i="1"/>
  <c r="N234" i="1"/>
  <c r="F234" i="1"/>
  <c r="AQ233" i="1"/>
  <c r="AP233" i="1"/>
  <c r="AO233" i="1"/>
  <c r="AN233" i="1"/>
  <c r="N233" i="1"/>
  <c r="O233" i="1" s="1"/>
  <c r="F233" i="1"/>
  <c r="AQ232" i="1"/>
  <c r="AP232" i="1"/>
  <c r="AO232" i="1"/>
  <c r="AN232" i="1"/>
  <c r="N232" i="1"/>
  <c r="O232" i="1" s="1"/>
  <c r="F232" i="1"/>
  <c r="AQ231" i="1"/>
  <c r="AP231" i="1"/>
  <c r="AO231" i="1"/>
  <c r="AN231" i="1"/>
  <c r="N231" i="1"/>
  <c r="O231" i="1" s="1"/>
  <c r="F231" i="1"/>
  <c r="AQ230" i="1"/>
  <c r="AP230" i="1"/>
  <c r="AO230" i="1"/>
  <c r="AN230" i="1"/>
  <c r="N230" i="1"/>
  <c r="O230" i="1" s="1"/>
  <c r="F230" i="1"/>
  <c r="AQ229" i="1"/>
  <c r="AP229" i="1"/>
  <c r="AO229" i="1"/>
  <c r="AN229" i="1"/>
  <c r="N229" i="1"/>
  <c r="O229" i="1" s="1"/>
  <c r="F229" i="1"/>
  <c r="AQ228" i="1"/>
  <c r="AP228" i="1"/>
  <c r="AO228" i="1"/>
  <c r="AN228" i="1"/>
  <c r="N228" i="1"/>
  <c r="O228" i="1" s="1"/>
  <c r="F228" i="1"/>
  <c r="AQ227" i="1"/>
  <c r="AP227" i="1"/>
  <c r="AO227" i="1"/>
  <c r="AN227" i="1"/>
  <c r="N227" i="1"/>
  <c r="O227" i="1" s="1"/>
  <c r="F227" i="1"/>
  <c r="AQ226" i="1"/>
  <c r="AP226" i="1"/>
  <c r="AO226" i="1"/>
  <c r="AN226" i="1"/>
  <c r="N226" i="1"/>
  <c r="O226" i="1" s="1"/>
  <c r="F226" i="1"/>
  <c r="AQ225" i="1"/>
  <c r="AP225" i="1"/>
  <c r="AO225" i="1"/>
  <c r="AN225" i="1"/>
  <c r="N225" i="1"/>
  <c r="O225" i="1" s="1"/>
  <c r="F225" i="1"/>
  <c r="AQ224" i="1"/>
  <c r="AP224" i="1"/>
  <c r="AO224" i="1"/>
  <c r="AN224" i="1"/>
  <c r="N224" i="1"/>
  <c r="O224" i="1" s="1"/>
  <c r="F224" i="1"/>
  <c r="AQ223" i="1"/>
  <c r="AP223" i="1"/>
  <c r="AO223" i="1"/>
  <c r="AN223" i="1"/>
  <c r="N223" i="1"/>
  <c r="O223" i="1" s="1"/>
  <c r="F223" i="1"/>
  <c r="AQ222" i="1"/>
  <c r="AP222" i="1"/>
  <c r="AO222" i="1"/>
  <c r="AN222" i="1"/>
  <c r="N222" i="1"/>
  <c r="O222" i="1" s="1"/>
  <c r="F222" i="1"/>
  <c r="AQ221" i="1"/>
  <c r="AP221" i="1"/>
  <c r="AO221" i="1"/>
  <c r="AN221" i="1"/>
  <c r="N221" i="1"/>
  <c r="O221" i="1" s="1"/>
  <c r="F221" i="1"/>
  <c r="N220" i="1"/>
  <c r="O220" i="1" s="1"/>
  <c r="F220" i="1"/>
  <c r="N219" i="1"/>
  <c r="O219" i="1" s="1"/>
  <c r="F219" i="1"/>
  <c r="N218" i="1"/>
  <c r="O218" i="1" s="1"/>
  <c r="F218" i="1"/>
  <c r="N217" i="1"/>
  <c r="O217" i="1" s="1"/>
  <c r="F217" i="1"/>
  <c r="N216" i="1"/>
  <c r="O216" i="1" s="1"/>
  <c r="F216" i="1"/>
  <c r="N215" i="1"/>
  <c r="O215" i="1" s="1"/>
  <c r="H215" i="1"/>
  <c r="F215" i="1"/>
  <c r="T214" i="1"/>
  <c r="T215" i="1" s="1"/>
  <c r="N214" i="1"/>
  <c r="O214" i="1" s="1"/>
  <c r="F214" i="1"/>
  <c r="J214" i="1" s="1"/>
  <c r="AF214" i="1" s="1"/>
  <c r="T213" i="1"/>
  <c r="N213" i="1"/>
  <c r="O213" i="1" s="1"/>
  <c r="F213" i="1"/>
  <c r="AD213" i="1" s="1"/>
  <c r="T212" i="1"/>
  <c r="N212" i="1"/>
  <c r="O212" i="1" s="1"/>
  <c r="F212" i="1"/>
  <c r="J212" i="1" s="1"/>
  <c r="AF212" i="1" s="1"/>
  <c r="T211" i="1"/>
  <c r="N211" i="1"/>
  <c r="O211" i="1" s="1"/>
  <c r="F211" i="1"/>
  <c r="J211" i="1" s="1"/>
  <c r="AF211" i="1" s="1"/>
  <c r="T210" i="1"/>
  <c r="N210" i="1"/>
  <c r="O210" i="1" s="1"/>
  <c r="F210" i="1"/>
  <c r="T209" i="1"/>
  <c r="O209" i="1"/>
  <c r="N209" i="1"/>
  <c r="F209" i="1"/>
  <c r="T208" i="1"/>
  <c r="N208" i="1"/>
  <c r="O208" i="1" s="1"/>
  <c r="F208" i="1"/>
  <c r="AD208" i="1" s="1"/>
  <c r="T207" i="1"/>
  <c r="N207" i="1"/>
  <c r="O207" i="1" s="1"/>
  <c r="F207" i="1"/>
  <c r="AD207" i="1" s="1"/>
  <c r="T206" i="1"/>
  <c r="N206" i="1"/>
  <c r="O206" i="1" s="1"/>
  <c r="F206" i="1"/>
  <c r="AD206" i="1" s="1"/>
  <c r="T205" i="1"/>
  <c r="N205" i="1"/>
  <c r="O205" i="1" s="1"/>
  <c r="F205" i="1"/>
  <c r="J205" i="1" s="1"/>
  <c r="AF205" i="1" s="1"/>
  <c r="T204" i="1"/>
  <c r="N204" i="1"/>
  <c r="O204" i="1" s="1"/>
  <c r="F204" i="1"/>
  <c r="J204" i="1" s="1"/>
  <c r="AF204" i="1" s="1"/>
  <c r="T203" i="1"/>
  <c r="O203" i="1"/>
  <c r="N203" i="1"/>
  <c r="F203" i="1"/>
  <c r="AD203" i="1" s="1"/>
  <c r="T202" i="1"/>
  <c r="N202" i="1"/>
  <c r="O202" i="1" s="1"/>
  <c r="F202" i="1"/>
  <c r="AD202" i="1" s="1"/>
  <c r="T201" i="1"/>
  <c r="N201" i="1"/>
  <c r="O201" i="1" s="1"/>
  <c r="F201" i="1"/>
  <c r="J201" i="1" s="1"/>
  <c r="AF201" i="1" s="1"/>
  <c r="T200" i="1"/>
  <c r="N200" i="1"/>
  <c r="O200" i="1" s="1"/>
  <c r="F200" i="1"/>
  <c r="J200" i="1" s="1"/>
  <c r="AF200" i="1" s="1"/>
  <c r="T199" i="1"/>
  <c r="N199" i="1"/>
  <c r="O199" i="1" s="1"/>
  <c r="F199" i="1"/>
  <c r="AD199" i="1" s="1"/>
  <c r="T198" i="1"/>
  <c r="N198" i="1"/>
  <c r="O198" i="1" s="1"/>
  <c r="J198" i="1"/>
  <c r="AF198" i="1" s="1"/>
  <c r="F198" i="1"/>
  <c r="AD198" i="1" s="1"/>
  <c r="T197" i="1"/>
  <c r="N197" i="1"/>
  <c r="O197" i="1" s="1"/>
  <c r="F197" i="1"/>
  <c r="J197" i="1" s="1"/>
  <c r="AF197" i="1" s="1"/>
  <c r="T196" i="1"/>
  <c r="N196" i="1"/>
  <c r="O196" i="1" s="1"/>
  <c r="F196" i="1"/>
  <c r="AD196" i="1" s="1"/>
  <c r="T195" i="1"/>
  <c r="N195" i="1"/>
  <c r="O195" i="1" s="1"/>
  <c r="F195" i="1"/>
  <c r="AD195" i="1" s="1"/>
  <c r="T194" i="1"/>
  <c r="O194" i="1"/>
  <c r="N194" i="1"/>
  <c r="F194" i="1"/>
  <c r="AD193" i="1"/>
  <c r="T193" i="1"/>
  <c r="O193" i="1"/>
  <c r="N193" i="1"/>
  <c r="F193" i="1"/>
  <c r="J193" i="1" s="1"/>
  <c r="AF193" i="1" s="1"/>
  <c r="T192" i="1"/>
  <c r="N192" i="1"/>
  <c r="O192" i="1" s="1"/>
  <c r="F192" i="1"/>
  <c r="AD192" i="1" s="1"/>
  <c r="T191" i="1"/>
  <c r="N191" i="1"/>
  <c r="O191" i="1" s="1"/>
  <c r="F191" i="1"/>
  <c r="J191" i="1" s="1"/>
  <c r="AF191" i="1" s="1"/>
  <c r="T190" i="1"/>
  <c r="N190" i="1"/>
  <c r="O190" i="1" s="1"/>
  <c r="F190" i="1"/>
  <c r="AD190" i="1" s="1"/>
  <c r="T189" i="1"/>
  <c r="N189" i="1"/>
  <c r="O189" i="1" s="1"/>
  <c r="F189" i="1"/>
  <c r="J189" i="1" s="1"/>
  <c r="AF189" i="1" s="1"/>
  <c r="T188" i="1"/>
  <c r="N188" i="1"/>
  <c r="O188" i="1" s="1"/>
  <c r="F188" i="1"/>
  <c r="AD188" i="1" s="1"/>
  <c r="T187" i="1"/>
  <c r="O187" i="1"/>
  <c r="F187" i="1"/>
  <c r="AD187" i="1" s="1"/>
  <c r="T186" i="1"/>
  <c r="O186" i="1"/>
  <c r="F186" i="1"/>
  <c r="J186" i="1" s="1"/>
  <c r="AF186" i="1" s="1"/>
  <c r="T185" i="1"/>
  <c r="O185" i="1"/>
  <c r="F185" i="1"/>
  <c r="J185" i="1" s="1"/>
  <c r="AF185" i="1" s="1"/>
  <c r="T184" i="1"/>
  <c r="O184" i="1"/>
  <c r="F184" i="1"/>
  <c r="J184" i="1" s="1"/>
  <c r="AF184" i="1" s="1"/>
  <c r="O183" i="1"/>
  <c r="J183" i="1"/>
  <c r="AF183" i="1" s="1"/>
  <c r="F183" i="1"/>
  <c r="AD183" i="1" s="1"/>
  <c r="O182" i="1"/>
  <c r="F182" i="1"/>
  <c r="J182" i="1" s="1"/>
  <c r="AF182" i="1" s="1"/>
  <c r="O181" i="1"/>
  <c r="F181" i="1"/>
  <c r="AD181" i="1" s="1"/>
  <c r="O180" i="1"/>
  <c r="F180" i="1"/>
  <c r="J180" i="1" s="1"/>
  <c r="AF180" i="1" s="1"/>
  <c r="O179" i="1"/>
  <c r="F179" i="1"/>
  <c r="AD179" i="1" s="1"/>
  <c r="O178" i="1"/>
  <c r="F178" i="1"/>
  <c r="AD178" i="1" s="1"/>
  <c r="O177" i="1"/>
  <c r="F177" i="1"/>
  <c r="T176" i="1"/>
  <c r="T177" i="1" s="1"/>
  <c r="T178" i="1" s="1"/>
  <c r="O176" i="1"/>
  <c r="F176" i="1"/>
  <c r="J176" i="1" s="1"/>
  <c r="AF176" i="1" s="1"/>
  <c r="T175" i="1"/>
  <c r="O175" i="1"/>
  <c r="F175" i="1"/>
  <c r="T174" i="1"/>
  <c r="O174" i="1"/>
  <c r="F174" i="1"/>
  <c r="J174" i="1" s="1"/>
  <c r="AF174" i="1" s="1"/>
  <c r="T173" i="1"/>
  <c r="O173" i="1"/>
  <c r="F173" i="1"/>
  <c r="T172" i="1"/>
  <c r="O172" i="1"/>
  <c r="F172" i="1"/>
  <c r="J172" i="1" s="1"/>
  <c r="AF172" i="1" s="1"/>
  <c r="T171" i="1"/>
  <c r="O171" i="1"/>
  <c r="F171" i="1"/>
  <c r="T170" i="1"/>
  <c r="O170" i="1"/>
  <c r="F170" i="1"/>
  <c r="J170" i="1" s="1"/>
  <c r="AF170" i="1" s="1"/>
  <c r="T169" i="1"/>
  <c r="O169" i="1"/>
  <c r="F169" i="1"/>
  <c r="AD169" i="1" s="1"/>
  <c r="T168" i="1"/>
  <c r="O168" i="1"/>
  <c r="P62" i="1" s="1"/>
  <c r="AE62" i="1" s="1"/>
  <c r="F168" i="1"/>
  <c r="J168" i="1" s="1"/>
  <c r="AF168" i="1" s="1"/>
  <c r="T167" i="1"/>
  <c r="O167" i="1"/>
  <c r="P167" i="1" s="1"/>
  <c r="AE167" i="1" s="1"/>
  <c r="F167" i="1"/>
  <c r="AD167" i="1" s="1"/>
  <c r="T166" i="1"/>
  <c r="O166" i="1"/>
  <c r="F166" i="1"/>
  <c r="AD166" i="1" s="1"/>
  <c r="T165" i="1"/>
  <c r="O165" i="1"/>
  <c r="P165" i="1" s="1"/>
  <c r="AE165" i="1" s="1"/>
  <c r="F165" i="1"/>
  <c r="J165" i="1" s="1"/>
  <c r="AF165" i="1" s="1"/>
  <c r="T164" i="1"/>
  <c r="O164" i="1"/>
  <c r="P164" i="1" s="1"/>
  <c r="AE164" i="1" s="1"/>
  <c r="F164" i="1"/>
  <c r="AD164" i="1" s="1"/>
  <c r="T163" i="1"/>
  <c r="O163" i="1"/>
  <c r="P163" i="1" s="1"/>
  <c r="AE163" i="1" s="1"/>
  <c r="F163" i="1"/>
  <c r="AD163" i="1" s="1"/>
  <c r="T162" i="1"/>
  <c r="O162" i="1"/>
  <c r="P162" i="1" s="1"/>
  <c r="AE162" i="1" s="1"/>
  <c r="F162" i="1"/>
  <c r="J162" i="1" s="1"/>
  <c r="AF162" i="1" s="1"/>
  <c r="T161" i="1"/>
  <c r="O161" i="1"/>
  <c r="P161" i="1" s="1"/>
  <c r="AE161" i="1" s="1"/>
  <c r="F161" i="1"/>
  <c r="AD161" i="1" s="1"/>
  <c r="T160" i="1"/>
  <c r="O160" i="1"/>
  <c r="P160" i="1" s="1"/>
  <c r="AE160" i="1" s="1"/>
  <c r="F160" i="1"/>
  <c r="AD160" i="1" s="1"/>
  <c r="T159" i="1"/>
  <c r="O159" i="1"/>
  <c r="P159" i="1" s="1"/>
  <c r="AE159" i="1" s="1"/>
  <c r="F159" i="1"/>
  <c r="AD159" i="1" s="1"/>
  <c r="T158" i="1"/>
  <c r="O158" i="1"/>
  <c r="P158" i="1" s="1"/>
  <c r="AE158" i="1" s="1"/>
  <c r="F158" i="1"/>
  <c r="J158" i="1" s="1"/>
  <c r="AF158" i="1" s="1"/>
  <c r="T157" i="1"/>
  <c r="O157" i="1"/>
  <c r="P157" i="1" s="1"/>
  <c r="AE157" i="1" s="1"/>
  <c r="F157" i="1"/>
  <c r="J157" i="1" s="1"/>
  <c r="AF157" i="1" s="1"/>
  <c r="T156" i="1"/>
  <c r="O156" i="1"/>
  <c r="P156" i="1" s="1"/>
  <c r="AE156" i="1" s="1"/>
  <c r="F156" i="1"/>
  <c r="AD156" i="1" s="1"/>
  <c r="T155" i="1"/>
  <c r="O155" i="1"/>
  <c r="F155" i="1"/>
  <c r="AD155" i="1" s="1"/>
  <c r="T154" i="1"/>
  <c r="O154" i="1"/>
  <c r="F154" i="1"/>
  <c r="AD154" i="1" s="1"/>
  <c r="T153" i="1"/>
  <c r="O153" i="1"/>
  <c r="F153" i="1"/>
  <c r="AD153" i="1" s="1"/>
  <c r="T152" i="1"/>
  <c r="O152" i="1"/>
  <c r="F152" i="1"/>
  <c r="AD152" i="1" s="1"/>
  <c r="T151" i="1"/>
  <c r="O151" i="1"/>
  <c r="F151" i="1"/>
  <c r="AD151" i="1" s="1"/>
  <c r="T150" i="1"/>
  <c r="O150" i="1"/>
  <c r="F150" i="1"/>
  <c r="AD150" i="1" s="1"/>
  <c r="T149" i="1"/>
  <c r="O149" i="1"/>
  <c r="F149" i="1"/>
  <c r="AD149" i="1" s="1"/>
  <c r="T148" i="1"/>
  <c r="O148" i="1"/>
  <c r="P148" i="1" s="1"/>
  <c r="AE148" i="1" s="1"/>
  <c r="F148" i="1"/>
  <c r="AD148" i="1" s="1"/>
  <c r="T147" i="1"/>
  <c r="O147" i="1"/>
  <c r="F147" i="1"/>
  <c r="AD147" i="1" s="1"/>
  <c r="T146" i="1"/>
  <c r="O146" i="1"/>
  <c r="F146" i="1"/>
  <c r="AD146" i="1" s="1"/>
  <c r="T145" i="1"/>
  <c r="O145" i="1"/>
  <c r="F145" i="1"/>
  <c r="AD145" i="1" s="1"/>
  <c r="T144" i="1"/>
  <c r="O144" i="1"/>
  <c r="F144" i="1"/>
  <c r="AD144" i="1" s="1"/>
  <c r="T143" i="1"/>
  <c r="O143" i="1"/>
  <c r="F143" i="1"/>
  <c r="AD143" i="1" s="1"/>
  <c r="T142" i="1"/>
  <c r="O142" i="1"/>
  <c r="J142" i="1"/>
  <c r="AF142" i="1" s="1"/>
  <c r="F142" i="1"/>
  <c r="AD142" i="1" s="1"/>
  <c r="T141" i="1"/>
  <c r="O141" i="1"/>
  <c r="F141" i="1"/>
  <c r="AD141" i="1" s="1"/>
  <c r="T140" i="1"/>
  <c r="O140" i="1"/>
  <c r="F140" i="1"/>
  <c r="J140" i="1" s="1"/>
  <c r="AF140" i="1" s="1"/>
  <c r="T139" i="1"/>
  <c r="O139" i="1"/>
  <c r="F139" i="1"/>
  <c r="T138" i="1"/>
  <c r="O138" i="1"/>
  <c r="F138" i="1"/>
  <c r="T137" i="1"/>
  <c r="O137" i="1"/>
  <c r="F137" i="1"/>
  <c r="J137" i="1" s="1"/>
  <c r="AF137" i="1" s="1"/>
  <c r="T136" i="1"/>
  <c r="O136" i="1"/>
  <c r="F136" i="1"/>
  <c r="AD136" i="1" s="1"/>
  <c r="T135" i="1"/>
  <c r="O135" i="1"/>
  <c r="F135" i="1"/>
  <c r="AD135" i="1" s="1"/>
  <c r="T134" i="1"/>
  <c r="O134" i="1"/>
  <c r="F134" i="1"/>
  <c r="AD134" i="1" s="1"/>
  <c r="T133" i="1"/>
  <c r="O133" i="1"/>
  <c r="F133" i="1"/>
  <c r="J133" i="1" s="1"/>
  <c r="AF133" i="1" s="1"/>
  <c r="T132" i="1"/>
  <c r="O132" i="1"/>
  <c r="F132" i="1"/>
  <c r="J132" i="1" s="1"/>
  <c r="AF132" i="1" s="1"/>
  <c r="T131" i="1"/>
  <c r="O131" i="1"/>
  <c r="P131" i="1" s="1"/>
  <c r="AE131" i="1" s="1"/>
  <c r="F131" i="1"/>
  <c r="AD131" i="1" s="1"/>
  <c r="T130" i="1"/>
  <c r="P130" i="1"/>
  <c r="AE130" i="1" s="1"/>
  <c r="O130" i="1"/>
  <c r="F130" i="1"/>
  <c r="AD130" i="1" s="1"/>
  <c r="T129" i="1"/>
  <c r="O129" i="1"/>
  <c r="F129" i="1"/>
  <c r="J129" i="1" s="1"/>
  <c r="AF129" i="1" s="1"/>
  <c r="T128" i="1"/>
  <c r="O128" i="1"/>
  <c r="F128" i="1"/>
  <c r="J128" i="1" s="1"/>
  <c r="AF128" i="1" s="1"/>
  <c r="T127" i="1"/>
  <c r="O127" i="1"/>
  <c r="F127" i="1"/>
  <c r="AD127" i="1" s="1"/>
  <c r="T126" i="1"/>
  <c r="O126" i="1"/>
  <c r="F126" i="1"/>
  <c r="AD126" i="1" s="1"/>
  <c r="T125" i="1"/>
  <c r="O125" i="1"/>
  <c r="F125" i="1"/>
  <c r="AD125" i="1" s="1"/>
  <c r="T124" i="1"/>
  <c r="O124" i="1"/>
  <c r="F124" i="1"/>
  <c r="AD124" i="1" s="1"/>
  <c r="T123" i="1"/>
  <c r="O123" i="1"/>
  <c r="F123" i="1"/>
  <c r="J123" i="1" s="1"/>
  <c r="AF123" i="1" s="1"/>
  <c r="T122" i="1"/>
  <c r="O122" i="1"/>
  <c r="F122" i="1"/>
  <c r="AD122" i="1" s="1"/>
  <c r="T121" i="1"/>
  <c r="O121" i="1"/>
  <c r="F121" i="1"/>
  <c r="AD121" i="1" s="1"/>
  <c r="T120" i="1"/>
  <c r="O120" i="1"/>
  <c r="F120" i="1"/>
  <c r="AD120" i="1" s="1"/>
  <c r="T119" i="1"/>
  <c r="O119" i="1"/>
  <c r="F119" i="1"/>
  <c r="AD119" i="1" s="1"/>
  <c r="T118" i="1"/>
  <c r="O118" i="1"/>
  <c r="F118" i="1"/>
  <c r="T117" i="1"/>
  <c r="O117" i="1"/>
  <c r="F117" i="1"/>
  <c r="T116" i="1"/>
  <c r="O116" i="1"/>
  <c r="F116" i="1"/>
  <c r="AD116" i="1" s="1"/>
  <c r="T115" i="1"/>
  <c r="O115" i="1"/>
  <c r="F115" i="1"/>
  <c r="AD115" i="1" s="1"/>
  <c r="T114" i="1"/>
  <c r="O114" i="1"/>
  <c r="P114" i="1" s="1"/>
  <c r="AE114" i="1" s="1"/>
  <c r="F114" i="1"/>
  <c r="AD114" i="1" s="1"/>
  <c r="T113" i="1"/>
  <c r="O113" i="1"/>
  <c r="F113" i="1"/>
  <c r="AD113" i="1" s="1"/>
  <c r="T112" i="1"/>
  <c r="O112" i="1"/>
  <c r="F112" i="1"/>
  <c r="AD112" i="1" s="1"/>
  <c r="T111" i="1"/>
  <c r="O111" i="1"/>
  <c r="F111" i="1"/>
  <c r="AD111" i="1" s="1"/>
  <c r="T110" i="1"/>
  <c r="O110" i="1"/>
  <c r="F110" i="1"/>
  <c r="T109" i="1"/>
  <c r="O109" i="1"/>
  <c r="F109" i="1"/>
  <c r="AD109" i="1" s="1"/>
  <c r="T108" i="1"/>
  <c r="O108" i="1"/>
  <c r="F108" i="1"/>
  <c r="T107" i="1"/>
  <c r="O107" i="1"/>
  <c r="F107" i="1"/>
  <c r="AD107" i="1" s="1"/>
  <c r="T106" i="1"/>
  <c r="O106" i="1"/>
  <c r="F106" i="1"/>
  <c r="AD106" i="1" s="1"/>
  <c r="T105" i="1"/>
  <c r="O105" i="1"/>
  <c r="F105" i="1"/>
  <c r="AD105" i="1" s="1"/>
  <c r="T104" i="1"/>
  <c r="O104" i="1"/>
  <c r="P104" i="1" s="1"/>
  <c r="AE104" i="1" s="1"/>
  <c r="F104" i="1"/>
  <c r="T103" i="1"/>
  <c r="O103" i="1"/>
  <c r="F103" i="1"/>
  <c r="AD103" i="1" s="1"/>
  <c r="T102" i="1"/>
  <c r="O102" i="1"/>
  <c r="F102" i="1"/>
  <c r="AD102" i="1" s="1"/>
  <c r="T101" i="1"/>
  <c r="O101" i="1"/>
  <c r="F101" i="1"/>
  <c r="AD101" i="1" s="1"/>
  <c r="T100" i="1"/>
  <c r="O100" i="1"/>
  <c r="F100" i="1"/>
  <c r="T99" i="1"/>
  <c r="O99" i="1"/>
  <c r="J99" i="1"/>
  <c r="AF99" i="1" s="1"/>
  <c r="F99" i="1"/>
  <c r="AD99" i="1" s="1"/>
  <c r="T98" i="1"/>
  <c r="O98" i="1"/>
  <c r="F98" i="1"/>
  <c r="T97" i="1"/>
  <c r="O97" i="1"/>
  <c r="F97" i="1"/>
  <c r="AD97" i="1" s="1"/>
  <c r="T96" i="1"/>
  <c r="O96" i="1"/>
  <c r="F96" i="1"/>
  <c r="AD96" i="1" s="1"/>
  <c r="T95" i="1"/>
  <c r="O95" i="1"/>
  <c r="F95" i="1"/>
  <c r="AD95" i="1" s="1"/>
  <c r="T94" i="1"/>
  <c r="O94" i="1"/>
  <c r="F94" i="1"/>
  <c r="AD94" i="1" s="1"/>
  <c r="T93" i="1"/>
  <c r="O93" i="1"/>
  <c r="F93" i="1"/>
  <c r="AD93" i="1" s="1"/>
  <c r="T92" i="1"/>
  <c r="O92" i="1"/>
  <c r="F92" i="1"/>
  <c r="J92" i="1" s="1"/>
  <c r="AF92" i="1" s="1"/>
  <c r="T91" i="1"/>
  <c r="O91" i="1"/>
  <c r="F91" i="1"/>
  <c r="AD91" i="1" s="1"/>
  <c r="T90" i="1"/>
  <c r="O90" i="1"/>
  <c r="F90" i="1"/>
  <c r="T89" i="1"/>
  <c r="O89" i="1"/>
  <c r="J89" i="1"/>
  <c r="AF89" i="1" s="1"/>
  <c r="F89" i="1"/>
  <c r="AD89" i="1" s="1"/>
  <c r="T88" i="1"/>
  <c r="O88" i="1"/>
  <c r="P88" i="1" s="1"/>
  <c r="AE88" i="1" s="1"/>
  <c r="F88" i="1"/>
  <c r="AD88" i="1" s="1"/>
  <c r="T87" i="1"/>
  <c r="O87" i="1"/>
  <c r="P87" i="1" s="1"/>
  <c r="AE87" i="1" s="1"/>
  <c r="F87" i="1"/>
  <c r="AD87" i="1" s="1"/>
  <c r="T86" i="1"/>
  <c r="O86" i="1"/>
  <c r="P86" i="1" s="1"/>
  <c r="AE86" i="1" s="1"/>
  <c r="F86" i="1"/>
  <c r="T85" i="1"/>
  <c r="O85" i="1"/>
  <c r="F85" i="1"/>
  <c r="J85" i="1" s="1"/>
  <c r="AF85" i="1" s="1"/>
  <c r="T84" i="1"/>
  <c r="O84" i="1"/>
  <c r="J84" i="1"/>
  <c r="AF84" i="1" s="1"/>
  <c r="F84" i="1"/>
  <c r="AD84" i="1" s="1"/>
  <c r="T83" i="1"/>
  <c r="O83" i="1"/>
  <c r="P83" i="1" s="1"/>
  <c r="AE83" i="1" s="1"/>
  <c r="F83" i="1"/>
  <c r="AD83" i="1" s="1"/>
  <c r="T82" i="1"/>
  <c r="O82" i="1"/>
  <c r="P82" i="1" s="1"/>
  <c r="AE82" i="1" s="1"/>
  <c r="F82" i="1"/>
  <c r="AD82" i="1" s="1"/>
  <c r="T81" i="1"/>
  <c r="O81" i="1"/>
  <c r="P81" i="1" s="1"/>
  <c r="AE81" i="1" s="1"/>
  <c r="F81" i="1"/>
  <c r="J81" i="1" s="1"/>
  <c r="AF81" i="1" s="1"/>
  <c r="T80" i="1"/>
  <c r="O80" i="1"/>
  <c r="P80" i="1" s="1"/>
  <c r="AE80" i="1" s="1"/>
  <c r="F80" i="1"/>
  <c r="AD80" i="1" s="1"/>
  <c r="T79" i="1"/>
  <c r="O79" i="1"/>
  <c r="P79" i="1" s="1"/>
  <c r="AE79" i="1" s="1"/>
  <c r="F79" i="1"/>
  <c r="AD79" i="1" s="1"/>
  <c r="T78" i="1"/>
  <c r="O78" i="1"/>
  <c r="P78" i="1" s="1"/>
  <c r="AE78" i="1" s="1"/>
  <c r="F78" i="1"/>
  <c r="AD78" i="1" s="1"/>
  <c r="T77" i="1"/>
  <c r="O77" i="1"/>
  <c r="F77" i="1"/>
  <c r="J77" i="1" s="1"/>
  <c r="AF77" i="1" s="1"/>
  <c r="T76" i="1"/>
  <c r="O76" i="1"/>
  <c r="F76" i="1"/>
  <c r="AD76" i="1" s="1"/>
  <c r="T75" i="1"/>
  <c r="O75" i="1"/>
  <c r="F75" i="1"/>
  <c r="AD75" i="1" s="1"/>
  <c r="T74" i="1"/>
  <c r="O74" i="1"/>
  <c r="F74" i="1"/>
  <c r="J74" i="1" s="1"/>
  <c r="AF74" i="1" s="1"/>
  <c r="T73" i="1"/>
  <c r="O73" i="1"/>
  <c r="P73" i="1" s="1"/>
  <c r="AE73" i="1" s="1"/>
  <c r="J73" i="1"/>
  <c r="AF73" i="1" s="1"/>
  <c r="F73" i="1"/>
  <c r="AD73" i="1" s="1"/>
  <c r="T72" i="1"/>
  <c r="O72" i="1"/>
  <c r="F72" i="1"/>
  <c r="AD72" i="1" s="1"/>
  <c r="T71" i="1"/>
  <c r="O71" i="1"/>
  <c r="F71" i="1"/>
  <c r="AD71" i="1" s="1"/>
  <c r="AD70" i="1"/>
  <c r="T70" i="1"/>
  <c r="O70" i="1"/>
  <c r="P70" i="1" s="1"/>
  <c r="AE70" i="1" s="1"/>
  <c r="F70" i="1"/>
  <c r="J70" i="1" s="1"/>
  <c r="AF70" i="1" s="1"/>
  <c r="T69" i="1"/>
  <c r="O69" i="1"/>
  <c r="F69" i="1"/>
  <c r="AD69" i="1" s="1"/>
  <c r="T68" i="1"/>
  <c r="O68" i="1"/>
  <c r="F68" i="1"/>
  <c r="AD68" i="1" s="1"/>
  <c r="T67" i="1"/>
  <c r="O67" i="1"/>
  <c r="F67" i="1"/>
  <c r="J67" i="1" s="1"/>
  <c r="AF67" i="1" s="1"/>
  <c r="T66" i="1"/>
  <c r="O66" i="1"/>
  <c r="F66" i="1"/>
  <c r="AD66" i="1" s="1"/>
  <c r="T65" i="1"/>
  <c r="O65" i="1"/>
  <c r="F65" i="1"/>
  <c r="J65" i="1" s="1"/>
  <c r="AF65" i="1" s="1"/>
  <c r="T64" i="1"/>
  <c r="O64" i="1"/>
  <c r="F64" i="1"/>
  <c r="AD64" i="1" s="1"/>
  <c r="T63" i="1"/>
  <c r="O63" i="1"/>
  <c r="F63" i="1"/>
  <c r="J63" i="1" s="1"/>
  <c r="AF63" i="1" s="1"/>
  <c r="T62" i="1"/>
  <c r="O62" i="1"/>
  <c r="F62" i="1"/>
  <c r="AD62" i="1" s="1"/>
  <c r="T61" i="1"/>
  <c r="O61" i="1"/>
  <c r="J61" i="1"/>
  <c r="AF61" i="1" s="1"/>
  <c r="F61" i="1"/>
  <c r="AD61" i="1" s="1"/>
  <c r="T60" i="1"/>
  <c r="O60" i="1"/>
  <c r="P60" i="1" s="1"/>
  <c r="AE60" i="1" s="1"/>
  <c r="F60" i="1"/>
  <c r="AD60" i="1" s="1"/>
  <c r="T59" i="1"/>
  <c r="O59" i="1"/>
  <c r="P59" i="1" s="1"/>
  <c r="F59" i="1"/>
  <c r="J59" i="1" s="1"/>
  <c r="AF59" i="1" s="1"/>
  <c r="T58" i="1"/>
  <c r="O58" i="1"/>
  <c r="P58" i="1" s="1"/>
  <c r="AE58" i="1" s="1"/>
  <c r="F58" i="1"/>
  <c r="AD58" i="1" s="1"/>
  <c r="T57" i="1"/>
  <c r="O57" i="1"/>
  <c r="P57" i="1" s="1"/>
  <c r="F57" i="1"/>
  <c r="J57" i="1" s="1"/>
  <c r="AF57" i="1" s="1"/>
  <c r="T56" i="1"/>
  <c r="O56" i="1"/>
  <c r="P56" i="1" s="1"/>
  <c r="AE56" i="1" s="1"/>
  <c r="F56" i="1"/>
  <c r="AD56" i="1" s="1"/>
  <c r="T55" i="1"/>
  <c r="O55" i="1"/>
  <c r="P55" i="1" s="1"/>
  <c r="AE55" i="1" s="1"/>
  <c r="F55" i="1"/>
  <c r="J55" i="1" s="1"/>
  <c r="AF55" i="1" s="1"/>
  <c r="T54" i="1"/>
  <c r="P54" i="1"/>
  <c r="AE54" i="1" s="1"/>
  <c r="O54" i="1"/>
  <c r="F54" i="1"/>
  <c r="AD54" i="1" s="1"/>
  <c r="T53" i="1"/>
  <c r="O53" i="1"/>
  <c r="F53" i="1"/>
  <c r="AD53" i="1" s="1"/>
  <c r="T52" i="1"/>
  <c r="O52" i="1"/>
  <c r="P52" i="1" s="1"/>
  <c r="AE52" i="1" s="1"/>
  <c r="F52" i="1"/>
  <c r="AD52" i="1" s="1"/>
  <c r="T51" i="1"/>
  <c r="O51" i="1"/>
  <c r="J51" i="1"/>
  <c r="AF51" i="1" s="1"/>
  <c r="F51" i="1"/>
  <c r="AD51" i="1" s="1"/>
  <c r="T50" i="1"/>
  <c r="O50" i="1"/>
  <c r="F50" i="1"/>
  <c r="AD50" i="1" s="1"/>
  <c r="T49" i="1"/>
  <c r="O49" i="1"/>
  <c r="J49" i="1"/>
  <c r="AF49" i="1" s="1"/>
  <c r="F49" i="1"/>
  <c r="AD49" i="1" s="1"/>
  <c r="T48" i="1"/>
  <c r="O48" i="1"/>
  <c r="P48" i="1" s="1"/>
  <c r="AE48" i="1" s="1"/>
  <c r="F48" i="1"/>
  <c r="AD48" i="1" s="1"/>
  <c r="T47" i="1"/>
  <c r="O47" i="1"/>
  <c r="P47" i="1" s="1"/>
  <c r="AE47" i="1" s="1"/>
  <c r="F47" i="1"/>
  <c r="J47" i="1" s="1"/>
  <c r="AF47" i="1" s="1"/>
  <c r="T46" i="1"/>
  <c r="O46" i="1"/>
  <c r="P46" i="1" s="1"/>
  <c r="AE46" i="1" s="1"/>
  <c r="F46" i="1"/>
  <c r="AD46" i="1" s="1"/>
  <c r="T45" i="1"/>
  <c r="P45" i="1"/>
  <c r="AE45" i="1" s="1"/>
  <c r="O45" i="1"/>
  <c r="F45" i="1"/>
  <c r="AD45" i="1" s="1"/>
  <c r="T44" i="1"/>
  <c r="O44" i="1"/>
  <c r="F44" i="1"/>
  <c r="AD44" i="1" s="1"/>
  <c r="T43" i="1"/>
  <c r="O43" i="1"/>
  <c r="F43" i="1"/>
  <c r="J43" i="1" s="1"/>
  <c r="AF43" i="1" s="1"/>
  <c r="T42" i="1"/>
  <c r="O42" i="1"/>
  <c r="F42" i="1"/>
  <c r="AD42" i="1" s="1"/>
  <c r="T41" i="1"/>
  <c r="O41" i="1"/>
  <c r="F41" i="1"/>
  <c r="J41" i="1" s="1"/>
  <c r="AF41" i="1" s="1"/>
  <c r="T40" i="1"/>
  <c r="O40" i="1"/>
  <c r="F40" i="1"/>
  <c r="AD40" i="1" s="1"/>
  <c r="T39" i="1"/>
  <c r="O39" i="1"/>
  <c r="F39" i="1"/>
  <c r="J39" i="1" s="1"/>
  <c r="AF39" i="1" s="1"/>
  <c r="T38" i="1"/>
  <c r="O38" i="1"/>
  <c r="F38" i="1"/>
  <c r="AD38" i="1" s="1"/>
  <c r="T37" i="1"/>
  <c r="O37" i="1"/>
  <c r="H37" i="1"/>
  <c r="F37" i="1"/>
  <c r="A37" i="1"/>
  <c r="A36" i="1" s="1"/>
  <c r="A35" i="1" s="1"/>
  <c r="A34" i="1" s="1"/>
  <c r="A33" i="1" s="1"/>
  <c r="A32" i="1" s="1"/>
  <c r="A31" i="1" s="1"/>
  <c r="A30" i="1" s="1"/>
  <c r="A29" i="1" s="1"/>
  <c r="A28" i="1" s="1"/>
  <c r="T36" i="1"/>
  <c r="O36" i="1"/>
  <c r="F36" i="1"/>
  <c r="T35" i="1"/>
  <c r="O35" i="1"/>
  <c r="F35" i="1"/>
  <c r="T34" i="1"/>
  <c r="O34" i="1"/>
  <c r="F34" i="1"/>
  <c r="T33" i="1"/>
  <c r="O33" i="1"/>
  <c r="F33" i="1"/>
  <c r="T32" i="1"/>
  <c r="O32" i="1"/>
  <c r="F32" i="1"/>
  <c r="T31" i="1"/>
  <c r="O31" i="1"/>
  <c r="F31" i="1"/>
  <c r="T30" i="1"/>
  <c r="O30" i="1"/>
  <c r="F30" i="1"/>
  <c r="T29" i="1"/>
  <c r="O29" i="1"/>
  <c r="F29" i="1"/>
  <c r="T28" i="1"/>
  <c r="Z82" i="1" s="1"/>
  <c r="O28" i="1"/>
  <c r="F28" i="1"/>
  <c r="T27" i="1"/>
  <c r="O27" i="1"/>
  <c r="F27" i="1"/>
  <c r="T26" i="1"/>
  <c r="O26" i="1"/>
  <c r="P26" i="1" s="1"/>
  <c r="H26" i="1"/>
  <c r="F26" i="1"/>
  <c r="T25" i="1"/>
  <c r="O25" i="1"/>
  <c r="P25" i="1" s="1"/>
  <c r="H25" i="1"/>
  <c r="F25" i="1"/>
  <c r="T24" i="1"/>
  <c r="O24" i="1"/>
  <c r="P24" i="1" s="1"/>
  <c r="F24" i="1"/>
  <c r="T23" i="1"/>
  <c r="P23" i="1"/>
  <c r="T22" i="1"/>
  <c r="P22" i="1"/>
  <c r="H22" i="1"/>
  <c r="T21" i="1"/>
  <c r="P21" i="1"/>
  <c r="H21" i="1"/>
  <c r="T20" i="1"/>
  <c r="P20" i="1"/>
  <c r="H20" i="1"/>
  <c r="T19" i="1"/>
  <c r="P19" i="1"/>
  <c r="T18" i="1"/>
  <c r="P18" i="1"/>
  <c r="AD13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U20" i="1" l="1"/>
  <c r="F23" i="1"/>
  <c r="U18" i="1"/>
  <c r="U19" i="1"/>
  <c r="U22" i="1"/>
  <c r="U25" i="1"/>
  <c r="P27" i="1"/>
  <c r="P28" i="1"/>
  <c r="AE28" i="1" s="1"/>
  <c r="P29" i="1"/>
  <c r="AE29" i="1" s="1"/>
  <c r="P30" i="1"/>
  <c r="AE30" i="1" s="1"/>
  <c r="P31" i="1"/>
  <c r="AE31" i="1" s="1"/>
  <c r="P32" i="1"/>
  <c r="AE32" i="1" s="1"/>
  <c r="P33" i="1"/>
  <c r="AE33" i="1" s="1"/>
  <c r="P34" i="1"/>
  <c r="AE34" i="1" s="1"/>
  <c r="P35" i="1"/>
  <c r="AE35" i="1" s="1"/>
  <c r="P36" i="1"/>
  <c r="AE36" i="1" s="1"/>
  <c r="J37" i="1"/>
  <c r="P49" i="1"/>
  <c r="P50" i="1"/>
  <c r="AE50" i="1" s="1"/>
  <c r="P61" i="1"/>
  <c r="AE61" i="1" s="1"/>
  <c r="P71" i="1"/>
  <c r="AE71" i="1" s="1"/>
  <c r="P72" i="1"/>
  <c r="AE72" i="1" s="1"/>
  <c r="AD77" i="1"/>
  <c r="U78" i="1"/>
  <c r="P89" i="1"/>
  <c r="AE89" i="1" s="1"/>
  <c r="P90" i="1"/>
  <c r="AE90" i="1" s="1"/>
  <c r="P91" i="1"/>
  <c r="AE91" i="1" s="1"/>
  <c r="P92" i="1"/>
  <c r="AE92" i="1" s="1"/>
  <c r="P93" i="1"/>
  <c r="AE93" i="1" s="1"/>
  <c r="P94" i="1"/>
  <c r="AE94" i="1" s="1"/>
  <c r="P95" i="1"/>
  <c r="AE95" i="1" s="1"/>
  <c r="P96" i="1"/>
  <c r="AE96" i="1" s="1"/>
  <c r="P97" i="1"/>
  <c r="AE97" i="1" s="1"/>
  <c r="P98" i="1"/>
  <c r="P132" i="1"/>
  <c r="P133" i="1"/>
  <c r="P134" i="1"/>
  <c r="AE134" i="1" s="1"/>
  <c r="P135" i="1"/>
  <c r="AE135" i="1" s="1"/>
  <c r="P136" i="1"/>
  <c r="P137" i="1"/>
  <c r="P138" i="1"/>
  <c r="AE138" i="1" s="1"/>
  <c r="P139" i="1"/>
  <c r="AE139" i="1" s="1"/>
  <c r="P140" i="1"/>
  <c r="AE140" i="1" s="1"/>
  <c r="P141" i="1"/>
  <c r="AE141" i="1" s="1"/>
  <c r="U162" i="1"/>
  <c r="J181" i="1"/>
  <c r="AF181" i="1" s="1"/>
  <c r="U26" i="1"/>
  <c r="P37" i="1"/>
  <c r="AE37" i="1" s="1"/>
  <c r="J38" i="1"/>
  <c r="AF38" i="1" s="1"/>
  <c r="P51" i="1"/>
  <c r="P63" i="1"/>
  <c r="AE63" i="1" s="1"/>
  <c r="P64" i="1"/>
  <c r="AE64" i="1" s="1"/>
  <c r="P65" i="1"/>
  <c r="P66" i="1"/>
  <c r="AE66" i="1" s="1"/>
  <c r="P67" i="1"/>
  <c r="P68" i="1"/>
  <c r="AE68" i="1" s="1"/>
  <c r="J69" i="1"/>
  <c r="AF69" i="1" s="1"/>
  <c r="P84" i="1"/>
  <c r="AE84" i="1" s="1"/>
  <c r="P85" i="1"/>
  <c r="P99" i="1"/>
  <c r="AE99" i="1" s="1"/>
  <c r="P100" i="1"/>
  <c r="AE100" i="1" s="1"/>
  <c r="P101" i="1"/>
  <c r="AE101" i="1" s="1"/>
  <c r="P102" i="1"/>
  <c r="AE102" i="1" s="1"/>
  <c r="P103" i="1"/>
  <c r="AE103" i="1" s="1"/>
  <c r="U114" i="1"/>
  <c r="P115" i="1"/>
  <c r="AE115" i="1" s="1"/>
  <c r="P116" i="1"/>
  <c r="AE116" i="1" s="1"/>
  <c r="P117" i="1"/>
  <c r="AE117" i="1" s="1"/>
  <c r="P118" i="1"/>
  <c r="AE118" i="1" s="1"/>
  <c r="P119" i="1"/>
  <c r="AE119" i="1" s="1"/>
  <c r="P120" i="1"/>
  <c r="AE120" i="1" s="1"/>
  <c r="J121" i="1"/>
  <c r="AF121" i="1" s="1"/>
  <c r="P142" i="1"/>
  <c r="AE142" i="1" s="1"/>
  <c r="P143" i="1"/>
  <c r="AE143" i="1" s="1"/>
  <c r="P144" i="1"/>
  <c r="AE144" i="1" s="1"/>
  <c r="P145" i="1"/>
  <c r="AE145" i="1" s="1"/>
  <c r="P146" i="1"/>
  <c r="AE146" i="1" s="1"/>
  <c r="P147" i="1"/>
  <c r="AE147" i="1" s="1"/>
  <c r="AD205" i="1"/>
  <c r="J208" i="1"/>
  <c r="AF208" i="1" s="1"/>
  <c r="AD211" i="1"/>
  <c r="U73" i="1"/>
  <c r="J25" i="1"/>
  <c r="P38" i="1"/>
  <c r="AE38" i="1" s="1"/>
  <c r="P39" i="1"/>
  <c r="AE39" i="1" s="1"/>
  <c r="P40" i="1"/>
  <c r="AE40" i="1" s="1"/>
  <c r="P41" i="1"/>
  <c r="P42" i="1"/>
  <c r="AE42" i="1" s="1"/>
  <c r="P43" i="1"/>
  <c r="AE43" i="1" s="1"/>
  <c r="P44" i="1"/>
  <c r="AE44" i="1" s="1"/>
  <c r="P53" i="1"/>
  <c r="AE53" i="1" s="1"/>
  <c r="P69" i="1"/>
  <c r="AE69" i="1" s="1"/>
  <c r="P74" i="1"/>
  <c r="AE74" i="1" s="1"/>
  <c r="P75" i="1"/>
  <c r="AE75" i="1" s="1"/>
  <c r="P76" i="1"/>
  <c r="AE76" i="1" s="1"/>
  <c r="P77" i="1"/>
  <c r="J87" i="1"/>
  <c r="AF87" i="1" s="1"/>
  <c r="P105" i="1"/>
  <c r="AE105" i="1" s="1"/>
  <c r="P106" i="1"/>
  <c r="AE106" i="1" s="1"/>
  <c r="P107" i="1"/>
  <c r="AE107" i="1" s="1"/>
  <c r="P108" i="1"/>
  <c r="AE108" i="1" s="1"/>
  <c r="P109" i="1"/>
  <c r="AE109" i="1" s="1"/>
  <c r="P110" i="1"/>
  <c r="AE110" i="1" s="1"/>
  <c r="P111" i="1"/>
  <c r="AE111" i="1" s="1"/>
  <c r="P112" i="1"/>
  <c r="AE112" i="1" s="1"/>
  <c r="P113" i="1"/>
  <c r="AE113" i="1" s="1"/>
  <c r="J114" i="1"/>
  <c r="AF114" i="1" s="1"/>
  <c r="P121" i="1"/>
  <c r="AE121" i="1" s="1"/>
  <c r="P122" i="1"/>
  <c r="AE122" i="1" s="1"/>
  <c r="P123" i="1"/>
  <c r="P124" i="1"/>
  <c r="AE124" i="1" s="1"/>
  <c r="P125" i="1"/>
  <c r="AE125" i="1" s="1"/>
  <c r="P126" i="1"/>
  <c r="AE126" i="1" s="1"/>
  <c r="P127" i="1"/>
  <c r="AE127" i="1" s="1"/>
  <c r="P128" i="1"/>
  <c r="P129" i="1"/>
  <c r="U143" i="1"/>
  <c r="P149" i="1"/>
  <c r="AE149" i="1" s="1"/>
  <c r="P150" i="1"/>
  <c r="AE150" i="1" s="1"/>
  <c r="P151" i="1"/>
  <c r="AE151" i="1" s="1"/>
  <c r="P152" i="1"/>
  <c r="P153" i="1"/>
  <c r="AE153" i="1" s="1"/>
  <c r="P154" i="1"/>
  <c r="AE154" i="1" s="1"/>
  <c r="P155" i="1"/>
  <c r="AE155" i="1" s="1"/>
  <c r="J156" i="1"/>
  <c r="AF156" i="1" s="1"/>
  <c r="J26" i="1"/>
  <c r="AD39" i="1"/>
  <c r="AD41" i="1"/>
  <c r="AD43" i="1"/>
  <c r="U104" i="1"/>
  <c r="AD123" i="1"/>
  <c r="AD128" i="1"/>
  <c r="U130" i="1"/>
  <c r="U131" i="1"/>
  <c r="AD133" i="1"/>
  <c r="AD189" i="1"/>
  <c r="AD197" i="1"/>
  <c r="J215" i="1"/>
  <c r="AF215" i="1" s="1"/>
  <c r="U23" i="1"/>
  <c r="H19" i="1"/>
  <c r="AD57" i="1"/>
  <c r="AD59" i="1"/>
  <c r="AD65" i="1"/>
  <c r="AD67" i="1"/>
  <c r="AD74" i="1"/>
  <c r="AD85" i="1"/>
  <c r="U88" i="1"/>
  <c r="J103" i="1"/>
  <c r="AF103" i="1" s="1"/>
  <c r="U108" i="1"/>
  <c r="J113" i="1"/>
  <c r="AF113" i="1" s="1"/>
  <c r="U118" i="1"/>
  <c r="J131" i="1"/>
  <c r="AF131" i="1" s="1"/>
  <c r="AD132" i="1"/>
  <c r="J154" i="1"/>
  <c r="AF154" i="1" s="1"/>
  <c r="U156" i="1"/>
  <c r="AD157" i="1"/>
  <c r="AD158" i="1"/>
  <c r="U161" i="1"/>
  <c r="AD165" i="1"/>
  <c r="AD170" i="1"/>
  <c r="AD172" i="1"/>
  <c r="J178" i="1"/>
  <c r="AF178" i="1" s="1"/>
  <c r="J179" i="1"/>
  <c r="AF179" i="1" s="1"/>
  <c r="J195" i="1"/>
  <c r="AF195" i="1" s="1"/>
  <c r="H18" i="1"/>
  <c r="U21" i="1"/>
  <c r="H23" i="1"/>
  <c r="H24" i="1"/>
  <c r="J24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U89" i="1"/>
  <c r="U96" i="1"/>
  <c r="U100" i="1"/>
  <c r="J107" i="1"/>
  <c r="AF107" i="1" s="1"/>
  <c r="J122" i="1"/>
  <c r="AF122" i="1" s="1"/>
  <c r="U124" i="1"/>
  <c r="J166" i="1"/>
  <c r="AF166" i="1" s="1"/>
  <c r="AD176" i="1"/>
  <c r="J187" i="1"/>
  <c r="AF187" i="1" s="1"/>
  <c r="AD129" i="1"/>
  <c r="AE49" i="1"/>
  <c r="U49" i="1"/>
  <c r="AE51" i="1"/>
  <c r="U51" i="1"/>
  <c r="AE41" i="1"/>
  <c r="U41" i="1"/>
  <c r="AE77" i="1"/>
  <c r="U77" i="1"/>
  <c r="AE57" i="1"/>
  <c r="U57" i="1"/>
  <c r="AE59" i="1"/>
  <c r="U59" i="1"/>
  <c r="AE65" i="1"/>
  <c r="U65" i="1"/>
  <c r="AE67" i="1"/>
  <c r="U67" i="1"/>
  <c r="Z43" i="1"/>
  <c r="AD47" i="1"/>
  <c r="Z51" i="1"/>
  <c r="AD55" i="1"/>
  <c r="Z59" i="1"/>
  <c r="AD63" i="1"/>
  <c r="Z67" i="1"/>
  <c r="Z77" i="1"/>
  <c r="J78" i="1"/>
  <c r="AF78" i="1" s="1"/>
  <c r="AD81" i="1"/>
  <c r="J88" i="1"/>
  <c r="AF88" i="1" s="1"/>
  <c r="AD92" i="1"/>
  <c r="U94" i="1"/>
  <c r="F18" i="1"/>
  <c r="F22" i="1"/>
  <c r="J22" i="1" s="1"/>
  <c r="F21" i="1"/>
  <c r="U37" i="1"/>
  <c r="U43" i="1"/>
  <c r="Z45" i="1"/>
  <c r="Z53" i="1"/>
  <c r="Z61" i="1"/>
  <c r="Z69" i="1"/>
  <c r="Z73" i="1"/>
  <c r="AD104" i="1"/>
  <c r="J104" i="1"/>
  <c r="AF104" i="1" s="1"/>
  <c r="AD118" i="1"/>
  <c r="J118" i="1"/>
  <c r="AF118" i="1" s="1"/>
  <c r="AE129" i="1"/>
  <c r="U129" i="1"/>
  <c r="J21" i="1"/>
  <c r="U38" i="1"/>
  <c r="Z39" i="1"/>
  <c r="J45" i="1"/>
  <c r="AF45" i="1" s="1"/>
  <c r="U45" i="1"/>
  <c r="Z47" i="1"/>
  <c r="J53" i="1"/>
  <c r="AF53" i="1" s="1"/>
  <c r="U53" i="1"/>
  <c r="Z55" i="1"/>
  <c r="U61" i="1"/>
  <c r="Z63" i="1"/>
  <c r="U69" i="1"/>
  <c r="Z81" i="1"/>
  <c r="AD108" i="1"/>
  <c r="J108" i="1"/>
  <c r="AF108" i="1" s="1"/>
  <c r="AD110" i="1"/>
  <c r="J110" i="1"/>
  <c r="AF110" i="1" s="1"/>
  <c r="U110" i="1"/>
  <c r="AE123" i="1"/>
  <c r="U123" i="1"/>
  <c r="AE128" i="1"/>
  <c r="U128" i="1"/>
  <c r="AE133" i="1"/>
  <c r="U133" i="1"/>
  <c r="AE152" i="1"/>
  <c r="U152" i="1"/>
  <c r="U39" i="1"/>
  <c r="Z41" i="1"/>
  <c r="U47" i="1"/>
  <c r="Z49" i="1"/>
  <c r="U55" i="1"/>
  <c r="Z57" i="1"/>
  <c r="U63" i="1"/>
  <c r="Z65" i="1"/>
  <c r="U81" i="1"/>
  <c r="U82" i="1"/>
  <c r="U84" i="1"/>
  <c r="U92" i="1"/>
  <c r="U97" i="1"/>
  <c r="AD100" i="1"/>
  <c r="J100" i="1"/>
  <c r="AF100" i="1" s="1"/>
  <c r="AD117" i="1"/>
  <c r="J117" i="1"/>
  <c r="AF117" i="1" s="1"/>
  <c r="AE132" i="1"/>
  <c r="U132" i="1"/>
  <c r="U101" i="1"/>
  <c r="U105" i="1"/>
  <c r="U109" i="1"/>
  <c r="J126" i="1"/>
  <c r="AF126" i="1" s="1"/>
  <c r="J127" i="1"/>
  <c r="AF127" i="1" s="1"/>
  <c r="J130" i="1"/>
  <c r="AF130" i="1" s="1"/>
  <c r="J134" i="1"/>
  <c r="AF134" i="1" s="1"/>
  <c r="J135" i="1"/>
  <c r="AF135" i="1" s="1"/>
  <c r="J136" i="1"/>
  <c r="AF136" i="1" s="1"/>
  <c r="AD140" i="1"/>
  <c r="U142" i="1"/>
  <c r="J144" i="1"/>
  <c r="AF144" i="1" s="1"/>
  <c r="U165" i="1"/>
  <c r="J152" i="1"/>
  <c r="AF152" i="1" s="1"/>
  <c r="U154" i="1"/>
  <c r="AD137" i="1"/>
  <c r="U140" i="1"/>
  <c r="AD180" i="1"/>
  <c r="AD182" i="1"/>
  <c r="AD200" i="1"/>
  <c r="AR222" i="1"/>
  <c r="AR224" i="1"/>
  <c r="AD162" i="1"/>
  <c r="P166" i="1"/>
  <c r="AE166" i="1" s="1"/>
  <c r="AD174" i="1"/>
  <c r="AD184" i="1"/>
  <c r="AD185" i="1"/>
  <c r="AD186" i="1"/>
  <c r="AD201" i="1"/>
  <c r="AD212" i="1"/>
  <c r="AR221" i="1"/>
  <c r="AR223" i="1"/>
  <c r="U157" i="1"/>
  <c r="U160" i="1"/>
  <c r="J161" i="1"/>
  <c r="AF161" i="1" s="1"/>
  <c r="U164" i="1"/>
  <c r="P169" i="1"/>
  <c r="AE169" i="1" s="1"/>
  <c r="J192" i="1"/>
  <c r="AF192" i="1" s="1"/>
  <c r="J202" i="1"/>
  <c r="AF202" i="1" s="1"/>
  <c r="AD204" i="1"/>
  <c r="AB39" i="1"/>
  <c r="AA39" i="1"/>
  <c r="AB47" i="1"/>
  <c r="AA47" i="1"/>
  <c r="AB55" i="1"/>
  <c r="AA55" i="1"/>
  <c r="AB63" i="1"/>
  <c r="AA63" i="1"/>
  <c r="U80" i="1"/>
  <c r="AB81" i="1"/>
  <c r="AA81" i="1"/>
  <c r="AB41" i="1"/>
  <c r="AA41" i="1"/>
  <c r="AB49" i="1"/>
  <c r="AA49" i="1"/>
  <c r="AB57" i="1"/>
  <c r="AA57" i="1"/>
  <c r="AB65" i="1"/>
  <c r="AA65" i="1"/>
  <c r="AA82" i="1"/>
  <c r="AB82" i="1"/>
  <c r="U30" i="1"/>
  <c r="U31" i="1"/>
  <c r="U32" i="1"/>
  <c r="U33" i="1"/>
  <c r="U34" i="1"/>
  <c r="U35" i="1"/>
  <c r="U36" i="1"/>
  <c r="AB43" i="1"/>
  <c r="AA43" i="1"/>
  <c r="AB51" i="1"/>
  <c r="AA51" i="1"/>
  <c r="AB59" i="1"/>
  <c r="AA59" i="1"/>
  <c r="AB67" i="1"/>
  <c r="AA67" i="1"/>
  <c r="U74" i="1"/>
  <c r="U76" i="1"/>
  <c r="AB77" i="1"/>
  <c r="AA77" i="1"/>
  <c r="U27" i="1"/>
  <c r="U29" i="1"/>
  <c r="J23" i="1"/>
  <c r="AB45" i="1"/>
  <c r="AA45" i="1"/>
  <c r="AB53" i="1"/>
  <c r="AA53" i="1"/>
  <c r="AB61" i="1"/>
  <c r="AA61" i="1"/>
  <c r="AB69" i="1"/>
  <c r="AA69" i="1"/>
  <c r="U70" i="1"/>
  <c r="U72" i="1"/>
  <c r="AB73" i="1"/>
  <c r="AA73" i="1"/>
  <c r="AE85" i="1"/>
  <c r="U85" i="1"/>
  <c r="F20" i="1"/>
  <c r="J20" i="1" s="1"/>
  <c r="U24" i="1"/>
  <c r="Z28" i="1"/>
  <c r="Z29" i="1"/>
  <c r="Z30" i="1"/>
  <c r="Z31" i="1"/>
  <c r="Z32" i="1"/>
  <c r="Z33" i="1"/>
  <c r="Z34" i="1"/>
  <c r="Z35" i="1"/>
  <c r="Z36" i="1"/>
  <c r="Z37" i="1"/>
  <c r="J40" i="1"/>
  <c r="AF40" i="1" s="1"/>
  <c r="U40" i="1"/>
  <c r="J42" i="1"/>
  <c r="AF42" i="1" s="1"/>
  <c r="U42" i="1"/>
  <c r="J44" i="1"/>
  <c r="AF44" i="1" s="1"/>
  <c r="U44" i="1"/>
  <c r="J46" i="1"/>
  <c r="AF46" i="1" s="1"/>
  <c r="U46" i="1"/>
  <c r="J48" i="1"/>
  <c r="AF48" i="1" s="1"/>
  <c r="U48" i="1"/>
  <c r="J50" i="1"/>
  <c r="AF50" i="1" s="1"/>
  <c r="U50" i="1"/>
  <c r="J52" i="1"/>
  <c r="AF52" i="1" s="1"/>
  <c r="U52" i="1"/>
  <c r="J54" i="1"/>
  <c r="AF54" i="1" s="1"/>
  <c r="U54" i="1"/>
  <c r="J56" i="1"/>
  <c r="AF56" i="1" s="1"/>
  <c r="U56" i="1"/>
  <c r="J58" i="1"/>
  <c r="AF58" i="1" s="1"/>
  <c r="U58" i="1"/>
  <c r="J60" i="1"/>
  <c r="AF60" i="1" s="1"/>
  <c r="U60" i="1"/>
  <c r="J62" i="1"/>
  <c r="AF62" i="1" s="1"/>
  <c r="U62" i="1"/>
  <c r="J64" i="1"/>
  <c r="AF64" i="1" s="1"/>
  <c r="U64" i="1"/>
  <c r="J66" i="1"/>
  <c r="AF66" i="1" s="1"/>
  <c r="U66" i="1"/>
  <c r="J68" i="1"/>
  <c r="AF68" i="1" s="1"/>
  <c r="U68" i="1"/>
  <c r="J71" i="1"/>
  <c r="AF71" i="1" s="1"/>
  <c r="U71" i="1"/>
  <c r="Z72" i="1"/>
  <c r="J75" i="1"/>
  <c r="AF75" i="1" s="1"/>
  <c r="U75" i="1"/>
  <c r="Z76" i="1"/>
  <c r="J79" i="1"/>
  <c r="AF79" i="1" s="1"/>
  <c r="U79" i="1"/>
  <c r="Z80" i="1"/>
  <c r="J83" i="1"/>
  <c r="AF83" i="1" s="1"/>
  <c r="U83" i="1"/>
  <c r="Z84" i="1"/>
  <c r="Z85" i="1"/>
  <c r="Z86" i="1"/>
  <c r="Z91" i="1"/>
  <c r="J93" i="1"/>
  <c r="AF93" i="1" s="1"/>
  <c r="U93" i="1"/>
  <c r="Z95" i="1"/>
  <c r="Z122" i="1"/>
  <c r="Z126" i="1"/>
  <c r="F19" i="1"/>
  <c r="J19" i="1" s="1"/>
  <c r="Z40" i="1"/>
  <c r="Z42" i="1"/>
  <c r="Z44" i="1"/>
  <c r="Z46" i="1"/>
  <c r="Z48" i="1"/>
  <c r="Z50" i="1"/>
  <c r="Z52" i="1"/>
  <c r="Z54" i="1"/>
  <c r="Z56" i="1"/>
  <c r="Z58" i="1"/>
  <c r="Z60" i="1"/>
  <c r="Z62" i="1"/>
  <c r="Z64" i="1"/>
  <c r="Z66" i="1"/>
  <c r="Z68" i="1"/>
  <c r="Z71" i="1"/>
  <c r="Z75" i="1"/>
  <c r="Z79" i="1"/>
  <c r="J82" i="1"/>
  <c r="AF82" i="1" s="1"/>
  <c r="J91" i="1"/>
  <c r="AF91" i="1" s="1"/>
  <c r="U91" i="1"/>
  <c r="Z94" i="1"/>
  <c r="J95" i="1"/>
  <c r="AF95" i="1" s="1"/>
  <c r="U95" i="1"/>
  <c r="Z96" i="1"/>
  <c r="Z97" i="1"/>
  <c r="Z103" i="1"/>
  <c r="Z106" i="1"/>
  <c r="Z135" i="1"/>
  <c r="Z38" i="1"/>
  <c r="Z70" i="1"/>
  <c r="Z74" i="1"/>
  <c r="Z78" i="1"/>
  <c r="Z87" i="1"/>
  <c r="AD90" i="1"/>
  <c r="J90" i="1"/>
  <c r="AF90" i="1" s="1"/>
  <c r="U90" i="1"/>
  <c r="AE98" i="1"/>
  <c r="U98" i="1"/>
  <c r="Z112" i="1"/>
  <c r="Z116" i="1"/>
  <c r="Z120" i="1"/>
  <c r="AE136" i="1"/>
  <c r="U136" i="1"/>
  <c r="AE137" i="1"/>
  <c r="U137" i="1"/>
  <c r="Z214" i="1"/>
  <c r="Z213" i="1"/>
  <c r="Z209" i="1"/>
  <c r="Z204" i="1"/>
  <c r="Z200" i="1"/>
  <c r="Z206" i="1"/>
  <c r="Z203" i="1"/>
  <c r="Z199" i="1"/>
  <c r="Z196" i="1"/>
  <c r="Z210" i="1"/>
  <c r="Z191" i="1"/>
  <c r="Z190" i="1"/>
  <c r="Z188" i="1"/>
  <c r="Z193" i="1"/>
  <c r="Z194" i="1"/>
  <c r="Z174" i="1"/>
  <c r="Z170" i="1"/>
  <c r="Z166" i="1"/>
  <c r="Z162" i="1"/>
  <c r="Z158" i="1"/>
  <c r="Z157" i="1"/>
  <c r="Z176" i="1"/>
  <c r="Z172" i="1"/>
  <c r="Z167" i="1"/>
  <c r="Z163" i="1"/>
  <c r="Z159" i="1"/>
  <c r="Z155" i="1"/>
  <c r="Z153" i="1"/>
  <c r="Z151" i="1"/>
  <c r="Z149" i="1"/>
  <c r="Z147" i="1"/>
  <c r="Z145" i="1"/>
  <c r="Z143" i="1"/>
  <c r="Z141" i="1"/>
  <c r="Z136" i="1"/>
  <c r="Z133" i="1"/>
  <c r="Z132" i="1"/>
  <c r="Z131" i="1"/>
  <c r="Z130" i="1"/>
  <c r="Z129" i="1"/>
  <c r="Z128" i="1"/>
  <c r="Z127" i="1"/>
  <c r="Z123" i="1"/>
  <c r="Z118" i="1"/>
  <c r="Z114" i="1"/>
  <c r="Z110" i="1"/>
  <c r="Z108" i="1"/>
  <c r="Z104" i="1"/>
  <c r="Z100" i="1"/>
  <c r="Z93" i="1"/>
  <c r="Z137" i="1"/>
  <c r="Z124" i="1"/>
  <c r="Z119" i="1"/>
  <c r="Z115" i="1"/>
  <c r="Z111" i="1"/>
  <c r="Z109" i="1"/>
  <c r="Z105" i="1"/>
  <c r="Z101" i="1"/>
  <c r="U28" i="1"/>
  <c r="J72" i="1"/>
  <c r="AF72" i="1" s="1"/>
  <c r="J76" i="1"/>
  <c r="AF76" i="1" s="1"/>
  <c r="J80" i="1"/>
  <c r="AF80" i="1" s="1"/>
  <c r="Z83" i="1"/>
  <c r="AD86" i="1"/>
  <c r="J86" i="1"/>
  <c r="AF86" i="1" s="1"/>
  <c r="U86" i="1"/>
  <c r="U87" i="1"/>
  <c r="Z88" i="1"/>
  <c r="Z89" i="1"/>
  <c r="Z90" i="1"/>
  <c r="Z92" i="1"/>
  <c r="AD98" i="1"/>
  <c r="J98" i="1"/>
  <c r="AF98" i="1" s="1"/>
  <c r="Z98" i="1"/>
  <c r="Z99" i="1"/>
  <c r="Z102" i="1"/>
  <c r="Z107" i="1"/>
  <c r="U111" i="1"/>
  <c r="Z113" i="1"/>
  <c r="U115" i="1"/>
  <c r="Z117" i="1"/>
  <c r="U119" i="1"/>
  <c r="Z121" i="1"/>
  <c r="Z125" i="1"/>
  <c r="Z134" i="1"/>
  <c r="AD138" i="1"/>
  <c r="J138" i="1"/>
  <c r="AF138" i="1" s="1"/>
  <c r="U138" i="1"/>
  <c r="Z156" i="1"/>
  <c r="U99" i="1"/>
  <c r="U103" i="1"/>
  <c r="U107" i="1"/>
  <c r="U113" i="1"/>
  <c r="U117" i="1"/>
  <c r="U121" i="1"/>
  <c r="U122" i="1"/>
  <c r="U126" i="1"/>
  <c r="U134" i="1"/>
  <c r="U135" i="1"/>
  <c r="Z138" i="1"/>
  <c r="Z140" i="1"/>
  <c r="U141" i="1"/>
  <c r="Z144" i="1"/>
  <c r="Z148" i="1"/>
  <c r="U158" i="1"/>
  <c r="Z161" i="1"/>
  <c r="J102" i="1"/>
  <c r="AF102" i="1" s="1"/>
  <c r="U102" i="1"/>
  <c r="J106" i="1"/>
  <c r="AF106" i="1" s="1"/>
  <c r="U106" i="1"/>
  <c r="J112" i="1"/>
  <c r="AF112" i="1" s="1"/>
  <c r="U112" i="1"/>
  <c r="J116" i="1"/>
  <c r="AF116" i="1" s="1"/>
  <c r="U116" i="1"/>
  <c r="J120" i="1"/>
  <c r="AF120" i="1" s="1"/>
  <c r="U120" i="1"/>
  <c r="J125" i="1"/>
  <c r="AF125" i="1" s="1"/>
  <c r="U125" i="1"/>
  <c r="AD139" i="1"/>
  <c r="J139" i="1"/>
  <c r="AF139" i="1" s="1"/>
  <c r="U139" i="1"/>
  <c r="Z146" i="1"/>
  <c r="Z152" i="1"/>
  <c r="Z154" i="1"/>
  <c r="J94" i="1"/>
  <c r="AF94" i="1" s="1"/>
  <c r="J96" i="1"/>
  <c r="AF96" i="1" s="1"/>
  <c r="J97" i="1"/>
  <c r="AF97" i="1" s="1"/>
  <c r="J101" i="1"/>
  <c r="AF101" i="1" s="1"/>
  <c r="J105" i="1"/>
  <c r="AF105" i="1" s="1"/>
  <c r="J109" i="1"/>
  <c r="AF109" i="1" s="1"/>
  <c r="J111" i="1"/>
  <c r="AF111" i="1" s="1"/>
  <c r="J115" i="1"/>
  <c r="AF115" i="1" s="1"/>
  <c r="J119" i="1"/>
  <c r="AF119" i="1" s="1"/>
  <c r="J124" i="1"/>
  <c r="AF124" i="1" s="1"/>
  <c r="Z139" i="1"/>
  <c r="Z142" i="1"/>
  <c r="U145" i="1"/>
  <c r="Z150" i="1"/>
  <c r="Z165" i="1"/>
  <c r="J147" i="1"/>
  <c r="AF147" i="1" s="1"/>
  <c r="U147" i="1"/>
  <c r="J149" i="1"/>
  <c r="AF149" i="1" s="1"/>
  <c r="U149" i="1"/>
  <c r="J151" i="1"/>
  <c r="AF151" i="1" s="1"/>
  <c r="U151" i="1"/>
  <c r="J153" i="1"/>
  <c r="AF153" i="1" s="1"/>
  <c r="U153" i="1"/>
  <c r="J155" i="1"/>
  <c r="AF155" i="1" s="1"/>
  <c r="U155" i="1"/>
  <c r="J159" i="1"/>
  <c r="AF159" i="1" s="1"/>
  <c r="U159" i="1"/>
  <c r="Z160" i="1"/>
  <c r="J163" i="1"/>
  <c r="AF163" i="1" s="1"/>
  <c r="U163" i="1"/>
  <c r="Z164" i="1"/>
  <c r="J167" i="1"/>
  <c r="AF167" i="1" s="1"/>
  <c r="U167" i="1"/>
  <c r="P238" i="1"/>
  <c r="P234" i="1"/>
  <c r="P223" i="1"/>
  <c r="P213" i="1"/>
  <c r="AE213" i="1" s="1"/>
  <c r="P209" i="1"/>
  <c r="AE209" i="1" s="1"/>
  <c r="P208" i="1"/>
  <c r="AE208" i="1" s="1"/>
  <c r="P202" i="1"/>
  <c r="AE202" i="1" s="1"/>
  <c r="P198" i="1"/>
  <c r="AE198" i="1" s="1"/>
  <c r="P192" i="1"/>
  <c r="AE192" i="1" s="1"/>
  <c r="P188" i="1"/>
  <c r="P194" i="1"/>
  <c r="P187" i="1"/>
  <c r="P186" i="1"/>
  <c r="P185" i="1"/>
  <c r="P184" i="1"/>
  <c r="P183" i="1"/>
  <c r="AE183" i="1" s="1"/>
  <c r="P182" i="1"/>
  <c r="AE182" i="1" s="1"/>
  <c r="Z168" i="1"/>
  <c r="Z169" i="1"/>
  <c r="P170" i="1"/>
  <c r="AD171" i="1"/>
  <c r="J171" i="1"/>
  <c r="AF171" i="1" s="1"/>
  <c r="Z171" i="1"/>
  <c r="P174" i="1"/>
  <c r="AD175" i="1"/>
  <c r="J175" i="1"/>
  <c r="AF175" i="1" s="1"/>
  <c r="Z175" i="1"/>
  <c r="P177" i="1"/>
  <c r="AE177" i="1" s="1"/>
  <c r="P179" i="1"/>
  <c r="AE179" i="1" s="1"/>
  <c r="Z184" i="1"/>
  <c r="Z186" i="1"/>
  <c r="Z187" i="1"/>
  <c r="P189" i="1"/>
  <c r="P191" i="1"/>
  <c r="AE191" i="1" s="1"/>
  <c r="U144" i="1"/>
  <c r="P168" i="1"/>
  <c r="U168" i="1" s="1"/>
  <c r="P173" i="1"/>
  <c r="AE173" i="1" s="1"/>
  <c r="AD177" i="1"/>
  <c r="J177" i="1"/>
  <c r="AF177" i="1" s="1"/>
  <c r="Z178" i="1"/>
  <c r="T179" i="1"/>
  <c r="P180" i="1"/>
  <c r="AE180" i="1" s="1"/>
  <c r="Z189" i="1"/>
  <c r="J146" i="1"/>
  <c r="AF146" i="1" s="1"/>
  <c r="U146" i="1"/>
  <c r="J148" i="1"/>
  <c r="AF148" i="1" s="1"/>
  <c r="U148" i="1"/>
  <c r="J150" i="1"/>
  <c r="AF150" i="1" s="1"/>
  <c r="U150" i="1"/>
  <c r="P172" i="1"/>
  <c r="AD173" i="1"/>
  <c r="J173" i="1"/>
  <c r="AF173" i="1" s="1"/>
  <c r="Z173" i="1"/>
  <c r="P176" i="1"/>
  <c r="Z185" i="1"/>
  <c r="J141" i="1"/>
  <c r="AF141" i="1" s="1"/>
  <c r="J143" i="1"/>
  <c r="AF143" i="1" s="1"/>
  <c r="J145" i="1"/>
  <c r="AF145" i="1" s="1"/>
  <c r="J160" i="1"/>
  <c r="AF160" i="1" s="1"/>
  <c r="J164" i="1"/>
  <c r="AF164" i="1" s="1"/>
  <c r="J169" i="1"/>
  <c r="AF169" i="1" s="1"/>
  <c r="P171" i="1"/>
  <c r="AE171" i="1" s="1"/>
  <c r="P175" i="1"/>
  <c r="AE175" i="1" s="1"/>
  <c r="P178" i="1"/>
  <c r="AE178" i="1" s="1"/>
  <c r="P181" i="1"/>
  <c r="AE181" i="1" s="1"/>
  <c r="P190" i="1"/>
  <c r="J188" i="1"/>
  <c r="AF188" i="1" s="1"/>
  <c r="J190" i="1"/>
  <c r="AF190" i="1" s="1"/>
  <c r="AD191" i="1"/>
  <c r="Z192" i="1"/>
  <c r="P195" i="1"/>
  <c r="P199" i="1"/>
  <c r="P201" i="1"/>
  <c r="AE201" i="1" s="1"/>
  <c r="Z202" i="1"/>
  <c r="P203" i="1"/>
  <c r="P205" i="1"/>
  <c r="U208" i="1"/>
  <c r="Z177" i="1"/>
  <c r="Z195" i="1"/>
  <c r="P197" i="1"/>
  <c r="AE197" i="1" s="1"/>
  <c r="Z205" i="1"/>
  <c r="P206" i="1"/>
  <c r="P193" i="1"/>
  <c r="AD194" i="1"/>
  <c r="J194" i="1"/>
  <c r="AF194" i="1" s="1"/>
  <c r="P196" i="1"/>
  <c r="U197" i="1"/>
  <c r="Z198" i="1"/>
  <c r="P204" i="1"/>
  <c r="Z207" i="1"/>
  <c r="P200" i="1"/>
  <c r="J196" i="1"/>
  <c r="AF196" i="1" s="1"/>
  <c r="Z197" i="1"/>
  <c r="U198" i="1"/>
  <c r="J199" i="1"/>
  <c r="AF199" i="1" s="1"/>
  <c r="Z201" i="1"/>
  <c r="U202" i="1"/>
  <c r="J203" i="1"/>
  <c r="AF203" i="1" s="1"/>
  <c r="J206" i="1"/>
  <c r="AF206" i="1" s="1"/>
  <c r="J207" i="1"/>
  <c r="AF207" i="1" s="1"/>
  <c r="U209" i="1"/>
  <c r="P211" i="1"/>
  <c r="U213" i="1"/>
  <c r="P214" i="1"/>
  <c r="U214" i="1" s="1"/>
  <c r="P220" i="1"/>
  <c r="P222" i="1"/>
  <c r="Z211" i="1"/>
  <c r="P212" i="1"/>
  <c r="AE212" i="1" s="1"/>
  <c r="T216" i="1"/>
  <c r="Z215" i="1"/>
  <c r="U215" i="1"/>
  <c r="P216" i="1"/>
  <c r="P217" i="1"/>
  <c r="P219" i="1"/>
  <c r="P207" i="1"/>
  <c r="AE207" i="1" s="1"/>
  <c r="P210" i="1"/>
  <c r="Z212" i="1"/>
  <c r="P215" i="1"/>
  <c r="Z208" i="1"/>
  <c r="AD209" i="1"/>
  <c r="J209" i="1"/>
  <c r="AF209" i="1" s="1"/>
  <c r="J210" i="1"/>
  <c r="AF210" i="1" s="1"/>
  <c r="AD210" i="1"/>
  <c r="P218" i="1"/>
  <c r="P221" i="1"/>
  <c r="P224" i="1"/>
  <c r="P225" i="1"/>
  <c r="AR226" i="1"/>
  <c r="P228" i="1"/>
  <c r="P229" i="1"/>
  <c r="AR230" i="1"/>
  <c r="P231" i="1"/>
  <c r="P226" i="1"/>
  <c r="AR228" i="1"/>
  <c r="AR229" i="1"/>
  <c r="AR231" i="1"/>
  <c r="P232" i="1"/>
  <c r="J213" i="1"/>
  <c r="AF213" i="1" s="1"/>
  <c r="H216" i="1"/>
  <c r="AR225" i="1"/>
  <c r="P227" i="1"/>
  <c r="AR232" i="1"/>
  <c r="AR227" i="1"/>
  <c r="P230" i="1"/>
  <c r="AR236" i="1"/>
  <c r="AS229" i="1" s="1"/>
  <c r="AR239" i="1"/>
  <c r="AS232" i="1" s="1"/>
  <c r="P242" i="1"/>
  <c r="P233" i="1"/>
  <c r="AR238" i="1"/>
  <c r="AS231" i="1" s="1"/>
  <c r="AR241" i="1"/>
  <c r="AS234" i="1" s="1"/>
  <c r="AR242" i="1"/>
  <c r="AS235" i="1" s="1"/>
  <c r="P243" i="1"/>
  <c r="AR233" i="1"/>
  <c r="AR234" i="1"/>
  <c r="AR235" i="1"/>
  <c r="P237" i="1"/>
  <c r="P240" i="1"/>
  <c r="AR243" i="1"/>
  <c r="AS236" i="1" s="1"/>
  <c r="P235" i="1"/>
  <c r="P236" i="1"/>
  <c r="AR237" i="1"/>
  <c r="AS230" i="1" s="1"/>
  <c r="P239" i="1"/>
  <c r="AR240" i="1"/>
  <c r="AS233" i="1" s="1"/>
  <c r="P241" i="1"/>
  <c r="P244" i="1"/>
  <c r="P248" i="1"/>
  <c r="AR244" i="1"/>
  <c r="AS237" i="1" s="1"/>
  <c r="P245" i="1"/>
  <c r="P246" i="1"/>
  <c r="AR248" i="1"/>
  <c r="AS241" i="1" s="1"/>
  <c r="AR252" i="1"/>
  <c r="AS245" i="1" s="1"/>
  <c r="AR255" i="1"/>
  <c r="AS248" i="1" s="1"/>
  <c r="AR258" i="1"/>
  <c r="AS251" i="1" s="1"/>
  <c r="AR262" i="1"/>
  <c r="AS255" i="1" s="1"/>
  <c r="AR245" i="1"/>
  <c r="AS238" i="1" s="1"/>
  <c r="AR246" i="1"/>
  <c r="AS239" i="1" s="1"/>
  <c r="P247" i="1"/>
  <c r="AR251" i="1"/>
  <c r="AS244" i="1" s="1"/>
  <c r="AR253" i="1"/>
  <c r="AS246" i="1" s="1"/>
  <c r="AR259" i="1"/>
  <c r="AS252" i="1" s="1"/>
  <c r="AR263" i="1"/>
  <c r="AS256" i="1" s="1"/>
  <c r="AR247" i="1"/>
  <c r="AS240" i="1" s="1"/>
  <c r="AR250" i="1"/>
  <c r="AS243" i="1" s="1"/>
  <c r="AR254" i="1"/>
  <c r="AS247" i="1" s="1"/>
  <c r="AR260" i="1"/>
  <c r="AS253" i="1" s="1"/>
  <c r="AR249" i="1"/>
  <c r="AS242" i="1" s="1"/>
  <c r="AR257" i="1"/>
  <c r="AS250" i="1" s="1"/>
  <c r="AR256" i="1"/>
  <c r="AS249" i="1" s="1"/>
  <c r="AR261" i="1"/>
  <c r="AS254" i="1" s="1"/>
  <c r="J18" i="1" l="1"/>
  <c r="U212" i="1"/>
  <c r="U192" i="1"/>
  <c r="U127" i="1"/>
  <c r="U166" i="1"/>
  <c r="U201" i="1"/>
  <c r="U173" i="1"/>
  <c r="U169" i="1"/>
  <c r="U210" i="1"/>
  <c r="AE210" i="1"/>
  <c r="AB201" i="1"/>
  <c r="AA201" i="1"/>
  <c r="AE200" i="1"/>
  <c r="U200" i="1"/>
  <c r="AE204" i="1"/>
  <c r="U204" i="1"/>
  <c r="AE206" i="1"/>
  <c r="U206" i="1"/>
  <c r="AA195" i="1"/>
  <c r="AB195" i="1"/>
  <c r="AE203" i="1"/>
  <c r="U203" i="1"/>
  <c r="AB185" i="1"/>
  <c r="AA185" i="1"/>
  <c r="AE172" i="1"/>
  <c r="U172" i="1"/>
  <c r="AB189" i="1"/>
  <c r="AA189" i="1"/>
  <c r="AB178" i="1"/>
  <c r="AA178" i="1"/>
  <c r="AB186" i="1"/>
  <c r="AA186" i="1"/>
  <c r="AB175" i="1"/>
  <c r="AA175" i="1"/>
  <c r="AB169" i="1"/>
  <c r="AA169" i="1"/>
  <c r="U187" i="1"/>
  <c r="AE187" i="1"/>
  <c r="AB165" i="1"/>
  <c r="AA165" i="1"/>
  <c r="AB150" i="1"/>
  <c r="AA150" i="1"/>
  <c r="AA142" i="1"/>
  <c r="AB142" i="1"/>
  <c r="AB146" i="1"/>
  <c r="AA146" i="1"/>
  <c r="AB148" i="1"/>
  <c r="AA148" i="1"/>
  <c r="AA144" i="1"/>
  <c r="AB144" i="1"/>
  <c r="AA121" i="1"/>
  <c r="AB121" i="1"/>
  <c r="AA117" i="1"/>
  <c r="AB117" i="1"/>
  <c r="AA113" i="1"/>
  <c r="AB113" i="1"/>
  <c r="AA107" i="1"/>
  <c r="AB107" i="1"/>
  <c r="AA99" i="1"/>
  <c r="AB99" i="1"/>
  <c r="AA92" i="1"/>
  <c r="AB92" i="1"/>
  <c r="AB83" i="1"/>
  <c r="AA83" i="1"/>
  <c r="AB111" i="1"/>
  <c r="AA111" i="1"/>
  <c r="AB137" i="1"/>
  <c r="AA137" i="1"/>
  <c r="AB108" i="1"/>
  <c r="AA108" i="1"/>
  <c r="AB123" i="1"/>
  <c r="AA123" i="1"/>
  <c r="AB130" i="1"/>
  <c r="AA130" i="1"/>
  <c r="AB136" i="1"/>
  <c r="AA136" i="1"/>
  <c r="AB147" i="1"/>
  <c r="AA147" i="1"/>
  <c r="AB155" i="1"/>
  <c r="AA155" i="1"/>
  <c r="AB172" i="1"/>
  <c r="AA172" i="1"/>
  <c r="AA162" i="1"/>
  <c r="AB162" i="1"/>
  <c r="AB194" i="1"/>
  <c r="AA194" i="1"/>
  <c r="AA191" i="1"/>
  <c r="AB191" i="1"/>
  <c r="AA203" i="1"/>
  <c r="AB203" i="1"/>
  <c r="AB209" i="1"/>
  <c r="AA209" i="1"/>
  <c r="AB120" i="1"/>
  <c r="AA120" i="1"/>
  <c r="AB87" i="1"/>
  <c r="AA87" i="1"/>
  <c r="AA74" i="1"/>
  <c r="AB74" i="1"/>
  <c r="AA135" i="1"/>
  <c r="AB135" i="1"/>
  <c r="AA97" i="1"/>
  <c r="AB97" i="1"/>
  <c r="AA94" i="1"/>
  <c r="AB94" i="1"/>
  <c r="AB79" i="1"/>
  <c r="AA79" i="1"/>
  <c r="AB66" i="1"/>
  <c r="AA66" i="1"/>
  <c r="AB58" i="1"/>
  <c r="AA58" i="1"/>
  <c r="AB50" i="1"/>
  <c r="AA50" i="1"/>
  <c r="AB42" i="1"/>
  <c r="AA42" i="1"/>
  <c r="AA126" i="1"/>
  <c r="AB126" i="1"/>
  <c r="AB95" i="1"/>
  <c r="AA95" i="1"/>
  <c r="AB86" i="1"/>
  <c r="AA86" i="1"/>
  <c r="AB80" i="1"/>
  <c r="AA80" i="1"/>
  <c r="AB76" i="1"/>
  <c r="AA76" i="1"/>
  <c r="AB72" i="1"/>
  <c r="AA72" i="1"/>
  <c r="AB34" i="1"/>
  <c r="AA34" i="1"/>
  <c r="AB30" i="1"/>
  <c r="AA30" i="1"/>
  <c r="AA211" i="1"/>
  <c r="AB211" i="1"/>
  <c r="AB202" i="1"/>
  <c r="AA202" i="1"/>
  <c r="U177" i="1"/>
  <c r="AA173" i="1"/>
  <c r="AB173" i="1"/>
  <c r="AB184" i="1"/>
  <c r="AA184" i="1"/>
  <c r="U171" i="1"/>
  <c r="U170" i="1"/>
  <c r="AE170" i="1"/>
  <c r="U184" i="1"/>
  <c r="AE184" i="1"/>
  <c r="U194" i="1"/>
  <c r="AE194" i="1"/>
  <c r="AB164" i="1"/>
  <c r="AA164" i="1"/>
  <c r="AB154" i="1"/>
  <c r="AA154" i="1"/>
  <c r="AB138" i="1"/>
  <c r="AA138" i="1"/>
  <c r="AB156" i="1"/>
  <c r="AA156" i="1"/>
  <c r="AB125" i="1"/>
  <c r="AA125" i="1"/>
  <c r="AB102" i="1"/>
  <c r="AA102" i="1"/>
  <c r="AB98" i="1"/>
  <c r="AA98" i="1"/>
  <c r="AB90" i="1"/>
  <c r="AA90" i="1"/>
  <c r="AB101" i="1"/>
  <c r="AA101" i="1"/>
  <c r="AB115" i="1"/>
  <c r="AA115" i="1"/>
  <c r="AB93" i="1"/>
  <c r="AA93" i="1"/>
  <c r="AB110" i="1"/>
  <c r="AA110" i="1"/>
  <c r="AB127" i="1"/>
  <c r="AA127" i="1"/>
  <c r="AB131" i="1"/>
  <c r="AA131" i="1"/>
  <c r="AA141" i="1"/>
  <c r="AB141" i="1"/>
  <c r="AB149" i="1"/>
  <c r="AA149" i="1"/>
  <c r="AB159" i="1"/>
  <c r="AA159" i="1"/>
  <c r="AB176" i="1"/>
  <c r="AA176" i="1"/>
  <c r="AA166" i="1"/>
  <c r="AB166" i="1"/>
  <c r="AB193" i="1"/>
  <c r="AA193" i="1"/>
  <c r="AB210" i="1"/>
  <c r="AA210" i="1"/>
  <c r="AA206" i="1"/>
  <c r="AB206" i="1"/>
  <c r="AB213" i="1"/>
  <c r="AA213" i="1"/>
  <c r="AB116" i="1"/>
  <c r="AA116" i="1"/>
  <c r="AA96" i="1"/>
  <c r="AB96" i="1"/>
  <c r="AB75" i="1"/>
  <c r="AA75" i="1"/>
  <c r="AB64" i="1"/>
  <c r="AA64" i="1"/>
  <c r="AB56" i="1"/>
  <c r="AA56" i="1"/>
  <c r="AB48" i="1"/>
  <c r="AA48" i="1"/>
  <c r="AB40" i="1"/>
  <c r="AA40" i="1"/>
  <c r="AB37" i="1"/>
  <c r="AA37" i="1"/>
  <c r="AB33" i="1"/>
  <c r="AA33" i="1"/>
  <c r="AB29" i="1"/>
  <c r="AA29" i="1"/>
  <c r="AB212" i="1"/>
  <c r="AA212" i="1"/>
  <c r="AB215" i="1"/>
  <c r="AA215" i="1"/>
  <c r="AB197" i="1"/>
  <c r="AA197" i="1"/>
  <c r="AA207" i="1"/>
  <c r="AB207" i="1"/>
  <c r="AE196" i="1"/>
  <c r="U196" i="1"/>
  <c r="AE193" i="1"/>
  <c r="U193" i="1"/>
  <c r="AB205" i="1"/>
  <c r="AA205" i="1"/>
  <c r="AB177" i="1"/>
  <c r="AA177" i="1"/>
  <c r="AE199" i="1"/>
  <c r="U199" i="1"/>
  <c r="AE195" i="1"/>
  <c r="U195" i="1"/>
  <c r="AE190" i="1"/>
  <c r="U190" i="1"/>
  <c r="AE176" i="1"/>
  <c r="U176" i="1"/>
  <c r="U191" i="1"/>
  <c r="Z179" i="1"/>
  <c r="U179" i="1"/>
  <c r="T180" i="1"/>
  <c r="AB187" i="1"/>
  <c r="AA187" i="1"/>
  <c r="AB171" i="1"/>
  <c r="AA171" i="1"/>
  <c r="AB168" i="1"/>
  <c r="AA168" i="1"/>
  <c r="U185" i="1"/>
  <c r="AE185" i="1"/>
  <c r="AE188" i="1"/>
  <c r="U188" i="1"/>
  <c r="AB139" i="1"/>
  <c r="AA139" i="1"/>
  <c r="AB152" i="1"/>
  <c r="AA152" i="1"/>
  <c r="AB161" i="1"/>
  <c r="AA161" i="1"/>
  <c r="AA140" i="1"/>
  <c r="AB140" i="1"/>
  <c r="AB89" i="1"/>
  <c r="AA89" i="1"/>
  <c r="AB105" i="1"/>
  <c r="AA105" i="1"/>
  <c r="AB119" i="1"/>
  <c r="AA119" i="1"/>
  <c r="AB100" i="1"/>
  <c r="AA100" i="1"/>
  <c r="AB114" i="1"/>
  <c r="AA114" i="1"/>
  <c r="AB128" i="1"/>
  <c r="AA128" i="1"/>
  <c r="AB132" i="1"/>
  <c r="AA132" i="1"/>
  <c r="AB143" i="1"/>
  <c r="AA143" i="1"/>
  <c r="AB151" i="1"/>
  <c r="AA151" i="1"/>
  <c r="AB163" i="1"/>
  <c r="AA163" i="1"/>
  <c r="AA157" i="1"/>
  <c r="AB157" i="1"/>
  <c r="AB170" i="1"/>
  <c r="AA170" i="1"/>
  <c r="AA188" i="1"/>
  <c r="AB188" i="1"/>
  <c r="AA196" i="1"/>
  <c r="AB196" i="1"/>
  <c r="AB200" i="1"/>
  <c r="AA200" i="1"/>
  <c r="AB214" i="1"/>
  <c r="AA214" i="1"/>
  <c r="AB112" i="1"/>
  <c r="AA112" i="1"/>
  <c r="AA78" i="1"/>
  <c r="AB78" i="1"/>
  <c r="AA70" i="1"/>
  <c r="AB70" i="1"/>
  <c r="AB71" i="1"/>
  <c r="AA71" i="1"/>
  <c r="AB62" i="1"/>
  <c r="AA62" i="1"/>
  <c r="AB54" i="1"/>
  <c r="AA54" i="1"/>
  <c r="AB46" i="1"/>
  <c r="AA46" i="1"/>
  <c r="AB85" i="1"/>
  <c r="AA85" i="1"/>
  <c r="AB36" i="1"/>
  <c r="AA36" i="1"/>
  <c r="AB32" i="1"/>
  <c r="AA32" i="1"/>
  <c r="AB28" i="1"/>
  <c r="AA28" i="1"/>
  <c r="J216" i="1"/>
  <c r="AF216" i="1" s="1"/>
  <c r="H217" i="1"/>
  <c r="AB208" i="1"/>
  <c r="AA208" i="1"/>
  <c r="T217" i="1"/>
  <c r="Z216" i="1"/>
  <c r="U216" i="1"/>
  <c r="AE211" i="1"/>
  <c r="U211" i="1"/>
  <c r="U207" i="1"/>
  <c r="AB198" i="1"/>
  <c r="AA198" i="1"/>
  <c r="U205" i="1"/>
  <c r="AE205" i="1"/>
  <c r="AB192" i="1"/>
  <c r="AA192" i="1"/>
  <c r="U178" i="1"/>
  <c r="U189" i="1"/>
  <c r="AE189" i="1"/>
  <c r="U175" i="1"/>
  <c r="U174" i="1"/>
  <c r="AE174" i="1"/>
  <c r="U186" i="1"/>
  <c r="AE186" i="1"/>
  <c r="AB160" i="1"/>
  <c r="AA160" i="1"/>
  <c r="AA134" i="1"/>
  <c r="AB134" i="1"/>
  <c r="AA88" i="1"/>
  <c r="AB88" i="1"/>
  <c r="AB109" i="1"/>
  <c r="AA109" i="1"/>
  <c r="AB124" i="1"/>
  <c r="AA124" i="1"/>
  <c r="AB104" i="1"/>
  <c r="AA104" i="1"/>
  <c r="AB118" i="1"/>
  <c r="AA118" i="1"/>
  <c r="AB129" i="1"/>
  <c r="AA129" i="1"/>
  <c r="AB133" i="1"/>
  <c r="AA133" i="1"/>
  <c r="AB145" i="1"/>
  <c r="AA145" i="1"/>
  <c r="AB153" i="1"/>
  <c r="AA153" i="1"/>
  <c r="AB167" i="1"/>
  <c r="AA167" i="1"/>
  <c r="AA158" i="1"/>
  <c r="AB158" i="1"/>
  <c r="AB174" i="1"/>
  <c r="AA174" i="1"/>
  <c r="AA190" i="1"/>
  <c r="AB190" i="1"/>
  <c r="AA199" i="1"/>
  <c r="AB199" i="1"/>
  <c r="AB204" i="1"/>
  <c r="AA204" i="1"/>
  <c r="AA38" i="1"/>
  <c r="AB38" i="1"/>
  <c r="AB106" i="1"/>
  <c r="AA106" i="1"/>
  <c r="AA103" i="1"/>
  <c r="AB103" i="1"/>
  <c r="AB68" i="1"/>
  <c r="AA68" i="1"/>
  <c r="AB60" i="1"/>
  <c r="AA60" i="1"/>
  <c r="AB52" i="1"/>
  <c r="AA52" i="1"/>
  <c r="AB44" i="1"/>
  <c r="AA44" i="1"/>
  <c r="AA122" i="1"/>
  <c r="AB122" i="1"/>
  <c r="AB91" i="1"/>
  <c r="AA91" i="1"/>
  <c r="AA84" i="1"/>
  <c r="AB84" i="1"/>
  <c r="AB35" i="1"/>
  <c r="AA35" i="1"/>
  <c r="AB31" i="1"/>
  <c r="AA31" i="1"/>
  <c r="Z180" i="1" l="1"/>
  <c r="U180" i="1"/>
  <c r="T181" i="1"/>
  <c r="AB216" i="1"/>
  <c r="AA216" i="1"/>
  <c r="H218" i="1"/>
  <c r="J217" i="1"/>
  <c r="AF217" i="1" s="1"/>
  <c r="Z217" i="1"/>
  <c r="T218" i="1"/>
  <c r="U217" i="1"/>
  <c r="AB179" i="1"/>
  <c r="AA179" i="1"/>
  <c r="Z218" i="1" l="1"/>
  <c r="U218" i="1"/>
  <c r="T219" i="1"/>
  <c r="AB217" i="1"/>
  <c r="AA217" i="1"/>
  <c r="AB180" i="1"/>
  <c r="AA180" i="1"/>
  <c r="H219" i="1"/>
  <c r="J218" i="1"/>
  <c r="AF218" i="1" s="1"/>
  <c r="Z181" i="1"/>
  <c r="T182" i="1"/>
  <c r="U181" i="1"/>
  <c r="U182" i="1" l="1"/>
  <c r="T183" i="1"/>
  <c r="Z182" i="1"/>
  <c r="H220" i="1"/>
  <c r="J219" i="1"/>
  <c r="AF219" i="1" s="1"/>
  <c r="Z219" i="1"/>
  <c r="U219" i="1"/>
  <c r="T220" i="1"/>
  <c r="AB181" i="1"/>
  <c r="AA181" i="1"/>
  <c r="AA218" i="1"/>
  <c r="AB218" i="1"/>
  <c r="H221" i="1" l="1"/>
  <c r="J220" i="1"/>
  <c r="AF220" i="1" s="1"/>
  <c r="Z220" i="1"/>
  <c r="U220" i="1"/>
  <c r="T221" i="1"/>
  <c r="AB182" i="1"/>
  <c r="AA182" i="1"/>
  <c r="U183" i="1"/>
  <c r="Z183" i="1"/>
  <c r="AA219" i="1"/>
  <c r="AB219" i="1"/>
  <c r="AB183" i="1" l="1"/>
  <c r="AA183" i="1"/>
  <c r="Z221" i="1"/>
  <c r="T222" i="1"/>
  <c r="U221" i="1"/>
  <c r="H222" i="1"/>
  <c r="J221" i="1"/>
  <c r="AF221" i="1" s="1"/>
  <c r="AA220" i="1"/>
  <c r="AB220" i="1"/>
  <c r="AA221" i="1" l="1"/>
  <c r="AB221" i="1"/>
  <c r="H223" i="1"/>
  <c r="J222" i="1"/>
  <c r="AF222" i="1" s="1"/>
  <c r="Z222" i="1"/>
  <c r="T223" i="1"/>
  <c r="U222" i="1"/>
  <c r="AB222" i="1" l="1"/>
  <c r="AA222" i="1"/>
  <c r="J223" i="1"/>
  <c r="AF223" i="1" s="1"/>
  <c r="H224" i="1"/>
  <c r="U223" i="1"/>
  <c r="T224" i="1"/>
  <c r="Z223" i="1"/>
  <c r="H225" i="1" l="1"/>
  <c r="J224" i="1"/>
  <c r="AF224" i="1" s="1"/>
  <c r="AB223" i="1"/>
  <c r="AA223" i="1"/>
  <c r="Z224" i="1"/>
  <c r="U224" i="1"/>
  <c r="T225" i="1"/>
  <c r="AB224" i="1" l="1"/>
  <c r="AA224" i="1"/>
  <c r="T226" i="1"/>
  <c r="Z225" i="1"/>
  <c r="U225" i="1"/>
  <c r="H226" i="1"/>
  <c r="J225" i="1"/>
  <c r="AF225" i="1" s="1"/>
  <c r="AA225" i="1" l="1"/>
  <c r="AB225" i="1"/>
  <c r="T227" i="1"/>
  <c r="Z226" i="1"/>
  <c r="U226" i="1"/>
  <c r="H227" i="1"/>
  <c r="J226" i="1"/>
  <c r="AF226" i="1" s="1"/>
  <c r="T228" i="1" l="1"/>
  <c r="Z227" i="1"/>
  <c r="U227" i="1"/>
  <c r="AA226" i="1"/>
  <c r="AB226" i="1"/>
  <c r="J227" i="1"/>
  <c r="AF227" i="1" s="1"/>
  <c r="H228" i="1"/>
  <c r="AB227" i="1" l="1"/>
  <c r="AA227" i="1"/>
  <c r="U228" i="1"/>
  <c r="T229" i="1"/>
  <c r="Z228" i="1"/>
  <c r="H229" i="1"/>
  <c r="J228" i="1"/>
  <c r="AF228" i="1" s="1"/>
  <c r="H230" i="1" l="1"/>
  <c r="J229" i="1"/>
  <c r="AF229" i="1" s="1"/>
  <c r="Z229" i="1"/>
  <c r="U229" i="1"/>
  <c r="T230" i="1"/>
  <c r="AB228" i="1"/>
  <c r="AA228" i="1"/>
  <c r="AA229" i="1" l="1"/>
  <c r="AB229" i="1"/>
  <c r="T231" i="1"/>
  <c r="Z230" i="1"/>
  <c r="U230" i="1"/>
  <c r="H231" i="1"/>
  <c r="J230" i="1"/>
  <c r="AF230" i="1" s="1"/>
  <c r="AA230" i="1" l="1"/>
  <c r="AB230" i="1"/>
  <c r="T232" i="1"/>
  <c r="Z231" i="1"/>
  <c r="U231" i="1"/>
  <c r="J231" i="1"/>
  <c r="AF231" i="1" s="1"/>
  <c r="H232" i="1"/>
  <c r="H233" i="1" l="1"/>
  <c r="J232" i="1"/>
  <c r="AF232" i="1" s="1"/>
  <c r="U232" i="1"/>
  <c r="T233" i="1"/>
  <c r="Z232" i="1"/>
  <c r="AB231" i="1"/>
  <c r="AA231" i="1"/>
  <c r="AB232" i="1" l="1"/>
  <c r="AA232" i="1"/>
  <c r="Z233" i="1"/>
  <c r="T234" i="1"/>
  <c r="U233" i="1"/>
  <c r="H234" i="1"/>
  <c r="J233" i="1"/>
  <c r="AF233" i="1" s="1"/>
  <c r="Z234" i="1" l="1"/>
  <c r="U234" i="1"/>
  <c r="T235" i="1"/>
  <c r="H235" i="1"/>
  <c r="J234" i="1"/>
  <c r="AF234" i="1" s="1"/>
  <c r="AA233" i="1"/>
  <c r="AB233" i="1"/>
  <c r="H236" i="1" l="1"/>
  <c r="J235" i="1"/>
  <c r="AF235" i="1" s="1"/>
  <c r="AB234" i="1"/>
  <c r="AA234" i="1"/>
  <c r="U235" i="1"/>
  <c r="T236" i="1"/>
  <c r="Z235" i="1"/>
  <c r="Z236" i="1" l="1"/>
  <c r="U236" i="1"/>
  <c r="T237" i="1"/>
  <c r="H237" i="1"/>
  <c r="J236" i="1"/>
  <c r="AF236" i="1" s="1"/>
  <c r="AA235" i="1"/>
  <c r="AB235" i="1"/>
  <c r="AB236" i="1" l="1"/>
  <c r="AA236" i="1"/>
  <c r="T238" i="1"/>
  <c r="Z237" i="1"/>
  <c r="U237" i="1"/>
  <c r="H238" i="1"/>
  <c r="J237" i="1"/>
  <c r="AF237" i="1" s="1"/>
  <c r="T239" i="1" l="1"/>
  <c r="Z238" i="1"/>
  <c r="U238" i="1"/>
  <c r="J238" i="1"/>
  <c r="AF238" i="1" s="1"/>
  <c r="H239" i="1"/>
  <c r="AA237" i="1"/>
  <c r="AB237" i="1"/>
  <c r="U239" i="1" l="1"/>
  <c r="T240" i="1"/>
  <c r="Z239" i="1"/>
  <c r="J239" i="1"/>
  <c r="AF239" i="1" s="1"/>
  <c r="H240" i="1"/>
  <c r="AB238" i="1"/>
  <c r="AA238" i="1"/>
  <c r="H241" i="1" l="1"/>
  <c r="J240" i="1"/>
  <c r="AF240" i="1" s="1"/>
  <c r="AB239" i="1"/>
  <c r="AA239" i="1"/>
  <c r="T241" i="1"/>
  <c r="Z240" i="1"/>
  <c r="U240" i="1"/>
  <c r="AB240" i="1" l="1"/>
  <c r="AA240" i="1"/>
  <c r="T242" i="1"/>
  <c r="Z241" i="1"/>
  <c r="U241" i="1"/>
  <c r="J241" i="1"/>
  <c r="AF241" i="1" s="1"/>
  <c r="H242" i="1"/>
  <c r="AB241" i="1" l="1"/>
  <c r="AA241" i="1"/>
  <c r="T243" i="1"/>
  <c r="U242" i="1"/>
  <c r="Z242" i="1"/>
  <c r="H243" i="1"/>
  <c r="J242" i="1"/>
  <c r="AF242" i="1" s="1"/>
  <c r="AB242" i="1" l="1"/>
  <c r="AA242" i="1"/>
  <c r="H244" i="1"/>
  <c r="J243" i="1"/>
  <c r="AF243" i="1" s="1"/>
  <c r="T244" i="1"/>
  <c r="U243" i="1"/>
  <c r="Z243" i="1"/>
  <c r="AB243" i="1" l="1"/>
  <c r="AA243" i="1"/>
  <c r="H245" i="1"/>
  <c r="J244" i="1"/>
  <c r="AF244" i="1" s="1"/>
  <c r="U244" i="1"/>
  <c r="T245" i="1"/>
  <c r="Z244" i="1"/>
  <c r="U245" i="1" l="1"/>
  <c r="Z245" i="1"/>
  <c r="T246" i="1"/>
  <c r="AB244" i="1"/>
  <c r="AA244" i="1"/>
  <c r="J245" i="1"/>
  <c r="AF245" i="1" s="1"/>
  <c r="H246" i="1"/>
  <c r="J246" i="1" l="1"/>
  <c r="AF246" i="1" s="1"/>
  <c r="H247" i="1"/>
  <c r="AE13" i="1"/>
  <c r="T247" i="1"/>
  <c r="Z246" i="1"/>
  <c r="U246" i="1"/>
  <c r="AB245" i="1"/>
  <c r="AA245" i="1"/>
  <c r="AA246" i="1" l="1"/>
  <c r="AB246" i="1"/>
  <c r="J247" i="1"/>
  <c r="AF247" i="1" s="1"/>
  <c r="H248" i="1"/>
  <c r="T248" i="1"/>
  <c r="Z247" i="1"/>
  <c r="U247" i="1"/>
  <c r="AB247" i="1" l="1"/>
  <c r="AA247" i="1"/>
  <c r="U248" i="1"/>
  <c r="T14" i="1"/>
  <c r="J248" i="1"/>
  <c r="H249" i="1"/>
  <c r="H6" i="1"/>
</calcChain>
</file>

<file path=xl/comments1.xml><?xml version="1.0" encoding="utf-8"?>
<comments xmlns="http://schemas.openxmlformats.org/spreadsheetml/2006/main">
  <authors>
    <author>shaikh</author>
    <author>Anwar Shaikh</author>
    <author>Fujitsu</author>
    <author>Administrator</author>
  </authors>
  <commentList>
    <comment ref="R15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Taken from MacroHistory Data Base, monthly, and converted to annual via Eviews files. See UKWPI1885_1951monthly.xls, and UKWPI1885_1951monthly.wf1 and UKWPI1885_1951annual.wf1</t>
        </r>
      </text>
    </comment>
    <comment ref="H17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1800-1976, Jastram, Roy (1977), The Golden Constant: The English and American Experience, 1560-1976, John Wiley and Sons, Inc., New York: Table 7, pp. 145-46. Note that 
WPI corresponds to all commodities, not just finished goods. BLS does not seem to produce "All commodities" any more? See BLS site, methods, ch 14.</t>
        </r>
      </text>
    </comment>
    <comment ref="T17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1800-1976, Jastram, Roy (1977), The Golden Constant: The English and American Experience, 1560-1976, John Wiley and Sons, Inc., New York: Table 2, pp. 30-33</t>
        </r>
      </text>
    </comment>
    <comment ref="A18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KONDRATIEFF'S FAMOUS PRICE CHART BEGINS IN 1780, SO I HAVE USED THE SAME STARTING POINT (KONDRATIEFF, LONG WAVE CYCLE, 1984, CHART 1, p. 39)</t>
        </r>
      </text>
    </comment>
    <comment ref="C18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For 1780-1785, from Sahr, http://oregonstate.edu/cla/polisci/download-conversion-factors</t>
        </r>
      </text>
    </comment>
    <comment ref="F18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Estimated using UK gold price and 1786 UK/UK gold price ratio</t>
        </r>
      </text>
    </comment>
    <comment ref="H18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1786-1790 using CPI and 1790 ratio of WPI/CPI </t>
        </r>
      </text>
    </comment>
    <comment ref="P18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1780-1785 from Jastram, Golden Constant, Table 2, p. 30</t>
        </r>
      </text>
    </comment>
    <comment ref="H24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1786-1790 using CPI and 1790 ratio of WPI/CPI </t>
        </r>
      </text>
    </comment>
    <comment ref="P35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missing in Jastram, filled in as = 100</t>
        </r>
      </text>
    </comment>
    <comment ref="AL63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"first real industrial crisis", pp. 16-18</t>
        </r>
      </text>
    </comment>
    <comment ref="AL85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1847-1853
Flamant .. pp. 21-23</t>
        </r>
      </text>
    </comment>
    <comment ref="AL111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"Long Depression" see ...</t>
        </r>
      </text>
    </comment>
    <comment ref="AE168" authorId="2">
      <text>
        <r>
          <rPr>
            <b/>
            <sz val="8"/>
            <color indexed="81"/>
            <rFont val="Tahoma"/>
            <family val="2"/>
          </rPr>
          <t>Fujitsu:</t>
        </r>
        <r>
          <rPr>
            <sz val="8"/>
            <color indexed="81"/>
            <rFont val="Tahoma"/>
            <family val="2"/>
          </rPr>
          <t xml:space="preserve">
3 pounds 17 s 10.5, in Golden Constant, Jastrow, p. 50</t>
        </r>
      </text>
    </comment>
    <comment ref="Q177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1939-45 is missing in Jastram</t>
        </r>
      </text>
    </comment>
    <comment ref="T177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UK enters WWII 1939
Using growth rates from UKWPIhistorical, from  NBER Macrohistory database</t>
        </r>
      </text>
    </comment>
    <comment ref="H179" authorId="2">
      <text>
        <r>
          <rPr>
            <b/>
            <sz val="8"/>
            <color indexed="81"/>
            <rFont val="Tahoma"/>
            <family val="2"/>
          </rPr>
          <t>Fujitsu:</t>
        </r>
        <r>
          <rPr>
            <sz val="8"/>
            <color indexed="81"/>
            <rFont val="Tahoma"/>
            <family val="2"/>
          </rPr>
          <t xml:space="preserve">
US enters WWII Dec 1941</t>
        </r>
      </text>
    </comment>
    <comment ref="AD182" authorId="2">
      <text>
        <r>
          <rPr>
            <b/>
            <sz val="8"/>
            <color indexed="81"/>
            <rFont val="Tahoma"/>
            <family val="2"/>
          </rPr>
          <t>Fujitsu:</t>
        </r>
        <r>
          <rPr>
            <sz val="8"/>
            <color indexed="81"/>
            <rFont val="Tahoma"/>
            <family val="2"/>
          </rPr>
          <t xml:space="preserve">
Start of Bretton Woods, see Timothy Green, 1999, p. 13</t>
        </r>
      </text>
    </comment>
    <comment ref="AD206" authorId="2">
      <text>
        <r>
          <rPr>
            <b/>
            <sz val="8"/>
            <color indexed="81"/>
            <rFont val="Tahoma"/>
            <family val="2"/>
          </rPr>
          <t>Fujitsu:</t>
        </r>
        <r>
          <rPr>
            <sz val="8"/>
            <color indexed="81"/>
            <rFont val="Tahoma"/>
            <family val="2"/>
          </rPr>
          <t xml:space="preserve">
End of Bretton Woods, see Timothy Green, 1999, p. 13</t>
        </r>
      </text>
    </comment>
    <comment ref="I214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Series Id:  WPU00000000, BLS website, PPI, All Commodities</t>
        </r>
      </text>
    </comment>
    <comment ref="I225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BLS, All commodities, Series ID WPU00000000</t>
        </r>
      </text>
    </comment>
    <comment ref="I226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Annual PPI, BLS, All commodities, Series ID WPU00000000</t>
        </r>
      </text>
    </comment>
    <comment ref="S241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updated using implicity growth rates of UKppi from levels given in http://www.econstats.com/uk/uk_mm22__.htm</t>
        </r>
      </text>
    </comment>
    <comment ref="I242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BLS website</t>
        </r>
      </text>
    </comment>
    <comment ref="S242" authorId="0">
      <text>
        <r>
          <rPr>
            <b/>
            <sz val="8"/>
            <color indexed="81"/>
            <rFont val="Tahoma"/>
            <family val="2"/>
          </rPr>
          <t>shaikh:</t>
        </r>
        <r>
          <rPr>
            <sz val="8"/>
            <color indexed="81"/>
            <rFont val="Tahoma"/>
            <family val="2"/>
          </rPr>
          <t xml:space="preserve">
using growth rates of UKppi from levels given in http://www.statistics.gov.uk/statbase/TSDdownload2.asp</t>
        </r>
      </text>
    </comment>
    <comment ref="S243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updated using implicity growth rates of UKppi from levels given in http://www.econstats.com/uk/uk_mm22__.htm</t>
        </r>
      </text>
    </comment>
    <comment ref="AD243" authorId="3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World Gold Council 1/08</t>
        </r>
      </text>
    </comment>
    <comment ref="AE243" authorId="3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World Gold Council 1/08</t>
        </r>
      </text>
    </comment>
    <comment ref="H246" authorId="2">
      <text>
        <r>
          <rPr>
            <b/>
            <sz val="8"/>
            <color indexed="81"/>
            <rFont val="Tahoma"/>
            <family val="2"/>
          </rPr>
          <t>Fujitsu:</t>
        </r>
        <r>
          <rPr>
            <sz val="8"/>
            <color indexed="81"/>
            <rFont val="Tahoma"/>
            <family val="2"/>
          </rPr>
          <t xml:space="preserve">
BLS PPI, All ommodiities,
used 2008/2007 to update: http://data.bls.gov/cgi-bin/surveymost</t>
        </r>
      </text>
    </comment>
    <comment ref="S246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updated using implicity growth rates of UKppi from levels given in http://www.econstats.com/uk/uk_mm22__.htm</t>
        </r>
      </text>
    </comment>
    <comment ref="I247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Preliminaray BLS May 2010</t>
        </r>
      </text>
    </comment>
    <comment ref="AD247" authorId="2">
      <text>
        <r>
          <rPr>
            <b/>
            <sz val="8"/>
            <color indexed="81"/>
            <rFont val="Tahoma"/>
            <family val="2"/>
          </rPr>
          <t>Fujitsu:</t>
        </r>
        <r>
          <rPr>
            <sz val="8"/>
            <color indexed="81"/>
            <rFont val="Tahoma"/>
            <family val="2"/>
          </rPr>
          <t xml:space="preserve">
Nov 2009</t>
        </r>
      </text>
    </comment>
    <comment ref="I248" authorId="1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Series Id:  WPU00000000, BLS website, PPI, All Commodities</t>
        </r>
      </text>
    </comment>
  </commentList>
</comments>
</file>

<file path=xl/sharedStrings.xml><?xml version="1.0" encoding="utf-8"?>
<sst xmlns="http://schemas.openxmlformats.org/spreadsheetml/2006/main" count="133" uniqueCount="117">
  <si>
    <t xml:space="preserve">  Jastram, Roy (1977), The Golden Constant: The English and American Experience, 1560-1976, John Wiley and Sons, Inc., New York</t>
  </si>
  <si>
    <t>Source: Gold Information Network, www.goldinfo.net, added by Eric Sunol</t>
  </si>
  <si>
    <t>Source: COMEX, London Bullion Market Association</t>
  </si>
  <si>
    <t>Ratio 2010/1939 =</t>
  </si>
  <si>
    <t>COMMODITY and GOLD  PRICE INDEXES: 1800 - present</t>
  </si>
  <si>
    <t>Source: goldeng.xls</t>
  </si>
  <si>
    <t>Source: goldus.wq1</t>
  </si>
  <si>
    <t>For 1800-1976,</t>
  </si>
  <si>
    <t>Jastram 1977</t>
  </si>
  <si>
    <t>Golden Const.Tble 1, 26-29</t>
  </si>
  <si>
    <t>Golden Const.Tble 6, 143-4</t>
  </si>
  <si>
    <t>Golden Const.Tble 7, 145-6</t>
  </si>
  <si>
    <t>Golden Const. Tble 2, 30-33</t>
  </si>
  <si>
    <t>From 1977-on, using US gold price grwth rte</t>
  </si>
  <si>
    <t>From 1977-on, using BLS PPI (Shiller)</t>
  </si>
  <si>
    <t>1780-1785 from Jastram, Golden Constant, Table 2,  p. 30: SEE tab = UKWPIPGDATA</t>
  </si>
  <si>
    <t>http://www.nber.org/databases/macrohistory/rectdata/04/docs</t>
  </si>
  <si>
    <t>From 1977-on, using UK PPI grwth UKstats</t>
  </si>
  <si>
    <t>1976-2008 ratio =</t>
  </si>
  <si>
    <t>1940-2008 ratio =</t>
  </si>
  <si>
    <t>CHECKS</t>
  </si>
  <si>
    <t>NOTE THAT KONDRATIEFF'S FAMOUS PRICE CHART BEGINS IN 1780, SO I HAVE USED THE SAME STARTING POINT (KONDRATIEFF, LONG WAVE CYCLE, 1984, CHART 1, p. 39)</t>
  </si>
  <si>
    <t>variable UKWPI, monthly data , all commod ID = m04053.dat</t>
  </si>
  <si>
    <t>1940-2010 ratio =</t>
  </si>
  <si>
    <t>1786-2010, Lawrence H. Officer and Samuel H. Williamson, "The Price of Gold, 1257-2010," MeasuringWorth, 2011: http://www.measuringworth.com/gold/</t>
  </si>
  <si>
    <t>Using USPPI from BLS, and using change from one year to next</t>
  </si>
  <si>
    <t>Re-Indexed</t>
  </si>
  <si>
    <t>1786-1945, Lawrence H. Officer and Samuel H. Williamson, "The Price of Gold, 1257-2010," MeasuringWorth, 2011:  http://www.measuringworth.com/gold/</t>
  </si>
  <si>
    <t>Lawrence H. Officer, "Dollar-Pound Exchange Rate From 1791," MeasuringWorth, 2011: http://www.measuringworth.com/exchangepound/</t>
  </si>
  <si>
    <t>Jastram has data from 1560-1976, except for MISSING DATA 1939-1945</t>
  </si>
  <si>
    <t>GOLDEN WAVES</t>
  </si>
  <si>
    <t>http://www.gold.org</t>
  </si>
  <si>
    <t>US CYCLE 1</t>
  </si>
  <si>
    <t>UK CYLCLE 1</t>
  </si>
  <si>
    <t>US CYCLE 2</t>
  </si>
  <si>
    <t>UK CYLCLE 2</t>
  </si>
  <si>
    <t>Checks</t>
  </si>
  <si>
    <t xml:space="preserve">US OFFICIAL PRICE 1786-1790, THEN MARKET PRICE </t>
  </si>
  <si>
    <t xml:space="preserve">Filled in 1786-1799 using CPI and 1800 ratio of WPI/CPI </t>
  </si>
  <si>
    <t>BLS PPI-Commodities "All Commodities"</t>
  </si>
  <si>
    <t>CHECKS WITH EARLIER</t>
  </si>
  <si>
    <t>FOR UK MARKET GOLD PRICE: ONLY 1786-1949 IS AVAILABLE IN £</t>
  </si>
  <si>
    <t>FOR UK GOLD PRICE, ONLY 1950 ONWARD IS ONLY AVAILABLE IN $</t>
  </si>
  <si>
    <t>Index 1930=100</t>
  </si>
  <si>
    <t>Jastram data has missing values for 1939-1945</t>
  </si>
  <si>
    <t xml:space="preserve">USED TO FILL IN missing 1939-45 UKWPI, use nber macrohistory,  base yr 1887-1897 = 100 </t>
  </si>
  <si>
    <t>http://www.statistics.gov.uk/statbase/</t>
  </si>
  <si>
    <t>Residuals of cubic time  trend of ppigold ratios.</t>
  </si>
  <si>
    <t>Residual of USPPIGold from cubic trend, from PPIGOLDHPFILTER.wf1</t>
  </si>
  <si>
    <r>
      <t xml:space="preserve">Flamant and Singer-Kerel, </t>
    </r>
    <r>
      <rPr>
        <i/>
        <sz val="8"/>
        <rFont val="Arial"/>
        <family val="2"/>
      </rPr>
      <t xml:space="preserve">Modern Economic Crises </t>
    </r>
    <r>
      <rPr>
        <sz val="8"/>
        <rFont val="Arial"/>
        <family val="2"/>
      </rPr>
      <t>1968</t>
    </r>
  </si>
  <si>
    <t>REFERENCE LONG WAGE: AVG OF US, UK HP-FILTER</t>
  </si>
  <si>
    <t>DATA APPEARS IN 1983+ LOCATION</t>
  </si>
  <si>
    <t>RESCALED TO BEGIN AT AVG POINT BETWEEN US &amp; UK AT TROUGH IN 1983</t>
  </si>
  <si>
    <t xml:space="preserve">rescaled to begin from between the latest US and UK peaks </t>
  </si>
  <si>
    <t>$ per oz</t>
  </si>
  <si>
    <t xml:space="preserve">SEE EARLIER CPI </t>
  </si>
  <si>
    <t>1982=100</t>
  </si>
  <si>
    <t>£ per oz</t>
  </si>
  <si>
    <t>SEE  SHEET "DATAUKWPIPG"</t>
  </si>
  <si>
    <t>Index 1992=100</t>
  </si>
  <si>
    <t>usukppigold.wf1</t>
  </si>
  <si>
    <t xml:space="preserve">p'deviaton </t>
  </si>
  <si>
    <t>42 YRS</t>
  </si>
  <si>
    <t>44 YRS</t>
  </si>
  <si>
    <t>43 YRS</t>
  </si>
  <si>
    <t>USGoldprice1</t>
  </si>
  <si>
    <t>USGoldpriceindex</t>
  </si>
  <si>
    <t>USCPI 1930=100</t>
  </si>
  <si>
    <t>USWPI</t>
  </si>
  <si>
    <t>USPPI82BLS</t>
  </si>
  <si>
    <t>USPPIGold</t>
  </si>
  <si>
    <t>UKGoldprice1Pounds1780-1949</t>
  </si>
  <si>
    <t>UKGoldprice1Dollars1950-on</t>
  </si>
  <si>
    <t>XR dollars-pounds</t>
  </si>
  <si>
    <t>UKGoldprice1pounds1950-on</t>
  </si>
  <si>
    <t>UKGoldprice1</t>
  </si>
  <si>
    <t>UKGoldpriceindex</t>
  </si>
  <si>
    <t>UKWPIJastram</t>
  </si>
  <si>
    <t>UKWPInber</t>
  </si>
  <si>
    <t>UKPPI</t>
  </si>
  <si>
    <t>UKWPI</t>
  </si>
  <si>
    <t>UKPPIGold</t>
  </si>
  <si>
    <t>AvgGoldWave</t>
  </si>
  <si>
    <t>AvgGoldWaveHP</t>
  </si>
  <si>
    <t>UKWPI1790base</t>
  </si>
  <si>
    <t>UKWPIdollars1790base</t>
  </si>
  <si>
    <t>UKWPIGold1790base</t>
  </si>
  <si>
    <t>USGoldprice</t>
  </si>
  <si>
    <t>UKGoldprice</t>
  </si>
  <si>
    <t>Check: usppigold*gold - usppi = 0</t>
  </si>
  <si>
    <t>USPPIGOLDHP100</t>
  </si>
  <si>
    <t>UKPPIGOLDHP100</t>
  </si>
  <si>
    <t>p'dev</t>
  </si>
  <si>
    <t>USPPIGOLDHP3</t>
  </si>
  <si>
    <t>UKPPIGOLDHP3</t>
  </si>
  <si>
    <t>UK Crisis Markers</t>
  </si>
  <si>
    <t>US Crisis Markers</t>
  </si>
  <si>
    <t>US1:1897-1939</t>
  </si>
  <si>
    <t>UK1:1897-1939</t>
  </si>
  <si>
    <t>US2:1939-1983</t>
  </si>
  <si>
    <t>UK2:1939-1983</t>
  </si>
  <si>
    <t>USUKAVGWAVE</t>
  </si>
  <si>
    <t>USUKAVGWAVE1</t>
  </si>
  <si>
    <t>INFLUK</t>
  </si>
  <si>
    <t>INFLUKHP100</t>
  </si>
  <si>
    <t>INFLUS</t>
  </si>
  <si>
    <t>INFLUSHP100</t>
  </si>
  <si>
    <t>ERP Finished PPI</t>
  </si>
  <si>
    <t xml:space="preserve">For 1780-1785, from Sahr, http://oregonstate.edu/cla/polisci/download-conversion-factors and for 1786-2010 from Measuring Worth.com: </t>
  </si>
  <si>
    <t>1982-84 = 100</t>
  </si>
  <si>
    <t>1958=100</t>
  </si>
  <si>
    <t>US CPI</t>
  </si>
  <si>
    <t>CPI1</t>
  </si>
  <si>
    <t>See Appendix 5.2 Data Sources and Methods</t>
  </si>
  <si>
    <t>Each Chart is linked to the variables listed in Appendix 5.2, which appear in the Sheet = DATALRprices</t>
  </si>
  <si>
    <t>USGoldWaveDetrended</t>
  </si>
  <si>
    <t>UKGoldWaveDetrended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</si>
</sst>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$&quot;#,##0.00_);[Red]\(&quot;$&quot;#,##0.00\)"/>
    <numFmt numFmtId="164" formatCode="0.000"/>
    <numFmt numFmtId="165" formatCode="#,##0.0"/>
    <numFmt numFmtId="166" formatCode="0.0000"/>
    <numFmt numFmtId="167" formatCode="[$£-809]#,##0.000"/>
    <numFmt numFmtId="168" formatCode="&quot;$&quot;#,##0.00"/>
    <numFmt numFmtId="169" formatCode="[$$-409]#,##0.00"/>
    <numFmt numFmtId="170" formatCode="&quot;£&quot;#,##0.00"/>
  </numFmts>
  <fonts count="32"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8"/>
      <color indexed="10"/>
      <name val="Arial"/>
      <family val="2"/>
    </font>
    <font>
      <u/>
      <sz val="10.45"/>
      <color indexed="12"/>
      <name val="Courier New"/>
      <family val="3"/>
    </font>
    <font>
      <sz val="10"/>
      <name val="Times New Roman"/>
      <family val="1"/>
    </font>
    <font>
      <sz val="9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8"/>
      <color rgb="FFFF0000"/>
      <name val="Times New Roman"/>
      <family val="1"/>
    </font>
    <font>
      <u/>
      <sz val="8"/>
      <color indexed="12"/>
      <name val="Courier New"/>
      <family val="3"/>
    </font>
    <font>
      <b/>
      <sz val="8"/>
      <color indexed="12"/>
      <name val="Arial"/>
      <family val="2"/>
    </font>
    <font>
      <b/>
      <sz val="9"/>
      <color indexed="10"/>
      <name val="Arial"/>
      <family val="2"/>
    </font>
    <font>
      <b/>
      <sz val="8"/>
      <color rgb="FFFF0000"/>
      <name val="Arial"/>
      <family val="2"/>
    </font>
    <font>
      <u/>
      <sz val="8"/>
      <color indexed="12"/>
      <name val="Times New Roman"/>
      <family val="1"/>
    </font>
    <font>
      <sz val="8"/>
      <color theme="1"/>
      <name val="Times New Roman"/>
      <family val="1"/>
    </font>
    <font>
      <i/>
      <sz val="8"/>
      <name val="Arial"/>
      <family val="2"/>
    </font>
    <font>
      <sz val="10"/>
      <color indexed="8"/>
      <name val="Arial"/>
      <family val="2"/>
    </font>
    <font>
      <sz val="10"/>
      <color rgb="FFFF0000"/>
      <name val="Times New Roman"/>
      <family val="1"/>
    </font>
    <font>
      <b/>
      <sz val="8"/>
      <color indexed="17"/>
      <name val="Arial"/>
      <family val="2"/>
    </font>
    <font>
      <sz val="10"/>
      <color indexed="8"/>
      <name val="Verdana"/>
      <family val="2"/>
    </font>
    <font>
      <sz val="8"/>
      <name val="News Gothic Condensed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"/>
      <name val="Arial"/>
      <family val="2"/>
    </font>
    <font>
      <sz val="8"/>
      <color rgb="FF00009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209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2" fillId="4" borderId="0" xfId="0" applyFont="1" applyFill="1" applyBorder="1" applyAlignment="1">
      <alignment wrapText="1"/>
    </xf>
    <xf numFmtId="10" fontId="2" fillId="0" borderId="0" xfId="1" applyNumberFormat="1" applyFont="1" applyAlignment="1">
      <alignment horizontal="center" wrapText="1"/>
    </xf>
    <xf numFmtId="0" fontId="0" fillId="0" borderId="0" xfId="0" applyFill="1" applyBorder="1"/>
    <xf numFmtId="0" fontId="0" fillId="6" borderId="0" xfId="0" applyFill="1"/>
    <xf numFmtId="0" fontId="0" fillId="0" borderId="0" xfId="0" applyFill="1"/>
    <xf numFmtId="0" fontId="0" fillId="2" borderId="0" xfId="0" applyFill="1"/>
    <xf numFmtId="1" fontId="0" fillId="2" borderId="0" xfId="0" applyNumberFormat="1" applyFill="1" applyBorder="1"/>
    <xf numFmtId="0" fontId="0" fillId="2" borderId="0" xfId="0" applyFill="1" applyBorder="1"/>
    <xf numFmtId="0" fontId="0" fillId="0" borderId="0" xfId="0" applyBorder="1"/>
    <xf numFmtId="0" fontId="0" fillId="4" borderId="0" xfId="0" applyFill="1"/>
    <xf numFmtId="0" fontId="0" fillId="0" borderId="1" xfId="0" applyBorder="1"/>
    <xf numFmtId="0" fontId="0" fillId="4" borderId="0" xfId="0" applyFill="1" applyBorder="1"/>
    <xf numFmtId="0" fontId="2" fillId="4" borderId="0" xfId="0" applyFont="1" applyFill="1"/>
    <xf numFmtId="10" fontId="0" fillId="0" borderId="0" xfId="1" applyNumberFormat="1" applyFont="1" applyAlignment="1">
      <alignment horizontal="center"/>
    </xf>
    <xf numFmtId="0" fontId="1" fillId="0" borderId="0" xfId="0" applyFont="1"/>
    <xf numFmtId="0" fontId="1" fillId="4" borderId="0" xfId="0" applyFont="1" applyFill="1" applyBorder="1"/>
    <xf numFmtId="0" fontId="1" fillId="4" borderId="0" xfId="0" applyFont="1" applyFill="1"/>
    <xf numFmtId="0" fontId="5" fillId="0" borderId="0" xfId="0" applyFont="1"/>
    <xf numFmtId="0" fontId="4" fillId="4" borderId="0" xfId="0" applyFont="1" applyFill="1"/>
    <xf numFmtId="2" fontId="0" fillId="4" borderId="0" xfId="0" applyNumberFormat="1" applyFill="1"/>
    <xf numFmtId="0" fontId="2" fillId="0" borderId="0" xfId="0" applyFont="1" applyFill="1"/>
    <xf numFmtId="0" fontId="5" fillId="4" borderId="0" xfId="0" applyFont="1" applyFill="1"/>
    <xf numFmtId="0" fontId="2" fillId="0" borderId="0" xfId="0" applyFont="1"/>
    <xf numFmtId="0" fontId="5" fillId="6" borderId="0" xfId="0" applyFont="1" applyFill="1"/>
    <xf numFmtId="0" fontId="5" fillId="0" borderId="0" xfId="0" applyFont="1" applyFill="1"/>
    <xf numFmtId="0" fontId="5" fillId="0" borderId="0" xfId="0" applyFont="1" applyBorder="1"/>
    <xf numFmtId="0" fontId="5" fillId="0" borderId="1" xfId="0" applyFont="1" applyBorder="1"/>
    <xf numFmtId="0" fontId="5" fillId="2" borderId="0" xfId="0" applyFont="1" applyFill="1"/>
    <xf numFmtId="10" fontId="5" fillId="0" borderId="0" xfId="1" applyNumberFormat="1" applyFon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2" fillId="4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0" borderId="0" xfId="0" quotePrefix="1" applyFont="1" applyAlignment="1">
      <alignment horizontal="center"/>
    </xf>
    <xf numFmtId="10" fontId="2" fillId="0" borderId="0" xfId="1" quotePrefix="1" applyNumberFormat="1" applyFont="1" applyAlignment="1">
      <alignment horizontal="center"/>
    </xf>
    <xf numFmtId="0" fontId="5" fillId="4" borderId="0" xfId="0" applyFont="1" applyFill="1" applyAlignment="1" applyProtection="1">
      <alignment vertical="center" wrapText="1" shrinkToFit="1"/>
      <protection locked="0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2" fontId="5" fillId="0" borderId="0" xfId="0" applyNumberFormat="1" applyFont="1"/>
    <xf numFmtId="0" fontId="5" fillId="0" borderId="0" xfId="0" applyFont="1" applyAlignment="1">
      <alignment wrapText="1"/>
    </xf>
    <xf numFmtId="0" fontId="5" fillId="6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0" borderId="0" xfId="0" applyFont="1" applyBorder="1" applyAlignment="1">
      <alignment wrapText="1"/>
    </xf>
    <xf numFmtId="0" fontId="0" fillId="4" borderId="0" xfId="0" applyFill="1" applyAlignment="1">
      <alignment wrapText="1"/>
    </xf>
    <xf numFmtId="0" fontId="5" fillId="3" borderId="0" xfId="0" applyFont="1" applyFill="1" applyAlignment="1">
      <alignment wrapText="1"/>
    </xf>
    <xf numFmtId="0" fontId="5" fillId="0" borderId="1" xfId="0" applyFont="1" applyBorder="1" applyAlignment="1">
      <alignment wrapText="1"/>
    </xf>
    <xf numFmtId="0" fontId="0" fillId="4" borderId="0" xfId="0" applyFill="1" applyBorder="1" applyAlignment="1">
      <alignment wrapText="1"/>
    </xf>
    <xf numFmtId="0" fontId="5" fillId="2" borderId="0" xfId="0" applyFont="1" applyFill="1" applyAlignment="1" applyProtection="1">
      <alignment vertical="center" wrapText="1" shrinkToFit="1"/>
      <protection locked="0"/>
    </xf>
    <xf numFmtId="10" fontId="5" fillId="0" borderId="0" xfId="1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5" fillId="2" borderId="0" xfId="0" applyFont="1" applyFill="1" applyAlignment="1">
      <alignment horizontal="left" wrapText="1"/>
    </xf>
    <xf numFmtId="0" fontId="10" fillId="2" borderId="0" xfId="2" applyFill="1" applyAlignment="1" applyProtection="1">
      <alignment wrapText="1"/>
      <protection locked="0"/>
    </xf>
    <xf numFmtId="0" fontId="11" fillId="2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5" fillId="0" borderId="0" xfId="0" applyFont="1" applyFill="1" applyAlignment="1">
      <alignment wrapText="1"/>
    </xf>
    <xf numFmtId="0" fontId="9" fillId="0" borderId="0" xfId="0" applyFont="1"/>
    <xf numFmtId="0" fontId="12" fillId="0" borderId="0" xfId="0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5" fillId="3" borderId="1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center"/>
    </xf>
    <xf numFmtId="0" fontId="6" fillId="4" borderId="0" xfId="0" applyFont="1" applyFill="1" applyBorder="1"/>
    <xf numFmtId="0" fontId="5" fillId="2" borderId="0" xfId="0" applyFont="1" applyFill="1" applyAlignment="1" applyProtection="1">
      <alignment wrapText="1"/>
      <protection locked="0"/>
    </xf>
    <xf numFmtId="164" fontId="5" fillId="4" borderId="0" xfId="0" applyNumberFormat="1" applyFont="1" applyFill="1" applyAlignment="1">
      <alignment horizontal="center" wrapText="1"/>
    </xf>
    <xf numFmtId="0" fontId="14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wrapText="1"/>
    </xf>
    <xf numFmtId="164" fontId="5" fillId="2" borderId="0" xfId="0" applyNumberFormat="1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7" fillId="2" borderId="0" xfId="0" applyFont="1" applyFill="1"/>
    <xf numFmtId="0" fontId="8" fillId="4" borderId="0" xfId="0" applyFont="1" applyFill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16" fillId="4" borderId="0" xfId="2" applyFont="1" applyFill="1" applyAlignment="1" applyProtection="1">
      <alignment wrapText="1"/>
    </xf>
    <xf numFmtId="0" fontId="17" fillId="0" borderId="0" xfId="0" applyFont="1" applyAlignment="1">
      <alignment wrapText="1"/>
    </xf>
    <xf numFmtId="0" fontId="5" fillId="3" borderId="0" xfId="0" applyFont="1" applyFill="1"/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0" fontId="15" fillId="0" borderId="0" xfId="2" applyFont="1" applyBorder="1" applyAlignment="1" applyProtection="1">
      <alignment horizontal="left" wrapText="1"/>
      <protection locked="0"/>
    </xf>
    <xf numFmtId="0" fontId="12" fillId="4" borderId="0" xfId="0" applyFont="1" applyFill="1" applyAlignment="1">
      <alignment wrapText="1"/>
    </xf>
    <xf numFmtId="0" fontId="18" fillId="0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Border="1"/>
    <xf numFmtId="0" fontId="5" fillId="4" borderId="0" xfId="0" applyFont="1" applyFill="1" applyBorder="1" applyAlignment="1">
      <alignment wrapText="1"/>
    </xf>
    <xf numFmtId="0" fontId="19" fillId="2" borderId="0" xfId="0" applyFont="1" applyFill="1" applyAlignment="1">
      <alignment wrapText="1"/>
    </xf>
    <xf numFmtId="0" fontId="6" fillId="2" borderId="0" xfId="0" applyFont="1" applyFill="1" applyAlignment="1" applyProtection="1">
      <alignment wrapText="1"/>
      <protection locked="0"/>
    </xf>
    <xf numFmtId="0" fontId="10" fillId="2" borderId="0" xfId="2" applyFill="1" applyAlignment="1" applyProtection="1">
      <alignment horizontal="left" vertical="justify" wrapText="1"/>
      <protection locked="0"/>
    </xf>
    <xf numFmtId="0" fontId="5" fillId="3" borderId="0" xfId="0" applyFont="1" applyFill="1" applyAlignment="1">
      <alignment vertical="center" wrapText="1"/>
    </xf>
    <xf numFmtId="0" fontId="20" fillId="4" borderId="0" xfId="2" applyFont="1" applyFill="1" applyAlignment="1" applyProtection="1">
      <alignment horizontal="left" vertical="justify" wrapText="1"/>
      <protection locked="0"/>
    </xf>
    <xf numFmtId="0" fontId="21" fillId="4" borderId="0" xfId="2" applyFont="1" applyFill="1" applyAlignment="1" applyProtection="1">
      <alignment horizontal="left" vertical="justify" wrapText="1"/>
      <protection locked="0"/>
    </xf>
    <xf numFmtId="0" fontId="21" fillId="0" borderId="0" xfId="2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5" fillId="0" borderId="0" xfId="0" applyFont="1" applyAlignment="1" applyProtection="1">
      <alignment wrapText="1"/>
      <protection locked="0"/>
    </xf>
    <xf numFmtId="10" fontId="5" fillId="0" borderId="0" xfId="1" applyNumberFormat="1" applyFont="1" applyAlignment="1" applyProtection="1">
      <alignment horizontal="center" wrapText="1"/>
      <protection locked="0"/>
    </xf>
    <xf numFmtId="0" fontId="8" fillId="0" borderId="0" xfId="0" applyFont="1" applyBorder="1" applyAlignment="1">
      <alignment horizontal="center"/>
    </xf>
    <xf numFmtId="0" fontId="12" fillId="0" borderId="2" xfId="0" quotePrefix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17" fillId="4" borderId="0" xfId="0" applyFont="1" applyFill="1" applyBorder="1"/>
    <xf numFmtId="0" fontId="1" fillId="5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4" fillId="4" borderId="0" xfId="0" applyFont="1" applyFill="1" applyAlignment="1">
      <alignment wrapText="1"/>
    </xf>
    <xf numFmtId="0" fontId="12" fillId="0" borderId="0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wrapText="1"/>
    </xf>
    <xf numFmtId="0" fontId="14" fillId="4" borderId="0" xfId="0" applyFont="1" applyFill="1" applyBorder="1" applyAlignment="1">
      <alignment wrapText="1"/>
    </xf>
    <xf numFmtId="0" fontId="9" fillId="2" borderId="0" xfId="0" applyFont="1" applyFill="1" applyAlignment="1">
      <alignment wrapText="1"/>
    </xf>
    <xf numFmtId="0" fontId="9" fillId="0" borderId="0" xfId="0" applyFont="1" applyAlignment="1" applyProtection="1">
      <alignment vertical="center" wrapText="1"/>
      <protection locked="0"/>
    </xf>
    <xf numFmtId="0" fontId="9" fillId="0" borderId="0" xfId="0" applyFont="1" applyAlignment="1">
      <alignment horizontal="center" wrapText="1"/>
    </xf>
    <xf numFmtId="0" fontId="25" fillId="0" borderId="0" xfId="0" applyFont="1" applyAlignment="1">
      <alignment wrapText="1"/>
    </xf>
    <xf numFmtId="0" fontId="25" fillId="6" borderId="0" xfId="0" applyFont="1" applyFill="1" applyAlignment="1">
      <alignment wrapText="1"/>
    </xf>
    <xf numFmtId="10" fontId="25" fillId="6" borderId="0" xfId="1" applyNumberFormat="1" applyFont="1" applyFill="1" applyAlignment="1">
      <alignment horizontal="center" wrapText="1"/>
    </xf>
    <xf numFmtId="164" fontId="5" fillId="4" borderId="0" xfId="0" applyNumberFormat="1" applyFont="1" applyFill="1" applyAlignment="1">
      <alignment wrapText="1"/>
    </xf>
    <xf numFmtId="2" fontId="14" fillId="0" borderId="0" xfId="0" applyNumberFormat="1" applyFont="1" applyAlignment="1">
      <alignment wrapText="1"/>
    </xf>
    <xf numFmtId="164" fontId="14" fillId="4" borderId="0" xfId="0" applyNumberFormat="1" applyFont="1" applyFill="1" applyAlignment="1">
      <alignment wrapText="1"/>
    </xf>
    <xf numFmtId="2" fontId="5" fillId="4" borderId="1" xfId="0" applyNumberFormat="1" applyFont="1" applyFill="1" applyBorder="1" applyAlignment="1">
      <alignment wrapText="1"/>
    </xf>
    <xf numFmtId="0" fontId="0" fillId="2" borderId="0" xfId="0" applyFill="1" applyProtection="1"/>
    <xf numFmtId="2" fontId="5" fillId="2" borderId="0" xfId="0" applyNumberFormat="1" applyFont="1" applyFill="1" applyAlignment="1">
      <alignment wrapText="1"/>
    </xf>
    <xf numFmtId="166" fontId="5" fillId="0" borderId="0" xfId="0" applyNumberFormat="1" applyFont="1"/>
    <xf numFmtId="2" fontId="14" fillId="4" borderId="0" xfId="0" applyNumberFormat="1" applyFont="1" applyFill="1" applyAlignment="1">
      <alignment wrapText="1"/>
    </xf>
    <xf numFmtId="2" fontId="5" fillId="0" borderId="0" xfId="0" applyNumberFormat="1" applyFont="1" applyAlignment="1">
      <alignment wrapText="1"/>
    </xf>
    <xf numFmtId="2" fontId="14" fillId="4" borderId="0" xfId="0" applyNumberFormat="1" applyFont="1" applyFill="1" applyBorder="1" applyAlignment="1">
      <alignment wrapText="1"/>
    </xf>
    <xf numFmtId="2" fontId="0" fillId="2" borderId="0" xfId="0" applyNumberFormat="1" applyFill="1"/>
    <xf numFmtId="1" fontId="1" fillId="0" borderId="0" xfId="0" applyNumberFormat="1" applyFont="1" applyBorder="1" applyAlignment="1">
      <alignment wrapText="1"/>
    </xf>
    <xf numFmtId="0" fontId="0" fillId="2" borderId="1" xfId="0" applyFill="1" applyBorder="1"/>
    <xf numFmtId="1" fontId="5" fillId="4" borderId="0" xfId="0" applyNumberFormat="1" applyFont="1" applyFill="1"/>
    <xf numFmtId="0" fontId="5" fillId="4" borderId="0" xfId="0" applyFont="1" applyFill="1" applyBorder="1"/>
    <xf numFmtId="167" fontId="5" fillId="4" borderId="0" xfId="0" applyNumberFormat="1" applyFont="1" applyFill="1" applyAlignment="1">
      <alignment horizontal="center"/>
    </xf>
    <xf numFmtId="4" fontId="0" fillId="2" borderId="0" xfId="0" applyNumberFormat="1" applyFill="1" applyBorder="1"/>
    <xf numFmtId="164" fontId="5" fillId="4" borderId="0" xfId="0" applyNumberFormat="1" applyFont="1" applyFill="1"/>
    <xf numFmtId="164" fontId="5" fillId="4" borderId="0" xfId="0" applyNumberFormat="1" applyFont="1" applyFill="1" applyBorder="1"/>
    <xf numFmtId="164" fontId="0" fillId="0" borderId="0" xfId="0" applyNumberFormat="1" applyBorder="1"/>
    <xf numFmtId="164" fontId="0" fillId="0" borderId="1" xfId="0" applyNumberFormat="1" applyBorder="1"/>
    <xf numFmtId="4" fontId="0" fillId="0" borderId="0" xfId="0" applyNumberFormat="1" applyBorder="1"/>
    <xf numFmtId="1" fontId="0" fillId="0" borderId="0" xfId="0" applyNumberFormat="1" applyBorder="1"/>
    <xf numFmtId="168" fontId="0" fillId="4" borderId="0" xfId="0" applyNumberFormat="1" applyFill="1" applyAlignment="1">
      <alignment horizontal="center"/>
    </xf>
    <xf numFmtId="2" fontId="0" fillId="7" borderId="0" xfId="0" applyNumberFormat="1" applyFill="1"/>
    <xf numFmtId="2" fontId="1" fillId="7" borderId="0" xfId="0" applyNumberFormat="1" applyFont="1" applyFill="1"/>
    <xf numFmtId="166" fontId="1" fillId="7" borderId="0" xfId="0" applyNumberFormat="1" applyFont="1" applyFill="1"/>
    <xf numFmtId="10" fontId="1" fillId="7" borderId="0" xfId="1" applyNumberFormat="1" applyFont="1" applyFill="1" applyAlignment="1">
      <alignment horizontal="center"/>
    </xf>
    <xf numFmtId="2" fontId="0" fillId="0" borderId="0" xfId="0" applyNumberFormat="1"/>
    <xf numFmtId="2" fontId="4" fillId="0" borderId="0" xfId="0" applyNumberFormat="1" applyFont="1"/>
    <xf numFmtId="166" fontId="1" fillId="5" borderId="0" xfId="0" applyNumberFormat="1" applyFont="1" applyFill="1"/>
    <xf numFmtId="166" fontId="1" fillId="0" borderId="0" xfId="0" applyNumberFormat="1" applyFont="1" applyFill="1"/>
    <xf numFmtId="2" fontId="1" fillId="0" borderId="0" xfId="0" applyNumberFormat="1" applyFont="1"/>
    <xf numFmtId="2" fontId="23" fillId="0" borderId="0" xfId="0" applyNumberFormat="1" applyFont="1"/>
    <xf numFmtId="2" fontId="12" fillId="0" borderId="0" xfId="0" applyNumberFormat="1" applyFont="1" applyBorder="1" applyAlignment="1">
      <alignment horizontal="left" vertical="top" wrapText="1"/>
    </xf>
    <xf numFmtId="2" fontId="0" fillId="0" borderId="0" xfId="0" applyNumberFormat="1" applyBorder="1"/>
    <xf numFmtId="2" fontId="0" fillId="2" borderId="0" xfId="0" applyNumberFormat="1" applyFill="1" applyProtection="1"/>
    <xf numFmtId="0" fontId="0" fillId="2" borderId="0" xfId="0" applyFill="1" applyAlignment="1">
      <alignment horizontal="right"/>
    </xf>
    <xf numFmtId="2" fontId="0" fillId="2" borderId="0" xfId="0" applyNumberFormat="1" applyFill="1" applyAlignment="1">
      <alignment horizontal="right"/>
    </xf>
    <xf numFmtId="2" fontId="11" fillId="2" borderId="0" xfId="0" applyNumberFormat="1" applyFont="1" applyFill="1" applyAlignment="1">
      <alignment horizontal="center"/>
    </xf>
    <xf numFmtId="2" fontId="1" fillId="5" borderId="0" xfId="0" applyNumberFormat="1" applyFont="1" applyFill="1"/>
    <xf numFmtId="0" fontId="12" fillId="2" borderId="0" xfId="0" applyFont="1" applyFill="1" applyBorder="1" applyAlignment="1">
      <alignment vertical="top" wrapText="1"/>
    </xf>
    <xf numFmtId="169" fontId="0" fillId="4" borderId="0" xfId="0" applyNumberFormat="1" applyFill="1" applyAlignment="1">
      <alignment horizontal="center"/>
    </xf>
    <xf numFmtId="170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5" borderId="0" xfId="0" applyNumberFormat="1" applyFont="1" applyFill="1" applyAlignment="1">
      <alignment horizontal="center"/>
    </xf>
    <xf numFmtId="10" fontId="1" fillId="0" borderId="0" xfId="1" applyNumberFormat="1" applyFont="1" applyAlignment="1">
      <alignment horizontal="center"/>
    </xf>
    <xf numFmtId="2" fontId="0" fillId="8" borderId="0" xfId="0" applyNumberFormat="1" applyFill="1" applyAlignment="1">
      <alignment horizontal="center"/>
    </xf>
    <xf numFmtId="2" fontId="1" fillId="8" borderId="0" xfId="0" applyNumberFormat="1" applyFont="1" applyFill="1" applyAlignment="1">
      <alignment horizontal="center"/>
    </xf>
    <xf numFmtId="0" fontId="26" fillId="2" borderId="3" xfId="0" applyFont="1" applyFill="1" applyBorder="1" applyAlignment="1">
      <alignment wrapText="1"/>
    </xf>
    <xf numFmtId="2" fontId="0" fillId="9" borderId="0" xfId="0" applyNumberFormat="1" applyFill="1" applyAlignment="1">
      <alignment horizontal="center"/>
    </xf>
    <xf numFmtId="2" fontId="1" fillId="9" borderId="0" xfId="0" applyNumberFormat="1" applyFont="1" applyFill="1" applyAlignment="1">
      <alignment horizontal="center"/>
    </xf>
    <xf numFmtId="169" fontId="0" fillId="4" borderId="0" xfId="0" applyNumberFormat="1" applyFill="1"/>
    <xf numFmtId="170" fontId="0" fillId="4" borderId="0" xfId="0" applyNumberFormat="1" applyFill="1"/>
    <xf numFmtId="0" fontId="0" fillId="2" borderId="0" xfId="0" applyFill="1" applyAlignment="1"/>
    <xf numFmtId="169" fontId="0" fillId="4" borderId="0" xfId="0" applyNumberFormat="1" applyFill="1" applyAlignment="1">
      <alignment horizontal="right"/>
    </xf>
    <xf numFmtId="170" fontId="0" fillId="4" borderId="0" xfId="0" applyNumberFormat="1" applyFill="1" applyAlignment="1">
      <alignment horizontal="right"/>
    </xf>
    <xf numFmtId="164" fontId="0" fillId="2" borderId="0" xfId="0" applyNumberFormat="1" applyFill="1"/>
    <xf numFmtId="0" fontId="0" fillId="5" borderId="0" xfId="0" applyFill="1"/>
    <xf numFmtId="4" fontId="0" fillId="4" borderId="0" xfId="0" applyNumberFormat="1" applyFill="1" applyAlignment="1">
      <alignment horizontal="right"/>
    </xf>
    <xf numFmtId="0" fontId="1" fillId="2" borderId="0" xfId="0" applyFont="1" applyFill="1" applyAlignment="1"/>
    <xf numFmtId="8" fontId="0" fillId="0" borderId="0" xfId="0" applyNumberFormat="1" applyBorder="1"/>
    <xf numFmtId="0" fontId="13" fillId="2" borderId="0" xfId="0" applyFont="1" applyFill="1"/>
    <xf numFmtId="2" fontId="0" fillId="0" borderId="1" xfId="0" applyNumberFormat="1" applyBorder="1"/>
    <xf numFmtId="2" fontId="0" fillId="0" borderId="0" xfId="0" applyNumberFormat="1" applyFill="1" applyBorder="1"/>
    <xf numFmtId="0" fontId="13" fillId="4" borderId="0" xfId="0" applyFont="1" applyFill="1"/>
    <xf numFmtId="165" fontId="27" fillId="4" borderId="0" xfId="0" applyNumberFormat="1" applyFont="1" applyFill="1" applyBorder="1" applyAlignment="1">
      <alignment horizontal="right" vertical="top" wrapText="1"/>
    </xf>
    <xf numFmtId="10" fontId="0" fillId="2" borderId="0" xfId="0" applyNumberFormat="1" applyFill="1"/>
    <xf numFmtId="0" fontId="5" fillId="4" borderId="0" xfId="0" applyFont="1" applyFill="1" applyAlignment="1" applyProtection="1">
      <alignment vertical="top" wrapText="1"/>
      <protection locked="0"/>
    </xf>
    <xf numFmtId="0" fontId="2" fillId="2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wrapText="1"/>
    </xf>
    <xf numFmtId="2" fontId="30" fillId="2" borderId="0" xfId="0" applyNumberFormat="1" applyFont="1" applyFill="1" applyBorder="1"/>
    <xf numFmtId="2" fontId="30" fillId="2" borderId="0" xfId="0" applyNumberFormat="1" applyFont="1" applyFill="1" applyBorder="1" applyAlignment="1">
      <alignment wrapText="1"/>
    </xf>
    <xf numFmtId="0" fontId="2" fillId="2" borderId="0" xfId="0" quotePrefix="1" applyFont="1" applyFill="1"/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164" fontId="31" fillId="0" borderId="0" xfId="0" applyNumberFormat="1" applyFont="1" applyAlignment="1">
      <alignment horizontal="right"/>
    </xf>
    <xf numFmtId="0" fontId="1" fillId="2" borderId="0" xfId="0" applyFont="1" applyFill="1" applyBorder="1"/>
    <xf numFmtId="2" fontId="1" fillId="2" borderId="0" xfId="0" applyNumberFormat="1" applyFont="1" applyFill="1" applyBorder="1"/>
    <xf numFmtId="2" fontId="1" fillId="4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7" fillId="10" borderId="0" xfId="0" applyNumberFormat="1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externalLink" Target="externalLinks/externalLink1.xml"/><Relationship Id="rId5" Type="http://schemas.openxmlformats.org/officeDocument/2006/relationships/chartsheet" Target="chart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2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06049822064045E-2"/>
          <c:y val="9.4292649359160416E-2"/>
          <c:w val="0.81746211617783182"/>
          <c:h val="0.80194127129101511"/>
        </c:manualLayout>
      </c:layout>
      <c:lineChart>
        <c:grouping val="standard"/>
        <c:varyColors val="0"/>
        <c:ser>
          <c:idx val="0"/>
          <c:order val="0"/>
          <c:tx>
            <c:strRef>
              <c:f>DATALRprices!$AD$1</c:f>
              <c:strCache>
                <c:ptCount val="1"/>
                <c:pt idx="0">
                  <c:v>USGoldprice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'[1]DATAUSLR '!$A$169:$A$247</c:f>
              <c:numCache>
                <c:formatCode>General</c:formatCode>
                <c:ptCount val="79"/>
                <c:pt idx="0">
                  <c:v>1931</c:v>
                </c:pt>
                <c:pt idx="1">
                  <c:v>1932</c:v>
                </c:pt>
                <c:pt idx="2">
                  <c:v>1933</c:v>
                </c:pt>
                <c:pt idx="3">
                  <c:v>1934</c:v>
                </c:pt>
                <c:pt idx="4">
                  <c:v>1935</c:v>
                </c:pt>
                <c:pt idx="5">
                  <c:v>1936</c:v>
                </c:pt>
                <c:pt idx="6">
                  <c:v>1937</c:v>
                </c:pt>
                <c:pt idx="7">
                  <c:v>1938</c:v>
                </c:pt>
                <c:pt idx="8">
                  <c:v>1939</c:v>
                </c:pt>
                <c:pt idx="9">
                  <c:v>1940</c:v>
                </c:pt>
                <c:pt idx="10">
                  <c:v>1941</c:v>
                </c:pt>
                <c:pt idx="11">
                  <c:v>1942</c:v>
                </c:pt>
                <c:pt idx="12">
                  <c:v>1943</c:v>
                </c:pt>
                <c:pt idx="13">
                  <c:v>1944</c:v>
                </c:pt>
                <c:pt idx="14">
                  <c:v>1945</c:v>
                </c:pt>
                <c:pt idx="15">
                  <c:v>1946</c:v>
                </c:pt>
                <c:pt idx="16">
                  <c:v>1947</c:v>
                </c:pt>
                <c:pt idx="17">
                  <c:v>1948</c:v>
                </c:pt>
                <c:pt idx="18">
                  <c:v>1949</c:v>
                </c:pt>
                <c:pt idx="19">
                  <c:v>1950</c:v>
                </c:pt>
                <c:pt idx="20">
                  <c:v>1951</c:v>
                </c:pt>
                <c:pt idx="21">
                  <c:v>1952</c:v>
                </c:pt>
                <c:pt idx="22">
                  <c:v>1953</c:v>
                </c:pt>
                <c:pt idx="23">
                  <c:v>1954</c:v>
                </c:pt>
                <c:pt idx="24">
                  <c:v>1955</c:v>
                </c:pt>
                <c:pt idx="25">
                  <c:v>1956</c:v>
                </c:pt>
                <c:pt idx="26">
                  <c:v>1957</c:v>
                </c:pt>
                <c:pt idx="27">
                  <c:v>1958</c:v>
                </c:pt>
                <c:pt idx="28">
                  <c:v>1959</c:v>
                </c:pt>
                <c:pt idx="29">
                  <c:v>1960</c:v>
                </c:pt>
                <c:pt idx="30">
                  <c:v>1961</c:v>
                </c:pt>
                <c:pt idx="31">
                  <c:v>1962</c:v>
                </c:pt>
                <c:pt idx="32">
                  <c:v>1963</c:v>
                </c:pt>
                <c:pt idx="33">
                  <c:v>1964</c:v>
                </c:pt>
                <c:pt idx="34">
                  <c:v>1965</c:v>
                </c:pt>
                <c:pt idx="35">
                  <c:v>1966</c:v>
                </c:pt>
                <c:pt idx="36">
                  <c:v>1967</c:v>
                </c:pt>
                <c:pt idx="37">
                  <c:v>1968</c:v>
                </c:pt>
                <c:pt idx="38">
                  <c:v>1969</c:v>
                </c:pt>
                <c:pt idx="39">
                  <c:v>1970</c:v>
                </c:pt>
                <c:pt idx="40">
                  <c:v>1971</c:v>
                </c:pt>
                <c:pt idx="41">
                  <c:v>1972</c:v>
                </c:pt>
                <c:pt idx="42">
                  <c:v>1973</c:v>
                </c:pt>
                <c:pt idx="43">
                  <c:v>1974</c:v>
                </c:pt>
                <c:pt idx="44">
                  <c:v>1975</c:v>
                </c:pt>
                <c:pt idx="45">
                  <c:v>1976</c:v>
                </c:pt>
                <c:pt idx="46">
                  <c:v>1977</c:v>
                </c:pt>
                <c:pt idx="47">
                  <c:v>1978</c:v>
                </c:pt>
                <c:pt idx="48">
                  <c:v>1979</c:v>
                </c:pt>
                <c:pt idx="49">
                  <c:v>1980</c:v>
                </c:pt>
                <c:pt idx="50">
                  <c:v>1981</c:v>
                </c:pt>
                <c:pt idx="51">
                  <c:v>1982</c:v>
                </c:pt>
                <c:pt idx="52">
                  <c:v>1983</c:v>
                </c:pt>
                <c:pt idx="53">
                  <c:v>1984</c:v>
                </c:pt>
                <c:pt idx="54">
                  <c:v>1985</c:v>
                </c:pt>
                <c:pt idx="55">
                  <c:v>1986</c:v>
                </c:pt>
                <c:pt idx="56">
                  <c:v>1987</c:v>
                </c:pt>
                <c:pt idx="57">
                  <c:v>1988</c:v>
                </c:pt>
                <c:pt idx="58">
                  <c:v>1989</c:v>
                </c:pt>
                <c:pt idx="59">
                  <c:v>1990</c:v>
                </c:pt>
                <c:pt idx="60">
                  <c:v>1991</c:v>
                </c:pt>
                <c:pt idx="61">
                  <c:v>1992</c:v>
                </c:pt>
                <c:pt idx="62">
                  <c:v>1993</c:v>
                </c:pt>
                <c:pt idx="63">
                  <c:v>1994</c:v>
                </c:pt>
                <c:pt idx="64">
                  <c:v>1995</c:v>
                </c:pt>
                <c:pt idx="65">
                  <c:v>1996</c:v>
                </c:pt>
                <c:pt idx="66">
                  <c:v>1997</c:v>
                </c:pt>
                <c:pt idx="67">
                  <c:v>1998</c:v>
                </c:pt>
                <c:pt idx="68">
                  <c:v>1999</c:v>
                </c:pt>
                <c:pt idx="69">
                  <c:v>2000</c:v>
                </c:pt>
                <c:pt idx="70">
                  <c:v>2001</c:v>
                </c:pt>
                <c:pt idx="71">
                  <c:v>2002</c:v>
                </c:pt>
                <c:pt idx="72">
                  <c:v>2003</c:v>
                </c:pt>
                <c:pt idx="73">
                  <c:v>2004</c:v>
                </c:pt>
                <c:pt idx="74">
                  <c:v>2005</c:v>
                </c:pt>
                <c:pt idx="75">
                  <c:v>2006</c:v>
                </c:pt>
                <c:pt idx="76">
                  <c:v>2007</c:v>
                </c:pt>
                <c:pt idx="77">
                  <c:v>2008</c:v>
                </c:pt>
                <c:pt idx="78">
                  <c:v>2009</c:v>
                </c:pt>
              </c:numCache>
            </c:numRef>
          </c:cat>
          <c:val>
            <c:numRef>
              <c:f>DATALRprices!$AD$169:$AD$247</c:f>
              <c:numCache>
                <c:formatCode>"$"#,##0.00</c:formatCode>
                <c:ptCount val="79"/>
                <c:pt idx="0">
                  <c:v>20.649999999999995</c:v>
                </c:pt>
                <c:pt idx="1">
                  <c:v>20.649999999999995</c:v>
                </c:pt>
                <c:pt idx="2">
                  <c:v>24.416352201257858</c:v>
                </c:pt>
                <c:pt idx="3">
                  <c:v>34.906192549588773</c:v>
                </c:pt>
                <c:pt idx="4">
                  <c:v>34.966134494436375</c:v>
                </c:pt>
                <c:pt idx="5">
                  <c:v>34.966134494436375</c:v>
                </c:pt>
                <c:pt idx="6">
                  <c:v>34.966134494436375</c:v>
                </c:pt>
                <c:pt idx="7">
                  <c:v>34.966134494436375</c:v>
                </c:pt>
                <c:pt idx="8">
                  <c:v>34.966134494436375</c:v>
                </c:pt>
                <c:pt idx="9">
                  <c:v>34.966134494436375</c:v>
                </c:pt>
                <c:pt idx="10">
                  <c:v>34.966134494436375</c:v>
                </c:pt>
                <c:pt idx="11">
                  <c:v>34.966134494436375</c:v>
                </c:pt>
                <c:pt idx="12">
                  <c:v>34.966134494436375</c:v>
                </c:pt>
                <c:pt idx="13">
                  <c:v>34.966134494436375</c:v>
                </c:pt>
                <c:pt idx="14">
                  <c:v>34.966134494436375</c:v>
                </c:pt>
                <c:pt idx="15">
                  <c:v>34.966134494436375</c:v>
                </c:pt>
                <c:pt idx="16">
                  <c:v>34.966134494436375</c:v>
                </c:pt>
                <c:pt idx="17">
                  <c:v>34.966134494436375</c:v>
                </c:pt>
                <c:pt idx="18">
                  <c:v>34.966134494436375</c:v>
                </c:pt>
                <c:pt idx="19">
                  <c:v>34.966134494436375</c:v>
                </c:pt>
                <c:pt idx="20">
                  <c:v>34.966134494436375</c:v>
                </c:pt>
                <c:pt idx="21">
                  <c:v>34.966134494436375</c:v>
                </c:pt>
                <c:pt idx="22">
                  <c:v>34.966134494436375</c:v>
                </c:pt>
                <c:pt idx="23">
                  <c:v>34.966134494436375</c:v>
                </c:pt>
                <c:pt idx="24">
                  <c:v>34.966134494436375</c:v>
                </c:pt>
                <c:pt idx="25">
                  <c:v>34.966134494436375</c:v>
                </c:pt>
                <c:pt idx="26">
                  <c:v>34.966134494436375</c:v>
                </c:pt>
                <c:pt idx="27">
                  <c:v>34.966134494436375</c:v>
                </c:pt>
                <c:pt idx="28">
                  <c:v>34.966134494436375</c:v>
                </c:pt>
                <c:pt idx="29">
                  <c:v>34.966134494436375</c:v>
                </c:pt>
                <c:pt idx="30">
                  <c:v>34.966134494436375</c:v>
                </c:pt>
                <c:pt idx="31">
                  <c:v>34.966134494436375</c:v>
                </c:pt>
                <c:pt idx="32">
                  <c:v>34.966134494436375</c:v>
                </c:pt>
                <c:pt idx="33">
                  <c:v>34.966134494436375</c:v>
                </c:pt>
                <c:pt idx="34">
                  <c:v>34.966134494436375</c:v>
                </c:pt>
                <c:pt idx="35">
                  <c:v>34.966134494436375</c:v>
                </c:pt>
                <c:pt idx="36">
                  <c:v>34.966134494436375</c:v>
                </c:pt>
                <c:pt idx="37">
                  <c:v>39.222012578616344</c:v>
                </c:pt>
                <c:pt idx="38">
                  <c:v>41.469835510401545</c:v>
                </c:pt>
                <c:pt idx="39">
                  <c:v>36.374770198355094</c:v>
                </c:pt>
                <c:pt idx="40">
                  <c:v>41.210087082728585</c:v>
                </c:pt>
                <c:pt idx="41">
                  <c:v>58.543299467827765</c:v>
                </c:pt>
                <c:pt idx="42">
                  <c:v>97.715360425737757</c:v>
                </c:pt>
                <c:pt idx="43">
                  <c:v>159.58543783260762</c:v>
                </c:pt>
                <c:pt idx="44">
                  <c:v>161.33374455732942</c:v>
                </c:pt>
                <c:pt idx="45" formatCode="[$$-409]#,##0.00">
                  <c:v>124.71</c:v>
                </c:pt>
                <c:pt idx="46" formatCode="[$$-409]#,##0.00">
                  <c:v>147.78</c:v>
                </c:pt>
                <c:pt idx="47" formatCode="[$$-409]#,##0.00">
                  <c:v>193.39</c:v>
                </c:pt>
                <c:pt idx="48" formatCode="[$$-409]#,##0.00">
                  <c:v>304.83</c:v>
                </c:pt>
                <c:pt idx="49" formatCode="[$$-409]#,##0.00">
                  <c:v>614.61</c:v>
                </c:pt>
                <c:pt idx="50" formatCode="[$$-409]#,##0.00">
                  <c:v>459.26</c:v>
                </c:pt>
                <c:pt idx="51" formatCode="[$$-409]#,##0.00">
                  <c:v>375.28</c:v>
                </c:pt>
                <c:pt idx="52" formatCode="[$$-409]#,##0.00">
                  <c:v>423.61</c:v>
                </c:pt>
                <c:pt idx="53" formatCode="[$$-409]#,##0.00">
                  <c:v>360.5</c:v>
                </c:pt>
                <c:pt idx="54" formatCode="[$$-409]#,##0.00">
                  <c:v>317.18</c:v>
                </c:pt>
                <c:pt idx="55" formatCode="[$$-409]#,##0.00">
                  <c:v>367.72</c:v>
                </c:pt>
                <c:pt idx="56" formatCode="[$$-409]#,##0.00">
                  <c:v>446.28</c:v>
                </c:pt>
                <c:pt idx="57" formatCode="[$$-409]#,##0.00">
                  <c:v>436.79</c:v>
                </c:pt>
                <c:pt idx="58" formatCode="[$$-409]#,##0.00">
                  <c:v>380.74</c:v>
                </c:pt>
                <c:pt idx="59" formatCode="[$$-409]#,##0.00">
                  <c:v>383.32</c:v>
                </c:pt>
                <c:pt idx="60" formatCode="[$$-409]#,##0.00">
                  <c:v>362.1</c:v>
                </c:pt>
                <c:pt idx="61" formatCode="[$$-409]#,##0.00">
                  <c:v>343.86</c:v>
                </c:pt>
                <c:pt idx="62" formatCode="[$$-409]#,##0.00">
                  <c:v>360</c:v>
                </c:pt>
                <c:pt idx="63" formatCode="[$$-409]#,##0.00">
                  <c:v>384.12</c:v>
                </c:pt>
                <c:pt idx="64" formatCode="[$$-409]#,##0.00">
                  <c:v>384.05</c:v>
                </c:pt>
                <c:pt idx="65" formatCode="[$$-409]#,##0.00">
                  <c:v>387.82</c:v>
                </c:pt>
                <c:pt idx="66" formatCode="[$$-409]#,##0.00">
                  <c:v>330.98</c:v>
                </c:pt>
                <c:pt idx="67" formatCode="[$$-409]#,##0.00">
                  <c:v>294.12</c:v>
                </c:pt>
                <c:pt idx="68" formatCode="[$$-409]#,##0.00">
                  <c:v>278.55</c:v>
                </c:pt>
                <c:pt idx="69" formatCode="[$$-409]#,##0.00">
                  <c:v>279.10000000000002</c:v>
                </c:pt>
                <c:pt idx="70" formatCode="[$$-409]#,##0.00">
                  <c:v>272.67</c:v>
                </c:pt>
                <c:pt idx="71" formatCode="[$$-409]#,##0.00">
                  <c:v>309.66000000000003</c:v>
                </c:pt>
                <c:pt idx="72" formatCode="[$$-409]#,##0.00">
                  <c:v>362.90983935742963</c:v>
                </c:pt>
                <c:pt idx="73" formatCode="[$$-409]#,##0.00">
                  <c:v>409.17182539682551</c:v>
                </c:pt>
                <c:pt idx="74" formatCode="[$$-409]#,##0.00">
                  <c:v>444.47220000000021</c:v>
                </c:pt>
                <c:pt idx="75" formatCode="[$$-409]#,##0.00">
                  <c:v>603.91999999999996</c:v>
                </c:pt>
                <c:pt idx="76" formatCode="[$$-409]#,##0.00">
                  <c:v>695.39342629482087</c:v>
                </c:pt>
                <c:pt idx="77" formatCode="[$$-409]#,##0.00">
                  <c:v>871.65251937984499</c:v>
                </c:pt>
                <c:pt idx="78" formatCode="#,##0.00">
                  <c:v>950.71673437271261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36160"/>
        <c:axId val="193837696"/>
      </c:lineChart>
      <c:lineChart>
        <c:grouping val="standard"/>
        <c:varyColors val="0"/>
        <c:ser>
          <c:idx val="1"/>
          <c:order val="1"/>
          <c:tx>
            <c:strRef>
              <c:f>DATALRprices!$AE$1</c:f>
              <c:strCache>
                <c:ptCount val="1"/>
                <c:pt idx="0">
                  <c:v>UKGoldprice</c:v>
                </c:pt>
              </c:strCache>
            </c:strRef>
          </c:tx>
          <c:spPr>
            <a:ln w="3492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'[1]DATAUSLR '!$A$169:$A$247</c:f>
              <c:numCache>
                <c:formatCode>General</c:formatCode>
                <c:ptCount val="79"/>
                <c:pt idx="0">
                  <c:v>1931</c:v>
                </c:pt>
                <c:pt idx="1">
                  <c:v>1932</c:v>
                </c:pt>
                <c:pt idx="2">
                  <c:v>1933</c:v>
                </c:pt>
                <c:pt idx="3">
                  <c:v>1934</c:v>
                </c:pt>
                <c:pt idx="4">
                  <c:v>1935</c:v>
                </c:pt>
                <c:pt idx="5">
                  <c:v>1936</c:v>
                </c:pt>
                <c:pt idx="6">
                  <c:v>1937</c:v>
                </c:pt>
                <c:pt idx="7">
                  <c:v>1938</c:v>
                </c:pt>
                <c:pt idx="8">
                  <c:v>1939</c:v>
                </c:pt>
                <c:pt idx="9">
                  <c:v>1940</c:v>
                </c:pt>
                <c:pt idx="10">
                  <c:v>1941</c:v>
                </c:pt>
                <c:pt idx="11">
                  <c:v>1942</c:v>
                </c:pt>
                <c:pt idx="12">
                  <c:v>1943</c:v>
                </c:pt>
                <c:pt idx="13">
                  <c:v>1944</c:v>
                </c:pt>
                <c:pt idx="14">
                  <c:v>1945</c:v>
                </c:pt>
                <c:pt idx="15">
                  <c:v>1946</c:v>
                </c:pt>
                <c:pt idx="16">
                  <c:v>1947</c:v>
                </c:pt>
                <c:pt idx="17">
                  <c:v>1948</c:v>
                </c:pt>
                <c:pt idx="18">
                  <c:v>1949</c:v>
                </c:pt>
                <c:pt idx="19">
                  <c:v>1950</c:v>
                </c:pt>
                <c:pt idx="20">
                  <c:v>1951</c:v>
                </c:pt>
                <c:pt idx="21">
                  <c:v>1952</c:v>
                </c:pt>
                <c:pt idx="22">
                  <c:v>1953</c:v>
                </c:pt>
                <c:pt idx="23">
                  <c:v>1954</c:v>
                </c:pt>
                <c:pt idx="24">
                  <c:v>1955</c:v>
                </c:pt>
                <c:pt idx="25">
                  <c:v>1956</c:v>
                </c:pt>
                <c:pt idx="26">
                  <c:v>1957</c:v>
                </c:pt>
                <c:pt idx="27">
                  <c:v>1958</c:v>
                </c:pt>
                <c:pt idx="28">
                  <c:v>1959</c:v>
                </c:pt>
                <c:pt idx="29">
                  <c:v>1960</c:v>
                </c:pt>
                <c:pt idx="30">
                  <c:v>1961</c:v>
                </c:pt>
                <c:pt idx="31">
                  <c:v>1962</c:v>
                </c:pt>
                <c:pt idx="32">
                  <c:v>1963</c:v>
                </c:pt>
                <c:pt idx="33">
                  <c:v>1964</c:v>
                </c:pt>
                <c:pt idx="34">
                  <c:v>1965</c:v>
                </c:pt>
                <c:pt idx="35">
                  <c:v>1966</c:v>
                </c:pt>
                <c:pt idx="36">
                  <c:v>1967</c:v>
                </c:pt>
                <c:pt idx="37">
                  <c:v>1968</c:v>
                </c:pt>
                <c:pt idx="38">
                  <c:v>1969</c:v>
                </c:pt>
                <c:pt idx="39">
                  <c:v>1970</c:v>
                </c:pt>
                <c:pt idx="40">
                  <c:v>1971</c:v>
                </c:pt>
                <c:pt idx="41">
                  <c:v>1972</c:v>
                </c:pt>
                <c:pt idx="42">
                  <c:v>1973</c:v>
                </c:pt>
                <c:pt idx="43">
                  <c:v>1974</c:v>
                </c:pt>
                <c:pt idx="44">
                  <c:v>1975</c:v>
                </c:pt>
                <c:pt idx="45">
                  <c:v>1976</c:v>
                </c:pt>
                <c:pt idx="46">
                  <c:v>1977</c:v>
                </c:pt>
                <c:pt idx="47">
                  <c:v>1978</c:v>
                </c:pt>
                <c:pt idx="48">
                  <c:v>1979</c:v>
                </c:pt>
                <c:pt idx="49">
                  <c:v>1980</c:v>
                </c:pt>
                <c:pt idx="50">
                  <c:v>1981</c:v>
                </c:pt>
                <c:pt idx="51">
                  <c:v>1982</c:v>
                </c:pt>
                <c:pt idx="52">
                  <c:v>1983</c:v>
                </c:pt>
                <c:pt idx="53">
                  <c:v>1984</c:v>
                </c:pt>
                <c:pt idx="54">
                  <c:v>1985</c:v>
                </c:pt>
                <c:pt idx="55">
                  <c:v>1986</c:v>
                </c:pt>
                <c:pt idx="56">
                  <c:v>1987</c:v>
                </c:pt>
                <c:pt idx="57">
                  <c:v>1988</c:v>
                </c:pt>
                <c:pt idx="58">
                  <c:v>1989</c:v>
                </c:pt>
                <c:pt idx="59">
                  <c:v>1990</c:v>
                </c:pt>
                <c:pt idx="60">
                  <c:v>1991</c:v>
                </c:pt>
                <c:pt idx="61">
                  <c:v>1992</c:v>
                </c:pt>
                <c:pt idx="62">
                  <c:v>1993</c:v>
                </c:pt>
                <c:pt idx="63">
                  <c:v>1994</c:v>
                </c:pt>
                <c:pt idx="64">
                  <c:v>1995</c:v>
                </c:pt>
                <c:pt idx="65">
                  <c:v>1996</c:v>
                </c:pt>
                <c:pt idx="66">
                  <c:v>1997</c:v>
                </c:pt>
                <c:pt idx="67">
                  <c:v>1998</c:v>
                </c:pt>
                <c:pt idx="68">
                  <c:v>1999</c:v>
                </c:pt>
                <c:pt idx="69">
                  <c:v>2000</c:v>
                </c:pt>
                <c:pt idx="70">
                  <c:v>2001</c:v>
                </c:pt>
                <c:pt idx="71">
                  <c:v>2002</c:v>
                </c:pt>
                <c:pt idx="72">
                  <c:v>2003</c:v>
                </c:pt>
                <c:pt idx="73">
                  <c:v>2004</c:v>
                </c:pt>
                <c:pt idx="74">
                  <c:v>2005</c:v>
                </c:pt>
                <c:pt idx="75">
                  <c:v>2006</c:v>
                </c:pt>
                <c:pt idx="76">
                  <c:v>2007</c:v>
                </c:pt>
                <c:pt idx="77">
                  <c:v>2008</c:v>
                </c:pt>
                <c:pt idx="78">
                  <c:v>2009</c:v>
                </c:pt>
              </c:numCache>
            </c:numRef>
          </c:cat>
          <c:val>
            <c:numRef>
              <c:f>DATALRprices!$AE$169:$AE$247</c:f>
              <c:numCache>
                <c:formatCode>[$£-809]#,##0.000</c:formatCode>
                <c:ptCount val="79"/>
                <c:pt idx="0">
                  <c:v>4.2421694117647055</c:v>
                </c:pt>
                <c:pt idx="1">
                  <c:v>5.4057882352941169</c:v>
                </c:pt>
                <c:pt idx="2">
                  <c:v>5.7173082352941176</c:v>
                </c:pt>
                <c:pt idx="3">
                  <c:v>6.3036988235294125</c:v>
                </c:pt>
                <c:pt idx="4">
                  <c:v>6.5144329411764703</c:v>
                </c:pt>
                <c:pt idx="5">
                  <c:v>6.4228094117647059</c:v>
                </c:pt>
                <c:pt idx="6">
                  <c:v>6.4502964705882357</c:v>
                </c:pt>
                <c:pt idx="7">
                  <c:v>6.5327576470588236</c:v>
                </c:pt>
                <c:pt idx="8">
                  <c:v>7.0733364705882353</c:v>
                </c:pt>
                <c:pt idx="9">
                  <c:v>7.6963764705882367</c:v>
                </c:pt>
                <c:pt idx="10">
                  <c:v>7.6963764705882367</c:v>
                </c:pt>
                <c:pt idx="11">
                  <c:v>7.6963764705882367</c:v>
                </c:pt>
                <c:pt idx="12">
                  <c:v>7.6963764705882367</c:v>
                </c:pt>
                <c:pt idx="13">
                  <c:v>7.6963764705882367</c:v>
                </c:pt>
                <c:pt idx="14">
                  <c:v>7.6963764705882367</c:v>
                </c:pt>
                <c:pt idx="15">
                  <c:v>7.6963764705882367</c:v>
                </c:pt>
                <c:pt idx="16">
                  <c:v>7.6963764705882367</c:v>
                </c:pt>
                <c:pt idx="17">
                  <c:v>7.6963764705882367</c:v>
                </c:pt>
                <c:pt idx="18">
                  <c:v>7.6963764705882367</c:v>
                </c:pt>
                <c:pt idx="19">
                  <c:v>11.358045378151262</c:v>
                </c:pt>
                <c:pt idx="20">
                  <c:v>11.358045378151262</c:v>
                </c:pt>
                <c:pt idx="21">
                  <c:v>11.398755218216319</c:v>
                </c:pt>
                <c:pt idx="22">
                  <c:v>11.317625287837556</c:v>
                </c:pt>
                <c:pt idx="23">
                  <c:v>11.399140883399623</c:v>
                </c:pt>
                <c:pt idx="24">
                  <c:v>11.49727514231499</c:v>
                </c:pt>
                <c:pt idx="25">
                  <c:v>11.452941176470588</c:v>
                </c:pt>
                <c:pt idx="26">
                  <c:v>11.477571157495255</c:v>
                </c:pt>
                <c:pt idx="27">
                  <c:v>11.444789616914385</c:v>
                </c:pt>
                <c:pt idx="28">
                  <c:v>11.441528993091902</c:v>
                </c:pt>
                <c:pt idx="29">
                  <c:v>11.503480845719071</c:v>
                </c:pt>
                <c:pt idx="30">
                  <c:v>11.502025210084035</c:v>
                </c:pt>
                <c:pt idx="31">
                  <c:v>11.444789616914385</c:v>
                </c:pt>
                <c:pt idx="32">
                  <c:v>11.482391596638656</c:v>
                </c:pt>
                <c:pt idx="33">
                  <c:v>11.523547122074637</c:v>
                </c:pt>
                <c:pt idx="34">
                  <c:v>11.49548067226891</c:v>
                </c:pt>
                <c:pt idx="35">
                  <c:v>11.549819101834283</c:v>
                </c:pt>
                <c:pt idx="36">
                  <c:v>11.724479999999998</c:v>
                </c:pt>
                <c:pt idx="37">
                  <c:v>14.832277627368937</c:v>
                </c:pt>
                <c:pt idx="38">
                  <c:v>15.752346541964068</c:v>
                </c:pt>
                <c:pt idx="39">
                  <c:v>13.720623529411766</c:v>
                </c:pt>
                <c:pt idx="40">
                  <c:v>15.320655737704918</c:v>
                </c:pt>
                <c:pt idx="41">
                  <c:v>21.315297882352944</c:v>
                </c:pt>
                <c:pt idx="42">
                  <c:v>36.395109723889547</c:v>
                </c:pt>
                <c:pt idx="43">
                  <c:v>62.358817496229257</c:v>
                </c:pt>
                <c:pt idx="44">
                  <c:v>66.455949125596177</c:v>
                </c:pt>
                <c:pt idx="45" formatCode="&quot;£&quot;#,##0.00">
                  <c:v>73.255402259999997</c:v>
                </c:pt>
                <c:pt idx="46" formatCode="&quot;£&quot;#,##0.00">
                  <c:v>77.534107019999993</c:v>
                </c:pt>
                <c:pt idx="47" formatCode="&quot;£&quot;#,##0.00">
                  <c:v>95.055246189999991</c:v>
                </c:pt>
                <c:pt idx="48" formatCode="&quot;£&quot;#,##0.00">
                  <c:v>137.06376119999999</c:v>
                </c:pt>
                <c:pt idx="49" formatCode="&quot;£&quot;#,##0.00">
                  <c:v>257.69798307000002</c:v>
                </c:pt>
                <c:pt idx="50" formatCode="&quot;£&quot;#,##0.00">
                  <c:v>240.70229934000002</c:v>
                </c:pt>
                <c:pt idx="51" formatCode="&quot;£&quot;#,##0.00">
                  <c:v>232.44355335999998</c:v>
                </c:pt>
                <c:pt idx="52" formatCode="&quot;£&quot;#,##0.00">
                  <c:v>292.02402570000004</c:v>
                </c:pt>
                <c:pt idx="53" formatCode="&quot;£&quot;#,##0.00">
                  <c:v>311.71641899999997</c:v>
                </c:pt>
                <c:pt idx="54" formatCode="&quot;£&quot;#,##0.00">
                  <c:v>219.57768758</c:v>
                </c:pt>
                <c:pt idx="55" formatCode="&quot;£&quot;#,##0.00">
                  <c:v>249.38623312000001</c:v>
                </c:pt>
                <c:pt idx="56" formatCode="&quot;£&quot;#,##0.00">
                  <c:v>238.46123867999998</c:v>
                </c:pt>
                <c:pt idx="57" formatCode="&quot;£&quot;#,##0.00">
                  <c:v>241.38718881</c:v>
                </c:pt>
                <c:pt idx="58" formatCode="&quot;£&quot;#,##0.00">
                  <c:v>237.14733566000004</c:v>
                </c:pt>
                <c:pt idx="59" formatCode="&quot;£&quot;#,##0.00">
                  <c:v>198.81735104000001</c:v>
                </c:pt>
                <c:pt idx="60" formatCode="&quot;£&quot;#,##0.00">
                  <c:v>193.56381390000001</c:v>
                </c:pt>
                <c:pt idx="61" formatCode="&quot;£&quot;#,##0.00">
                  <c:v>227.42075136</c:v>
                </c:pt>
                <c:pt idx="62" formatCode="&quot;£&quot;#,##0.00">
                  <c:v>243.04607999999999</c:v>
                </c:pt>
                <c:pt idx="63" formatCode="&quot;£&quot;#,##0.00">
                  <c:v>245.83680000000001</c:v>
                </c:pt>
                <c:pt idx="64" formatCode="&quot;£&quot;#,##0.00">
                  <c:v>247.77408205</c:v>
                </c:pt>
                <c:pt idx="65" formatCode="&quot;£&quot;#,##0.00">
                  <c:v>228.39805695999999</c:v>
                </c:pt>
                <c:pt idx="66" formatCode="&quot;£&quot;#,##0.00">
                  <c:v>200.13301464</c:v>
                </c:pt>
                <c:pt idx="67" formatCode="&quot;£&quot;#,##0.00">
                  <c:v>176.80788504</c:v>
                </c:pt>
                <c:pt idx="68" formatCode="&quot;£&quot;#,##0.00">
                  <c:v>172.32746445000001</c:v>
                </c:pt>
                <c:pt idx="69" formatCode="&quot;£&quot;#,##0.00">
                  <c:v>187.03914410000002</c:v>
                </c:pt>
                <c:pt idx="70" formatCode="&quot;£&quot;#,##0.00">
                  <c:v>187.99642155000001</c:v>
                </c:pt>
                <c:pt idx="71" formatCode="&quot;£&quot;#,##0.00">
                  <c:v>209.67</c:v>
                </c:pt>
                <c:pt idx="72" formatCode="&quot;£&quot;#,##0.00">
                  <c:v>222.19794128535273</c:v>
                </c:pt>
                <c:pt idx="73" formatCode="&quot;£&quot;#,##0.00">
                  <c:v>223.36338465945246</c:v>
                </c:pt>
                <c:pt idx="74" formatCode="&quot;£&quot;#,##0.00">
                  <c:v>244.85611243871273</c:v>
                </c:pt>
                <c:pt idx="75" formatCode="&quot;£&quot;#,##0.00">
                  <c:v>327.60000000000002</c:v>
                </c:pt>
                <c:pt idx="76" formatCode="&quot;£&quot;#,##0.00">
                  <c:v>347.11789501683484</c:v>
                </c:pt>
                <c:pt idx="77" formatCode="&quot;£&quot;#,##0.00">
                  <c:v>473.17235434529039</c:v>
                </c:pt>
                <c:pt idx="78" formatCode="0.00">
                  <c:v>610.09501850068102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55872"/>
        <c:axId val="193857408"/>
      </c:lineChart>
      <c:catAx>
        <c:axId val="19383616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93837696"/>
        <c:crossesAt val="0"/>
        <c:auto val="1"/>
        <c:lblAlgn val="ctr"/>
        <c:lblOffset val="100"/>
        <c:tickLblSkip val="5"/>
        <c:tickMarkSkip val="5"/>
        <c:noMultiLvlLbl val="0"/>
      </c:catAx>
      <c:valAx>
        <c:axId val="193837696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93836160"/>
        <c:crosses val="autoZero"/>
        <c:crossBetween val="midCat"/>
      </c:valAx>
      <c:catAx>
        <c:axId val="193855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857408"/>
        <c:crosses val="autoZero"/>
        <c:auto val="1"/>
        <c:lblAlgn val="ctr"/>
        <c:lblOffset val="100"/>
        <c:noMultiLvlLbl val="0"/>
      </c:catAx>
      <c:valAx>
        <c:axId val="193857408"/>
        <c:scaling>
          <c:logBase val="10"/>
          <c:orientation val="minMax"/>
        </c:scaling>
        <c:delete val="0"/>
        <c:axPos val="r"/>
        <c:numFmt formatCode="[$£-809]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93855872"/>
        <c:crosses val="max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06049822064045E-2"/>
          <c:y val="7.4673272143076244E-2"/>
          <c:w val="0.88879003558718894"/>
          <c:h val="0.82156064850709931"/>
        </c:manualLayout>
      </c:layout>
      <c:lineChart>
        <c:grouping val="standard"/>
        <c:varyColors val="0"/>
        <c:ser>
          <c:idx val="0"/>
          <c:order val="0"/>
          <c:tx>
            <c:strRef>
              <c:f>DATALRprices!$Z$1</c:f>
              <c:strCache>
                <c:ptCount val="1"/>
                <c:pt idx="0">
                  <c:v>UKWPI1790base</c:v>
                </c:pt>
              </c:strCache>
            </c:strRef>
          </c:tx>
          <c:spPr>
            <a:ln w="412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'[1]DATAUSLR '!$A$28:$A$247</c:f>
              <c:numCache>
                <c:formatCode>General</c:formatCode>
                <c:ptCount val="220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  <c:pt idx="151">
                  <c:v>1941</c:v>
                </c:pt>
                <c:pt idx="152">
                  <c:v>1942</c:v>
                </c:pt>
                <c:pt idx="153">
                  <c:v>1943</c:v>
                </c:pt>
                <c:pt idx="154">
                  <c:v>1944</c:v>
                </c:pt>
                <c:pt idx="155">
                  <c:v>1945</c:v>
                </c:pt>
                <c:pt idx="156">
                  <c:v>1946</c:v>
                </c:pt>
                <c:pt idx="157">
                  <c:v>1947</c:v>
                </c:pt>
                <c:pt idx="158">
                  <c:v>1948</c:v>
                </c:pt>
                <c:pt idx="159">
                  <c:v>1949</c:v>
                </c:pt>
                <c:pt idx="160">
                  <c:v>1950</c:v>
                </c:pt>
                <c:pt idx="161">
                  <c:v>1951</c:v>
                </c:pt>
                <c:pt idx="162">
                  <c:v>1952</c:v>
                </c:pt>
                <c:pt idx="163">
                  <c:v>1953</c:v>
                </c:pt>
                <c:pt idx="164">
                  <c:v>1954</c:v>
                </c:pt>
                <c:pt idx="165">
                  <c:v>1955</c:v>
                </c:pt>
                <c:pt idx="166">
                  <c:v>1956</c:v>
                </c:pt>
                <c:pt idx="167">
                  <c:v>1957</c:v>
                </c:pt>
                <c:pt idx="168">
                  <c:v>1958</c:v>
                </c:pt>
                <c:pt idx="169">
                  <c:v>1959</c:v>
                </c:pt>
                <c:pt idx="170">
                  <c:v>1960</c:v>
                </c:pt>
                <c:pt idx="171">
                  <c:v>1961</c:v>
                </c:pt>
                <c:pt idx="172">
                  <c:v>1962</c:v>
                </c:pt>
                <c:pt idx="173">
                  <c:v>1963</c:v>
                </c:pt>
                <c:pt idx="174">
                  <c:v>1964</c:v>
                </c:pt>
                <c:pt idx="175">
                  <c:v>1965</c:v>
                </c:pt>
                <c:pt idx="176">
                  <c:v>1966</c:v>
                </c:pt>
                <c:pt idx="177">
                  <c:v>1967</c:v>
                </c:pt>
                <c:pt idx="178">
                  <c:v>1968</c:v>
                </c:pt>
                <c:pt idx="179">
                  <c:v>1969</c:v>
                </c:pt>
                <c:pt idx="180">
                  <c:v>1970</c:v>
                </c:pt>
                <c:pt idx="181">
                  <c:v>1971</c:v>
                </c:pt>
                <c:pt idx="182">
                  <c:v>1972</c:v>
                </c:pt>
                <c:pt idx="183">
                  <c:v>1973</c:v>
                </c:pt>
                <c:pt idx="184">
                  <c:v>1974</c:v>
                </c:pt>
                <c:pt idx="185">
                  <c:v>1975</c:v>
                </c:pt>
                <c:pt idx="186">
                  <c:v>1976</c:v>
                </c:pt>
                <c:pt idx="187">
                  <c:v>1977</c:v>
                </c:pt>
                <c:pt idx="188">
                  <c:v>1978</c:v>
                </c:pt>
                <c:pt idx="189">
                  <c:v>1979</c:v>
                </c:pt>
                <c:pt idx="190">
                  <c:v>1980</c:v>
                </c:pt>
                <c:pt idx="191">
                  <c:v>1981</c:v>
                </c:pt>
                <c:pt idx="192">
                  <c:v>1982</c:v>
                </c:pt>
                <c:pt idx="193">
                  <c:v>1983</c:v>
                </c:pt>
                <c:pt idx="194">
                  <c:v>1984</c:v>
                </c:pt>
                <c:pt idx="195">
                  <c:v>1985</c:v>
                </c:pt>
                <c:pt idx="196">
                  <c:v>1986</c:v>
                </c:pt>
                <c:pt idx="197">
                  <c:v>1987</c:v>
                </c:pt>
                <c:pt idx="198">
                  <c:v>1988</c:v>
                </c:pt>
                <c:pt idx="199">
                  <c:v>1989</c:v>
                </c:pt>
                <c:pt idx="200">
                  <c:v>1990</c:v>
                </c:pt>
                <c:pt idx="201">
                  <c:v>1991</c:v>
                </c:pt>
                <c:pt idx="202">
                  <c:v>1992</c:v>
                </c:pt>
                <c:pt idx="203">
                  <c:v>1993</c:v>
                </c:pt>
                <c:pt idx="204">
                  <c:v>1994</c:v>
                </c:pt>
                <c:pt idx="205">
                  <c:v>1995</c:v>
                </c:pt>
                <c:pt idx="206">
                  <c:v>1996</c:v>
                </c:pt>
                <c:pt idx="207">
                  <c:v>1997</c:v>
                </c:pt>
                <c:pt idx="208">
                  <c:v>1998</c:v>
                </c:pt>
                <c:pt idx="209">
                  <c:v>1999</c:v>
                </c:pt>
                <c:pt idx="210">
                  <c:v>2000</c:v>
                </c:pt>
                <c:pt idx="211">
                  <c:v>2001</c:v>
                </c:pt>
                <c:pt idx="212">
                  <c:v>2002</c:v>
                </c:pt>
                <c:pt idx="213">
                  <c:v>2003</c:v>
                </c:pt>
                <c:pt idx="214">
                  <c:v>2004</c:v>
                </c:pt>
                <c:pt idx="215">
                  <c:v>2005</c:v>
                </c:pt>
                <c:pt idx="216">
                  <c:v>2006</c:v>
                </c:pt>
                <c:pt idx="217">
                  <c:v>2007</c:v>
                </c:pt>
                <c:pt idx="218">
                  <c:v>2008</c:v>
                </c:pt>
                <c:pt idx="219">
                  <c:v>2009</c:v>
                </c:pt>
              </c:numCache>
            </c:numRef>
          </c:cat>
          <c:val>
            <c:numRef>
              <c:f>DATALRprices!$Z$28:$Z$247</c:f>
              <c:numCache>
                <c:formatCode>General</c:formatCode>
                <c:ptCount val="220"/>
                <c:pt idx="0">
                  <c:v>100</c:v>
                </c:pt>
                <c:pt idx="1">
                  <c:v>100.41450777202073</c:v>
                </c:pt>
                <c:pt idx="2">
                  <c:v>98.652849740932638</c:v>
                </c:pt>
                <c:pt idx="3">
                  <c:v>108.18652849740933</c:v>
                </c:pt>
                <c:pt idx="4">
                  <c:v>110.25906735751295</c:v>
                </c:pt>
                <c:pt idx="5">
                  <c:v>128.60103626943004</c:v>
                </c:pt>
                <c:pt idx="6">
                  <c:v>129.94818652849742</c:v>
                </c:pt>
                <c:pt idx="7">
                  <c:v>118.860103626943</c:v>
                </c:pt>
                <c:pt idx="8">
                  <c:v>120.82901554404145</c:v>
                </c:pt>
                <c:pt idx="9">
                  <c:v>139.48186528497411</c:v>
                </c:pt>
                <c:pt idx="10">
                  <c:v>169.01554404145077</c:v>
                </c:pt>
                <c:pt idx="11">
                  <c:v>169.11917098445593</c:v>
                </c:pt>
                <c:pt idx="12">
                  <c:v>136.78756476683938</c:v>
                </c:pt>
                <c:pt idx="13">
                  <c:v>138.34196891191709</c:v>
                </c:pt>
                <c:pt idx="14">
                  <c:v>139.17098445595857</c:v>
                </c:pt>
                <c:pt idx="15">
                  <c:v>152.43523316062175</c:v>
                </c:pt>
                <c:pt idx="16">
                  <c:v>150.56994818652851</c:v>
                </c:pt>
                <c:pt idx="17">
                  <c:v>146.83937823834194</c:v>
                </c:pt>
                <c:pt idx="18">
                  <c:v>161.76165803108807</c:v>
                </c:pt>
                <c:pt idx="19">
                  <c:v>173.47150259067357</c:v>
                </c:pt>
                <c:pt idx="20">
                  <c:v>171.70984455958549</c:v>
                </c:pt>
                <c:pt idx="21">
                  <c:v>162.79792746113989</c:v>
                </c:pt>
                <c:pt idx="22">
                  <c:v>183.21243523316062</c:v>
                </c:pt>
                <c:pt idx="23">
                  <c:v>189.11917098445596</c:v>
                </c:pt>
                <c:pt idx="24">
                  <c:v>172.02072538860102</c:v>
                </c:pt>
                <c:pt idx="25">
                  <c:v>145.38860103626945</c:v>
                </c:pt>
                <c:pt idx="26">
                  <c:v>132.74611398963731</c:v>
                </c:pt>
                <c:pt idx="27">
                  <c:v>148.08290155440415</c:v>
                </c:pt>
                <c:pt idx="28">
                  <c:v>155.23316062176167</c:v>
                </c:pt>
                <c:pt idx="29">
                  <c:v>143.41968911917098</c:v>
                </c:pt>
                <c:pt idx="30">
                  <c:v>129.22279792746113</c:v>
                </c:pt>
                <c:pt idx="31">
                  <c:v>111.60621761658031</c:v>
                </c:pt>
                <c:pt idx="32">
                  <c:v>98.445595854922274</c:v>
                </c:pt>
                <c:pt idx="33">
                  <c:v>109.22279792746114</c:v>
                </c:pt>
                <c:pt idx="34">
                  <c:v>114.09326424870466</c:v>
                </c:pt>
                <c:pt idx="35">
                  <c:v>126.52849740932642</c:v>
                </c:pt>
                <c:pt idx="36">
                  <c:v>111.91709844559585</c:v>
                </c:pt>
                <c:pt idx="37">
                  <c:v>111.19170984455958</c:v>
                </c:pt>
                <c:pt idx="38">
                  <c:v>107.87564766839378</c:v>
                </c:pt>
                <c:pt idx="39">
                  <c:v>107.25388601036269</c:v>
                </c:pt>
                <c:pt idx="40">
                  <c:v>105.80310880829016</c:v>
                </c:pt>
                <c:pt idx="41">
                  <c:v>106.6321243523316</c:v>
                </c:pt>
                <c:pt idx="42">
                  <c:v>102.38341968911917</c:v>
                </c:pt>
                <c:pt idx="43">
                  <c:v>99.170984455958546</c:v>
                </c:pt>
                <c:pt idx="44">
                  <c:v>96.787564766839381</c:v>
                </c:pt>
                <c:pt idx="45">
                  <c:v>94.611398963730565</c:v>
                </c:pt>
                <c:pt idx="46">
                  <c:v>106.52849740932642</c:v>
                </c:pt>
                <c:pt idx="47">
                  <c:v>105.5958549222798</c:v>
                </c:pt>
                <c:pt idx="48">
                  <c:v>109.53367875647669</c:v>
                </c:pt>
                <c:pt idx="49">
                  <c:v>116.78756476683938</c:v>
                </c:pt>
                <c:pt idx="50">
                  <c:v>114.71502590673575</c:v>
                </c:pt>
                <c:pt idx="51">
                  <c:v>109.32642487046633</c:v>
                </c:pt>
                <c:pt idx="52">
                  <c:v>99.37823834196891</c:v>
                </c:pt>
                <c:pt idx="53">
                  <c:v>89.222797927461144</c:v>
                </c:pt>
                <c:pt idx="54">
                  <c:v>90.777202072538856</c:v>
                </c:pt>
                <c:pt idx="55">
                  <c:v>93.264248704663217</c:v>
                </c:pt>
                <c:pt idx="56">
                  <c:v>96.269430051813472</c:v>
                </c:pt>
                <c:pt idx="57">
                  <c:v>108.39378238341969</c:v>
                </c:pt>
                <c:pt idx="58">
                  <c:v>91.606217616580309</c:v>
                </c:pt>
                <c:pt idx="59">
                  <c:v>82.69430051813471</c:v>
                </c:pt>
                <c:pt idx="60">
                  <c:v>82.279792746113998</c:v>
                </c:pt>
                <c:pt idx="61">
                  <c:v>80.103626943005182</c:v>
                </c:pt>
                <c:pt idx="62">
                  <c:v>83.316062176165815</c:v>
                </c:pt>
                <c:pt idx="63">
                  <c:v>101.45077720207254</c:v>
                </c:pt>
                <c:pt idx="64">
                  <c:v>109.01554404145078</c:v>
                </c:pt>
                <c:pt idx="65">
                  <c:v>107.87564766839378</c:v>
                </c:pt>
                <c:pt idx="66">
                  <c:v>107.87564766839378</c:v>
                </c:pt>
                <c:pt idx="67">
                  <c:v>112.12435233160622</c:v>
                </c:pt>
                <c:pt idx="68">
                  <c:v>97.202072538860108</c:v>
                </c:pt>
                <c:pt idx="69">
                  <c:v>100.41450777202073</c:v>
                </c:pt>
                <c:pt idx="70">
                  <c:v>105.80310880829016</c:v>
                </c:pt>
                <c:pt idx="71">
                  <c:v>104.66321243523316</c:v>
                </c:pt>
                <c:pt idx="72">
                  <c:v>107.87564766839378</c:v>
                </c:pt>
                <c:pt idx="73">
                  <c:v>110.05181347150258</c:v>
                </c:pt>
                <c:pt idx="74">
                  <c:v>112.12435233160622</c:v>
                </c:pt>
                <c:pt idx="75">
                  <c:v>107.87564766839378</c:v>
                </c:pt>
                <c:pt idx="76">
                  <c:v>109.01554404145078</c:v>
                </c:pt>
                <c:pt idx="77">
                  <c:v>106.83937823834196</c:v>
                </c:pt>
                <c:pt idx="78">
                  <c:v>105.80310880829016</c:v>
                </c:pt>
                <c:pt idx="79">
                  <c:v>104.66321243523316</c:v>
                </c:pt>
                <c:pt idx="80">
                  <c:v>102.59067357512953</c:v>
                </c:pt>
                <c:pt idx="81">
                  <c:v>106.83937823834196</c:v>
                </c:pt>
                <c:pt idx="82">
                  <c:v>116.47668393782384</c:v>
                </c:pt>
                <c:pt idx="83">
                  <c:v>118.54922279792746</c:v>
                </c:pt>
                <c:pt idx="84">
                  <c:v>109.01554404145078</c:v>
                </c:pt>
                <c:pt idx="85">
                  <c:v>102.59067357512953</c:v>
                </c:pt>
                <c:pt idx="86">
                  <c:v>101.45077720207254</c:v>
                </c:pt>
                <c:pt idx="87">
                  <c:v>100.41450777202073</c:v>
                </c:pt>
                <c:pt idx="88">
                  <c:v>92.953367875647672</c:v>
                </c:pt>
                <c:pt idx="89">
                  <c:v>88.704663212435236</c:v>
                </c:pt>
                <c:pt idx="90">
                  <c:v>93.989637305699489</c:v>
                </c:pt>
                <c:pt idx="91">
                  <c:v>90.777202072538856</c:v>
                </c:pt>
                <c:pt idx="92">
                  <c:v>89.740932642487053</c:v>
                </c:pt>
                <c:pt idx="93">
                  <c:v>87.564766839378237</c:v>
                </c:pt>
                <c:pt idx="94">
                  <c:v>81.243523316062181</c:v>
                </c:pt>
                <c:pt idx="95">
                  <c:v>76.891191709844563</c:v>
                </c:pt>
                <c:pt idx="96">
                  <c:v>73.67875647668393</c:v>
                </c:pt>
                <c:pt idx="97">
                  <c:v>72.642487046632112</c:v>
                </c:pt>
                <c:pt idx="98">
                  <c:v>74.818652849740928</c:v>
                </c:pt>
                <c:pt idx="99">
                  <c:v>76.891191709844563</c:v>
                </c:pt>
                <c:pt idx="100">
                  <c:v>76.891191709844563</c:v>
                </c:pt>
                <c:pt idx="101">
                  <c:v>76.891191709844563</c:v>
                </c:pt>
                <c:pt idx="102">
                  <c:v>72.642487046632112</c:v>
                </c:pt>
                <c:pt idx="103">
                  <c:v>72.642487046632112</c:v>
                </c:pt>
                <c:pt idx="104">
                  <c:v>67.253886010362706</c:v>
                </c:pt>
                <c:pt idx="105">
                  <c:v>66.217616580310874</c:v>
                </c:pt>
                <c:pt idx="106">
                  <c:v>65.181347150259072</c:v>
                </c:pt>
                <c:pt idx="107">
                  <c:v>66.217616580310874</c:v>
                </c:pt>
                <c:pt idx="108">
                  <c:v>68.393782383419691</c:v>
                </c:pt>
                <c:pt idx="109">
                  <c:v>72.642487046632112</c:v>
                </c:pt>
                <c:pt idx="110">
                  <c:v>80.103626943005182</c:v>
                </c:pt>
                <c:pt idx="111">
                  <c:v>74.818652849740928</c:v>
                </c:pt>
                <c:pt idx="112">
                  <c:v>73.67875647668393</c:v>
                </c:pt>
                <c:pt idx="113">
                  <c:v>76.787564766839367</c:v>
                </c:pt>
                <c:pt idx="114">
                  <c:v>74.818652849740928</c:v>
                </c:pt>
                <c:pt idx="115">
                  <c:v>76.891191709844563</c:v>
                </c:pt>
                <c:pt idx="116">
                  <c:v>82.279792746113998</c:v>
                </c:pt>
                <c:pt idx="117">
                  <c:v>85.492227979274617</c:v>
                </c:pt>
                <c:pt idx="118">
                  <c:v>78.031088082901547</c:v>
                </c:pt>
                <c:pt idx="119">
                  <c:v>79.067357512953365</c:v>
                </c:pt>
                <c:pt idx="120">
                  <c:v>83.316062176165815</c:v>
                </c:pt>
                <c:pt idx="121">
                  <c:v>85.492227979274617</c:v>
                </c:pt>
                <c:pt idx="122">
                  <c:v>90.777202072538856</c:v>
                </c:pt>
                <c:pt idx="123">
                  <c:v>90.777202072538856</c:v>
                </c:pt>
                <c:pt idx="124">
                  <c:v>90.777202072538856</c:v>
                </c:pt>
                <c:pt idx="125">
                  <c:v>115.33678756476684</c:v>
                </c:pt>
                <c:pt idx="126">
                  <c:v>145.28497409326422</c:v>
                </c:pt>
                <c:pt idx="127">
                  <c:v>191.1917098445596</c:v>
                </c:pt>
                <c:pt idx="128">
                  <c:v>205.07772020725389</c:v>
                </c:pt>
                <c:pt idx="129">
                  <c:v>220.10362694300517</c:v>
                </c:pt>
                <c:pt idx="130">
                  <c:v>268.18652849740931</c:v>
                </c:pt>
                <c:pt idx="131">
                  <c:v>165.59585492227981</c:v>
                </c:pt>
                <c:pt idx="132">
                  <c:v>140</c:v>
                </c:pt>
                <c:pt idx="133">
                  <c:v>137.8238341968912</c:v>
                </c:pt>
                <c:pt idx="134">
                  <c:v>148.4974093264249</c:v>
                </c:pt>
                <c:pt idx="135">
                  <c:v>145.28497409326422</c:v>
                </c:pt>
                <c:pt idx="136">
                  <c:v>134.61139896373058</c:v>
                </c:pt>
                <c:pt idx="137">
                  <c:v>130.36269430051814</c:v>
                </c:pt>
                <c:pt idx="138">
                  <c:v>128.18652849740931</c:v>
                </c:pt>
                <c:pt idx="139">
                  <c:v>123.10880829015544</c:v>
                </c:pt>
                <c:pt idx="140">
                  <c:v>103.62694300518135</c:v>
                </c:pt>
                <c:pt idx="141">
                  <c:v>88.704663212435236</c:v>
                </c:pt>
                <c:pt idx="142">
                  <c:v>85.492227979274617</c:v>
                </c:pt>
                <c:pt idx="143">
                  <c:v>84.352331606217632</c:v>
                </c:pt>
                <c:pt idx="144">
                  <c:v>87.564766839378237</c:v>
                </c:pt>
                <c:pt idx="145">
                  <c:v>89.740932642487053</c:v>
                </c:pt>
                <c:pt idx="146">
                  <c:v>95.129533678756474</c:v>
                </c:pt>
                <c:pt idx="147">
                  <c:v>109.01554404145078</c:v>
                </c:pt>
                <c:pt idx="148">
                  <c:v>97.202072538860108</c:v>
                </c:pt>
                <c:pt idx="149">
                  <c:v>102.33242805390113</c:v>
                </c:pt>
                <c:pt idx="150">
                  <c:v>137.1284662362263</c:v>
                </c:pt>
                <c:pt idx="151">
                  <c:v>151.50055025245447</c:v>
                </c:pt>
                <c:pt idx="152">
                  <c:v>161.61948980025593</c:v>
                </c:pt>
                <c:pt idx="153">
                  <c:v>164.18023719895481</c:v>
                </c:pt>
                <c:pt idx="154">
                  <c:v>168.99160687886371</c:v>
                </c:pt>
                <c:pt idx="155">
                  <c:v>173.48399072364057</c:v>
                </c:pt>
                <c:pt idx="156">
                  <c:v>167.87564766839378</c:v>
                </c:pt>
                <c:pt idx="157">
                  <c:v>183.83419689119171</c:v>
                </c:pt>
                <c:pt idx="158">
                  <c:v>210.15544041450778</c:v>
                </c:pt>
                <c:pt idx="159">
                  <c:v>220.41450777202073</c:v>
                </c:pt>
                <c:pt idx="160">
                  <c:v>256.99481865284974</c:v>
                </c:pt>
                <c:pt idx="161">
                  <c:v>378.96373056994821</c:v>
                </c:pt>
                <c:pt idx="162">
                  <c:v>388.70466321243521</c:v>
                </c:pt>
                <c:pt idx="163">
                  <c:v>389.11917098445593</c:v>
                </c:pt>
                <c:pt idx="164">
                  <c:v>391.50259067357513</c:v>
                </c:pt>
                <c:pt idx="165">
                  <c:v>403.52331606217615</c:v>
                </c:pt>
                <c:pt idx="166">
                  <c:v>420.82901554404145</c:v>
                </c:pt>
                <c:pt idx="167">
                  <c:v>434.19689119170982</c:v>
                </c:pt>
                <c:pt idx="168">
                  <c:v>436.99481865284974</c:v>
                </c:pt>
                <c:pt idx="169">
                  <c:v>438.54922279792748</c:v>
                </c:pt>
                <c:pt idx="170">
                  <c:v>444.45595854922277</c:v>
                </c:pt>
                <c:pt idx="171">
                  <c:v>456.26943005181346</c:v>
                </c:pt>
                <c:pt idx="172">
                  <c:v>466.42487046632124</c:v>
                </c:pt>
                <c:pt idx="173">
                  <c:v>472.74611398963731</c:v>
                </c:pt>
                <c:pt idx="174">
                  <c:v>488.49740932642487</c:v>
                </c:pt>
                <c:pt idx="175">
                  <c:v>510.98445595854923</c:v>
                </c:pt>
                <c:pt idx="176">
                  <c:v>525.18134715025906</c:v>
                </c:pt>
                <c:pt idx="177">
                  <c:v>531.9170984455958</c:v>
                </c:pt>
                <c:pt idx="178">
                  <c:v>555.54404145077717</c:v>
                </c:pt>
                <c:pt idx="179">
                  <c:v>577.20207253886008</c:v>
                </c:pt>
                <c:pt idx="180">
                  <c:v>617.92746113989631</c:v>
                </c:pt>
                <c:pt idx="181">
                  <c:v>673.57512953367871</c:v>
                </c:pt>
                <c:pt idx="182">
                  <c:v>709.43005181347155</c:v>
                </c:pt>
                <c:pt idx="183">
                  <c:v>761.34715025906735</c:v>
                </c:pt>
                <c:pt idx="184">
                  <c:v>939.27461139896377</c:v>
                </c:pt>
                <c:pt idx="185">
                  <c:v>1166.1139896373056</c:v>
                </c:pt>
                <c:pt idx="186">
                  <c:v>1293.6787564766842</c:v>
                </c:pt>
                <c:pt idx="187">
                  <c:v>1529.348917540266</c:v>
                </c:pt>
                <c:pt idx="188">
                  <c:v>1679.7766799212754</c:v>
                </c:pt>
                <c:pt idx="189">
                  <c:v>1862.7971241515042</c:v>
                </c:pt>
                <c:pt idx="190">
                  <c:v>2123.5385789452548</c:v>
                </c:pt>
                <c:pt idx="191">
                  <c:v>2326.6160581596178</c:v>
                </c:pt>
                <c:pt idx="192">
                  <c:v>2507.1293730168295</c:v>
                </c:pt>
                <c:pt idx="193">
                  <c:v>2642.5143591597384</c:v>
                </c:pt>
                <c:pt idx="194">
                  <c:v>2771.5347306231238</c:v>
                </c:pt>
                <c:pt idx="195">
                  <c:v>2943.3698839217573</c:v>
                </c:pt>
                <c:pt idx="196">
                  <c:v>2984.5770622966629</c:v>
                </c:pt>
                <c:pt idx="197">
                  <c:v>3086.0526824147501</c:v>
                </c:pt>
                <c:pt idx="198">
                  <c:v>3200.236631664096</c:v>
                </c:pt>
                <c:pt idx="199">
                  <c:v>3353.8479899839726</c:v>
                </c:pt>
                <c:pt idx="200">
                  <c:v>3561.7865653629788</c:v>
                </c:pt>
                <c:pt idx="201">
                  <c:v>3754.1230398925804</c:v>
                </c:pt>
                <c:pt idx="202">
                  <c:v>3870.5008541292491</c:v>
                </c:pt>
                <c:pt idx="203">
                  <c:v>4023.9048513965668</c:v>
                </c:pt>
                <c:pt idx="204">
                  <c:v>4124.7438426072513</c:v>
                </c:pt>
                <c:pt idx="205">
                  <c:v>4291.020902582316</c:v>
                </c:pt>
                <c:pt idx="206">
                  <c:v>4402.930727721664</c:v>
                </c:pt>
                <c:pt idx="207">
                  <c:v>4442.2793893983426</c:v>
                </c:pt>
                <c:pt idx="208">
                  <c:v>4467.6822331416306</c:v>
                </c:pt>
                <c:pt idx="209">
                  <c:v>4518.4450104191792</c:v>
                </c:pt>
                <c:pt idx="210">
                  <c:v>4632.8865378910505</c:v>
                </c:pt>
                <c:pt idx="211">
                  <c:v>4642.8846165940668</c:v>
                </c:pt>
                <c:pt idx="212">
                  <c:v>4657.5599080808988</c:v>
                </c:pt>
                <c:pt idx="213">
                  <c:v>4727.5633135129765</c:v>
                </c:pt>
                <c:pt idx="214">
                  <c:v>4844.2356558997717</c:v>
                </c:pt>
                <c:pt idx="215">
                  <c:v>4979.5755730684568</c:v>
                </c:pt>
                <c:pt idx="216">
                  <c:v>5100.9148091507241</c:v>
                </c:pt>
                <c:pt idx="217">
                  <c:v>5254.9223011012946</c:v>
                </c:pt>
                <c:pt idx="218">
                  <c:v>5607.2638347000402</c:v>
                </c:pt>
                <c:pt idx="219">
                  <c:v>5697.8659433397188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DATALRprices!$AA$1</c:f>
              <c:strCache>
                <c:ptCount val="1"/>
                <c:pt idx="0">
                  <c:v>UKWPIdollars1790base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'[1]DATAUSLR '!$A$28:$A$247</c:f>
              <c:numCache>
                <c:formatCode>General</c:formatCode>
                <c:ptCount val="220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  <c:pt idx="151">
                  <c:v>1941</c:v>
                </c:pt>
                <c:pt idx="152">
                  <c:v>1942</c:v>
                </c:pt>
                <c:pt idx="153">
                  <c:v>1943</c:v>
                </c:pt>
                <c:pt idx="154">
                  <c:v>1944</c:v>
                </c:pt>
                <c:pt idx="155">
                  <c:v>1945</c:v>
                </c:pt>
                <c:pt idx="156">
                  <c:v>1946</c:v>
                </c:pt>
                <c:pt idx="157">
                  <c:v>1947</c:v>
                </c:pt>
                <c:pt idx="158">
                  <c:v>1948</c:v>
                </c:pt>
                <c:pt idx="159">
                  <c:v>1949</c:v>
                </c:pt>
                <c:pt idx="160">
                  <c:v>1950</c:v>
                </c:pt>
                <c:pt idx="161">
                  <c:v>1951</c:v>
                </c:pt>
                <c:pt idx="162">
                  <c:v>1952</c:v>
                </c:pt>
                <c:pt idx="163">
                  <c:v>1953</c:v>
                </c:pt>
                <c:pt idx="164">
                  <c:v>1954</c:v>
                </c:pt>
                <c:pt idx="165">
                  <c:v>1955</c:v>
                </c:pt>
                <c:pt idx="166">
                  <c:v>1956</c:v>
                </c:pt>
                <c:pt idx="167">
                  <c:v>1957</c:v>
                </c:pt>
                <c:pt idx="168">
                  <c:v>1958</c:v>
                </c:pt>
                <c:pt idx="169">
                  <c:v>1959</c:v>
                </c:pt>
                <c:pt idx="170">
                  <c:v>1960</c:v>
                </c:pt>
                <c:pt idx="171">
                  <c:v>1961</c:v>
                </c:pt>
                <c:pt idx="172">
                  <c:v>1962</c:v>
                </c:pt>
                <c:pt idx="173">
                  <c:v>1963</c:v>
                </c:pt>
                <c:pt idx="174">
                  <c:v>1964</c:v>
                </c:pt>
                <c:pt idx="175">
                  <c:v>1965</c:v>
                </c:pt>
                <c:pt idx="176">
                  <c:v>1966</c:v>
                </c:pt>
                <c:pt idx="177">
                  <c:v>1967</c:v>
                </c:pt>
                <c:pt idx="178">
                  <c:v>1968</c:v>
                </c:pt>
                <c:pt idx="179">
                  <c:v>1969</c:v>
                </c:pt>
                <c:pt idx="180">
                  <c:v>1970</c:v>
                </c:pt>
                <c:pt idx="181">
                  <c:v>1971</c:v>
                </c:pt>
                <c:pt idx="182">
                  <c:v>1972</c:v>
                </c:pt>
                <c:pt idx="183">
                  <c:v>1973</c:v>
                </c:pt>
                <c:pt idx="184">
                  <c:v>1974</c:v>
                </c:pt>
                <c:pt idx="185">
                  <c:v>1975</c:v>
                </c:pt>
                <c:pt idx="186">
                  <c:v>1976</c:v>
                </c:pt>
                <c:pt idx="187">
                  <c:v>1977</c:v>
                </c:pt>
                <c:pt idx="188">
                  <c:v>1978</c:v>
                </c:pt>
                <c:pt idx="189">
                  <c:v>1979</c:v>
                </c:pt>
                <c:pt idx="190">
                  <c:v>1980</c:v>
                </c:pt>
                <c:pt idx="191">
                  <c:v>1981</c:v>
                </c:pt>
                <c:pt idx="192">
                  <c:v>1982</c:v>
                </c:pt>
                <c:pt idx="193">
                  <c:v>1983</c:v>
                </c:pt>
                <c:pt idx="194">
                  <c:v>1984</c:v>
                </c:pt>
                <c:pt idx="195">
                  <c:v>1985</c:v>
                </c:pt>
                <c:pt idx="196">
                  <c:v>1986</c:v>
                </c:pt>
                <c:pt idx="197">
                  <c:v>1987</c:v>
                </c:pt>
                <c:pt idx="198">
                  <c:v>1988</c:v>
                </c:pt>
                <c:pt idx="199">
                  <c:v>1989</c:v>
                </c:pt>
                <c:pt idx="200">
                  <c:v>1990</c:v>
                </c:pt>
                <c:pt idx="201">
                  <c:v>1991</c:v>
                </c:pt>
                <c:pt idx="202">
                  <c:v>1992</c:v>
                </c:pt>
                <c:pt idx="203">
                  <c:v>1993</c:v>
                </c:pt>
                <c:pt idx="204">
                  <c:v>1994</c:v>
                </c:pt>
                <c:pt idx="205">
                  <c:v>1995</c:v>
                </c:pt>
                <c:pt idx="206">
                  <c:v>1996</c:v>
                </c:pt>
                <c:pt idx="207">
                  <c:v>1997</c:v>
                </c:pt>
                <c:pt idx="208">
                  <c:v>1998</c:v>
                </c:pt>
                <c:pt idx="209">
                  <c:v>1999</c:v>
                </c:pt>
                <c:pt idx="210">
                  <c:v>2000</c:v>
                </c:pt>
                <c:pt idx="211">
                  <c:v>2001</c:v>
                </c:pt>
                <c:pt idx="212">
                  <c:v>2002</c:v>
                </c:pt>
                <c:pt idx="213">
                  <c:v>2003</c:v>
                </c:pt>
                <c:pt idx="214">
                  <c:v>2004</c:v>
                </c:pt>
                <c:pt idx="215">
                  <c:v>2005</c:v>
                </c:pt>
                <c:pt idx="216">
                  <c:v>2006</c:v>
                </c:pt>
                <c:pt idx="217">
                  <c:v>2007</c:v>
                </c:pt>
                <c:pt idx="218">
                  <c:v>2008</c:v>
                </c:pt>
                <c:pt idx="219">
                  <c:v>2009</c:v>
                </c:pt>
              </c:numCache>
            </c:numRef>
          </c:cat>
          <c:val>
            <c:numRef>
              <c:f>DATALRprices!$AA$28:$AA$247</c:f>
              <c:numCache>
                <c:formatCode>0.000</c:formatCode>
                <c:ptCount val="220"/>
                <c:pt idx="0" formatCode="0">
                  <c:v>100</c:v>
                </c:pt>
                <c:pt idx="1">
                  <c:v>101.53022452504318</c:v>
                </c:pt>
                <c:pt idx="2">
                  <c:v>97.995164075993088</c:v>
                </c:pt>
                <c:pt idx="3">
                  <c:v>108.42694300518134</c:v>
                </c:pt>
                <c:pt idx="4">
                  <c:v>116.384571099597</c:v>
                </c:pt>
                <c:pt idx="5">
                  <c:v>129.45837651122625</c:v>
                </c:pt>
                <c:pt idx="6">
                  <c:v>123.8839378238342</c:v>
                </c:pt>
                <c:pt idx="7">
                  <c:v>117.27530224525044</c:v>
                </c:pt>
                <c:pt idx="8">
                  <c:v>117.87541738629821</c:v>
                </c:pt>
                <c:pt idx="9">
                  <c:v>128.01335636154292</c:v>
                </c:pt>
                <c:pt idx="10">
                  <c:v>170.89349453080021</c:v>
                </c:pt>
                <c:pt idx="11">
                  <c:v>164.60932642487043</c:v>
                </c:pt>
                <c:pt idx="12">
                  <c:v>136.48359240069087</c:v>
                </c:pt>
                <c:pt idx="13">
                  <c:v>139.57167530224524</c:v>
                </c:pt>
                <c:pt idx="14">
                  <c:v>140.71732872769144</c:v>
                </c:pt>
                <c:pt idx="15">
                  <c:v>147.35405872193434</c:v>
                </c:pt>
                <c:pt idx="16">
                  <c:v>148.22774899251581</c:v>
                </c:pt>
                <c:pt idx="17">
                  <c:v>144.22890040299365</c:v>
                </c:pt>
                <c:pt idx="18">
                  <c:v>166.43477259643063</c:v>
                </c:pt>
                <c:pt idx="19">
                  <c:v>176.16994818652847</c:v>
                </c:pt>
                <c:pt idx="20">
                  <c:v>164.07829591249279</c:v>
                </c:pt>
                <c:pt idx="21">
                  <c:v>138.19735175590097</c:v>
                </c:pt>
                <c:pt idx="22">
                  <c:v>147.38422567645367</c:v>
                </c:pt>
                <c:pt idx="23">
                  <c:v>157.59930915371331</c:v>
                </c:pt>
                <c:pt idx="24">
                  <c:v>162.08175014392631</c:v>
                </c:pt>
                <c:pt idx="25">
                  <c:v>158.31203223949342</c:v>
                </c:pt>
                <c:pt idx="26">
                  <c:v>153.98549222797928</c:v>
                </c:pt>
                <c:pt idx="27">
                  <c:v>151.37363270005756</c:v>
                </c:pt>
                <c:pt idx="28">
                  <c:v>155.23316062176167</c:v>
                </c:pt>
                <c:pt idx="29">
                  <c:v>143.73839953943579</c:v>
                </c:pt>
                <c:pt idx="30">
                  <c:v>129.79712147380539</c:v>
                </c:pt>
                <c:pt idx="31">
                  <c:v>119.5426597582038</c:v>
                </c:pt>
                <c:pt idx="32">
                  <c:v>108.94645941278065</c:v>
                </c:pt>
                <c:pt idx="33">
                  <c:v>116.50431778929189</c:v>
                </c:pt>
                <c:pt idx="34">
                  <c:v>123.47426597582037</c:v>
                </c:pt>
                <c:pt idx="35">
                  <c:v>135.80725388601036</c:v>
                </c:pt>
                <c:pt idx="36">
                  <c:v>122.36269430051813</c:v>
                </c:pt>
                <c:pt idx="37">
                  <c:v>122.0637881404721</c:v>
                </c:pt>
                <c:pt idx="38">
                  <c:v>118.18376511226251</c:v>
                </c:pt>
                <c:pt idx="39">
                  <c:v>115.83419689119171</c:v>
                </c:pt>
                <c:pt idx="40">
                  <c:v>111.91617731721358</c:v>
                </c:pt>
                <c:pt idx="41">
                  <c:v>115.16269430051814</c:v>
                </c:pt>
                <c:pt idx="42">
                  <c:v>110.5740932642487</c:v>
                </c:pt>
                <c:pt idx="43">
                  <c:v>105.56200345423144</c:v>
                </c:pt>
                <c:pt idx="44">
                  <c:v>99.79873344847438</c:v>
                </c:pt>
                <c:pt idx="45">
                  <c:v>101.97006332757627</c:v>
                </c:pt>
                <c:pt idx="46">
                  <c:v>114.10385722510074</c:v>
                </c:pt>
                <c:pt idx="47">
                  <c:v>119.67530224525044</c:v>
                </c:pt>
                <c:pt idx="48">
                  <c:v>119.02659758203801</c:v>
                </c:pt>
                <c:pt idx="49">
                  <c:v>129.50443293033968</c:v>
                </c:pt>
                <c:pt idx="50">
                  <c:v>127.46113989637306</c:v>
                </c:pt>
                <c:pt idx="51">
                  <c:v>121.23085780080601</c:v>
                </c:pt>
                <c:pt idx="52">
                  <c:v>106.00345423143351</c:v>
                </c:pt>
                <c:pt idx="53">
                  <c:v>94.972711571675319</c:v>
                </c:pt>
                <c:pt idx="54">
                  <c:v>98.039378238341968</c:v>
                </c:pt>
                <c:pt idx="55">
                  <c:v>100.93264248704664</c:v>
                </c:pt>
                <c:pt idx="56">
                  <c:v>103.11525618883132</c:v>
                </c:pt>
                <c:pt idx="57">
                  <c:v>115.3791594703512</c:v>
                </c:pt>
                <c:pt idx="58">
                  <c:v>99.138284398388024</c:v>
                </c:pt>
                <c:pt idx="59">
                  <c:v>88.39101899827287</c:v>
                </c:pt>
                <c:pt idx="60">
                  <c:v>89.045020149683367</c:v>
                </c:pt>
                <c:pt idx="61">
                  <c:v>87.401957397812325</c:v>
                </c:pt>
                <c:pt idx="62">
                  <c:v>90.721934369602792</c:v>
                </c:pt>
                <c:pt idx="63">
                  <c:v>110.24317789291884</c:v>
                </c:pt>
                <c:pt idx="64">
                  <c:v>118.22130109383994</c:v>
                </c:pt>
                <c:pt idx="65">
                  <c:v>117.22487046632125</c:v>
                </c:pt>
                <c:pt idx="66">
                  <c:v>117.70431778929189</c:v>
                </c:pt>
                <c:pt idx="67">
                  <c:v>121.84179620034543</c:v>
                </c:pt>
                <c:pt idx="68">
                  <c:v>104.97823834196892</c:v>
                </c:pt>
                <c:pt idx="69">
                  <c:v>109.34024179620036</c:v>
                </c:pt>
                <c:pt idx="70">
                  <c:v>114.03223949337939</c:v>
                </c:pt>
                <c:pt idx="71">
                  <c:v>110.94300518134713</c:v>
                </c:pt>
                <c:pt idx="72">
                  <c:v>133.28635578583766</c:v>
                </c:pt>
                <c:pt idx="73">
                  <c:v>173.14818652849738</c:v>
                </c:pt>
                <c:pt idx="74">
                  <c:v>248.41773172135865</c:v>
                </c:pt>
                <c:pt idx="75">
                  <c:v>184.34749568221071</c:v>
                </c:pt>
                <c:pt idx="76">
                  <c:v>166.67265400115141</c:v>
                </c:pt>
                <c:pt idx="77">
                  <c:v>160.25906735751295</c:v>
                </c:pt>
                <c:pt idx="78">
                  <c:v>160.58560736902709</c:v>
                </c:pt>
                <c:pt idx="79">
                  <c:v>150.71502590673578</c:v>
                </c:pt>
                <c:pt idx="80">
                  <c:v>127.440414507772</c:v>
                </c:pt>
                <c:pt idx="81">
                  <c:v>129.63177892918824</c:v>
                </c:pt>
                <c:pt idx="82">
                  <c:v>141.06620610247555</c:v>
                </c:pt>
                <c:pt idx="83">
                  <c:v>146.21070811744386</c:v>
                </c:pt>
                <c:pt idx="84">
                  <c:v>131.30316637881404</c:v>
                </c:pt>
                <c:pt idx="85">
                  <c:v>127.440414507772</c:v>
                </c:pt>
                <c:pt idx="86">
                  <c:v>122.19182498560737</c:v>
                </c:pt>
                <c:pt idx="87">
                  <c:v>113.35682210708117</c:v>
                </c:pt>
                <c:pt idx="88">
                  <c:v>101.00932642487047</c:v>
                </c:pt>
                <c:pt idx="89">
                  <c:v>95.603914795624632</c:v>
                </c:pt>
                <c:pt idx="90">
                  <c:v>101.09107656879679</c:v>
                </c:pt>
                <c:pt idx="91">
                  <c:v>97.434196891191704</c:v>
                </c:pt>
                <c:pt idx="92">
                  <c:v>97.119631548647092</c:v>
                </c:pt>
                <c:pt idx="93">
                  <c:v>94.375359815774317</c:v>
                </c:pt>
                <c:pt idx="94">
                  <c:v>87.562464018422574</c:v>
                </c:pt>
                <c:pt idx="95">
                  <c:v>83.042487046632132</c:v>
                </c:pt>
                <c:pt idx="96">
                  <c:v>79.573056994818643</c:v>
                </c:pt>
                <c:pt idx="97">
                  <c:v>78.292458261370157</c:v>
                </c:pt>
                <c:pt idx="98">
                  <c:v>80.970408750719628</c:v>
                </c:pt>
                <c:pt idx="99">
                  <c:v>83.213356361542893</c:v>
                </c:pt>
                <c:pt idx="100">
                  <c:v>83.042487046632132</c:v>
                </c:pt>
                <c:pt idx="101">
                  <c:v>83.042487046632132</c:v>
                </c:pt>
                <c:pt idx="102">
                  <c:v>78.615313759355189</c:v>
                </c:pt>
                <c:pt idx="103">
                  <c:v>78.45388601036268</c:v>
                </c:pt>
                <c:pt idx="104">
                  <c:v>72.933103051237765</c:v>
                </c:pt>
                <c:pt idx="105">
                  <c:v>71.956476683937822</c:v>
                </c:pt>
                <c:pt idx="106">
                  <c:v>70.540702360391478</c:v>
                </c:pt>
                <c:pt idx="107">
                  <c:v>71.515025906735744</c:v>
                </c:pt>
                <c:pt idx="108">
                  <c:v>73.713298791019</c:v>
                </c:pt>
                <c:pt idx="109">
                  <c:v>78.45388601036268</c:v>
                </c:pt>
                <c:pt idx="110">
                  <c:v>86.689925158318943</c:v>
                </c:pt>
                <c:pt idx="111">
                  <c:v>80.970408750719628</c:v>
                </c:pt>
                <c:pt idx="112">
                  <c:v>79.736787564766828</c:v>
                </c:pt>
                <c:pt idx="113">
                  <c:v>82.930569948186516</c:v>
                </c:pt>
                <c:pt idx="114">
                  <c:v>80.970408750719628</c:v>
                </c:pt>
                <c:pt idx="115">
                  <c:v>83.213356361542893</c:v>
                </c:pt>
                <c:pt idx="116">
                  <c:v>88.679332181922859</c:v>
                </c:pt>
                <c:pt idx="117">
                  <c:v>92.331606217616596</c:v>
                </c:pt>
                <c:pt idx="118">
                  <c:v>84.446977547495678</c:v>
                </c:pt>
                <c:pt idx="119">
                  <c:v>85.568451352907303</c:v>
                </c:pt>
                <c:pt idx="120">
                  <c:v>89.981347150259083</c:v>
                </c:pt>
                <c:pt idx="121">
                  <c:v>92.331606217616596</c:v>
                </c:pt>
                <c:pt idx="122">
                  <c:v>98.241105354058718</c:v>
                </c:pt>
                <c:pt idx="123">
                  <c:v>98.241105354058718</c:v>
                </c:pt>
                <c:pt idx="124">
                  <c:v>99.451468048359217</c:v>
                </c:pt>
                <c:pt idx="125">
                  <c:v>122.00069084628669</c:v>
                </c:pt>
                <c:pt idx="126">
                  <c:v>154.00207253886006</c:v>
                </c:pt>
                <c:pt idx="127">
                  <c:v>202.23834196891193</c:v>
                </c:pt>
                <c:pt idx="128">
                  <c:v>216.92665515256186</c:v>
                </c:pt>
                <c:pt idx="129">
                  <c:v>216.67979274611395</c:v>
                </c:pt>
                <c:pt idx="130">
                  <c:v>218.12504317789291</c:v>
                </c:pt>
                <c:pt idx="131">
                  <c:v>141.6764536557283</c:v>
                </c:pt>
                <c:pt idx="132">
                  <c:v>137.82222222222219</c:v>
                </c:pt>
                <c:pt idx="133">
                  <c:v>140.27403569372484</c:v>
                </c:pt>
                <c:pt idx="134">
                  <c:v>145.85745538284402</c:v>
                </c:pt>
                <c:pt idx="135">
                  <c:v>155.93920552677025</c:v>
                </c:pt>
                <c:pt idx="136">
                  <c:v>145.38031088082903</c:v>
                </c:pt>
                <c:pt idx="137">
                  <c:v>140.79170984455959</c:v>
                </c:pt>
                <c:pt idx="138">
                  <c:v>138.72630972941852</c:v>
                </c:pt>
                <c:pt idx="139">
                  <c:v>132.95751295336788</c:v>
                </c:pt>
                <c:pt idx="140">
                  <c:v>111.91709844559585</c:v>
                </c:pt>
                <c:pt idx="141">
                  <c:v>89.49314910765689</c:v>
                </c:pt>
                <c:pt idx="142">
                  <c:v>66.683937823834199</c:v>
                </c:pt>
                <c:pt idx="143">
                  <c:v>79.478641335636169</c:v>
                </c:pt>
                <c:pt idx="144">
                  <c:v>98.072538860103634</c:v>
                </c:pt>
                <c:pt idx="145">
                  <c:v>97.717904432930354</c:v>
                </c:pt>
                <c:pt idx="146">
                  <c:v>105.06528497409325</c:v>
                </c:pt>
                <c:pt idx="147">
                  <c:v>119.67484168105932</c:v>
                </c:pt>
                <c:pt idx="148">
                  <c:v>105.62625215889464</c:v>
                </c:pt>
                <c:pt idx="149">
                  <c:v>100.74059028417376</c:v>
                </c:pt>
                <c:pt idx="150">
                  <c:v>116.71156126327706</c:v>
                </c:pt>
                <c:pt idx="151">
                  <c:v>135.67715944830925</c:v>
                </c:pt>
                <c:pt idx="152">
                  <c:v>145.09838639845199</c:v>
                </c:pt>
                <c:pt idx="153">
                  <c:v>147.39736850750609</c:v>
                </c:pt>
                <c:pt idx="154">
                  <c:v>151.71690928680209</c:v>
                </c:pt>
                <c:pt idx="155">
                  <c:v>155.36455169250479</c:v>
                </c:pt>
                <c:pt idx="156">
                  <c:v>150.34196891191712</c:v>
                </c:pt>
                <c:pt idx="157">
                  <c:v>164.63373632700061</c:v>
                </c:pt>
                <c:pt idx="158">
                  <c:v>188.20587219343699</c:v>
                </c:pt>
                <c:pt idx="159">
                  <c:v>180.73989637305698</c:v>
                </c:pt>
                <c:pt idx="160">
                  <c:v>159.90788716177317</c:v>
                </c:pt>
                <c:pt idx="161">
                  <c:v>235.79965457685668</c:v>
                </c:pt>
                <c:pt idx="162">
                  <c:v>240.99689119170984</c:v>
                </c:pt>
                <c:pt idx="163">
                  <c:v>242.98330454807137</c:v>
                </c:pt>
                <c:pt idx="164">
                  <c:v>244.47161773172138</c:v>
                </c:pt>
                <c:pt idx="165">
                  <c:v>250.18445595854922</c:v>
                </c:pt>
                <c:pt idx="166">
                  <c:v>261.8491652274036</c:v>
                </c:pt>
                <c:pt idx="167">
                  <c:v>269.20207253886008</c:v>
                </c:pt>
                <c:pt idx="168">
                  <c:v>272.87898675877949</c:v>
                </c:pt>
                <c:pt idx="169">
                  <c:v>273.84962579159475</c:v>
                </c:pt>
                <c:pt idx="170">
                  <c:v>277.53805411629247</c:v>
                </c:pt>
                <c:pt idx="171">
                  <c:v>283.90097869890616</c:v>
                </c:pt>
                <c:pt idx="172">
                  <c:v>291.25641911341393</c:v>
                </c:pt>
                <c:pt idx="173">
                  <c:v>294.15313759355212</c:v>
                </c:pt>
                <c:pt idx="174">
                  <c:v>302.86839378238341</c:v>
                </c:pt>
                <c:pt idx="175">
                  <c:v>317.94588370754173</c:v>
                </c:pt>
                <c:pt idx="176">
                  <c:v>325.61243523316062</c:v>
                </c:pt>
                <c:pt idx="177">
                  <c:v>325.06044905008633</c:v>
                </c:pt>
                <c:pt idx="178">
                  <c:v>295.05561312607944</c:v>
                </c:pt>
                <c:pt idx="179">
                  <c:v>306.55843408175014</c:v>
                </c:pt>
                <c:pt idx="180">
                  <c:v>329.56131260794467</c:v>
                </c:pt>
                <c:pt idx="181">
                  <c:v>365.22740356937243</c:v>
                </c:pt>
                <c:pt idx="182">
                  <c:v>394.12780656303977</c:v>
                </c:pt>
                <c:pt idx="183">
                  <c:v>414.51122625215896</c:v>
                </c:pt>
                <c:pt idx="184">
                  <c:v>488.4227979274612</c:v>
                </c:pt>
                <c:pt idx="185">
                  <c:v>575.28290155440413</c:v>
                </c:pt>
                <c:pt idx="186">
                  <c:v>517.47150259067371</c:v>
                </c:pt>
                <c:pt idx="187">
                  <c:v>594.74680126565897</c:v>
                </c:pt>
                <c:pt idx="188">
                  <c:v>716.7047167664108</c:v>
                </c:pt>
                <c:pt idx="189">
                  <c:v>877.58442293359758</c:v>
                </c:pt>
                <c:pt idx="190">
                  <c:v>1099.5210864316541</c:v>
                </c:pt>
                <c:pt idx="191">
                  <c:v>1044.3920972183173</c:v>
                </c:pt>
                <c:pt idx="192">
                  <c:v>974.9947561732115</c:v>
                </c:pt>
                <c:pt idx="193">
                  <c:v>892.582627982845</c:v>
                </c:pt>
                <c:pt idx="194">
                  <c:v>825.30145311888577</c:v>
                </c:pt>
                <c:pt idx="195">
                  <c:v>850.30685535517443</c:v>
                </c:pt>
                <c:pt idx="196">
                  <c:v>974.96184035024316</c:v>
                </c:pt>
                <c:pt idx="197">
                  <c:v>1124.6947553689311</c:v>
                </c:pt>
                <c:pt idx="198">
                  <c:v>1265.8713787471313</c:v>
                </c:pt>
                <c:pt idx="199">
                  <c:v>1222.2912674608253</c:v>
                </c:pt>
                <c:pt idx="200">
                  <c:v>1408.884463632467</c:v>
                </c:pt>
                <c:pt idx="201">
                  <c:v>1476.6217290244149</c:v>
                </c:pt>
                <c:pt idx="202">
                  <c:v>1522.3970026241711</c:v>
                </c:pt>
                <c:pt idx="203">
                  <c:v>1341.3016171321888</c:v>
                </c:pt>
                <c:pt idx="204">
                  <c:v>1402.4129064864655</c:v>
                </c:pt>
                <c:pt idx="205">
                  <c:v>1506.62511690668</c:v>
                </c:pt>
                <c:pt idx="206">
                  <c:v>1526.3493189435103</c:v>
                </c:pt>
                <c:pt idx="207">
                  <c:v>1618.9640441362847</c:v>
                </c:pt>
                <c:pt idx="208">
                  <c:v>1648.0783348922459</c:v>
                </c:pt>
                <c:pt idx="209">
                  <c:v>1626.6402037509047</c:v>
                </c:pt>
                <c:pt idx="210">
                  <c:v>1564.8861194654216</c:v>
                </c:pt>
                <c:pt idx="211">
                  <c:v>1485.7230773101014</c:v>
                </c:pt>
                <c:pt idx="212">
                  <c:v>1552.5199693602995</c:v>
                </c:pt>
                <c:pt idx="213">
                  <c:v>1722.9341853691735</c:v>
                </c:pt>
                <c:pt idx="214">
                  <c:v>1969.9891667325739</c:v>
                </c:pt>
                <c:pt idx="215">
                  <c:v>2013.9616762187982</c:v>
                </c:pt>
                <c:pt idx="216">
                  <c:v>2085.7073886305184</c:v>
                </c:pt>
                <c:pt idx="217">
                  <c:v>2335.5210227116863</c:v>
                </c:pt>
                <c:pt idx="218">
                  <c:v>2305.2084653766833</c:v>
                </c:pt>
                <c:pt idx="219">
                  <c:v>1987.9221180096354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DATALRprices!$AB$1</c:f>
              <c:strCache>
                <c:ptCount val="1"/>
                <c:pt idx="0">
                  <c:v>UKWPIGold1790base</c:v>
                </c:pt>
              </c:strCache>
            </c:strRef>
          </c:tx>
          <c:spPr>
            <a:ln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'[1]DATAUSLR '!$A$28:$A$247</c:f>
              <c:numCache>
                <c:formatCode>General</c:formatCode>
                <c:ptCount val="220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  <c:pt idx="151">
                  <c:v>1941</c:v>
                </c:pt>
                <c:pt idx="152">
                  <c:v>1942</c:v>
                </c:pt>
                <c:pt idx="153">
                  <c:v>1943</c:v>
                </c:pt>
                <c:pt idx="154">
                  <c:v>1944</c:v>
                </c:pt>
                <c:pt idx="155">
                  <c:v>1945</c:v>
                </c:pt>
                <c:pt idx="156">
                  <c:v>1946</c:v>
                </c:pt>
                <c:pt idx="157">
                  <c:v>1947</c:v>
                </c:pt>
                <c:pt idx="158">
                  <c:v>1948</c:v>
                </c:pt>
                <c:pt idx="159">
                  <c:v>1949</c:v>
                </c:pt>
                <c:pt idx="160">
                  <c:v>1950</c:v>
                </c:pt>
                <c:pt idx="161">
                  <c:v>1951</c:v>
                </c:pt>
                <c:pt idx="162">
                  <c:v>1952</c:v>
                </c:pt>
                <c:pt idx="163">
                  <c:v>1953</c:v>
                </c:pt>
                <c:pt idx="164">
                  <c:v>1954</c:v>
                </c:pt>
                <c:pt idx="165">
                  <c:v>1955</c:v>
                </c:pt>
                <c:pt idx="166">
                  <c:v>1956</c:v>
                </c:pt>
                <c:pt idx="167">
                  <c:v>1957</c:v>
                </c:pt>
                <c:pt idx="168">
                  <c:v>1958</c:v>
                </c:pt>
                <c:pt idx="169">
                  <c:v>1959</c:v>
                </c:pt>
                <c:pt idx="170">
                  <c:v>1960</c:v>
                </c:pt>
                <c:pt idx="171">
                  <c:v>1961</c:v>
                </c:pt>
                <c:pt idx="172">
                  <c:v>1962</c:v>
                </c:pt>
                <c:pt idx="173">
                  <c:v>1963</c:v>
                </c:pt>
                <c:pt idx="174">
                  <c:v>1964</c:v>
                </c:pt>
                <c:pt idx="175">
                  <c:v>1965</c:v>
                </c:pt>
                <c:pt idx="176">
                  <c:v>1966</c:v>
                </c:pt>
                <c:pt idx="177">
                  <c:v>1967</c:v>
                </c:pt>
                <c:pt idx="178">
                  <c:v>1968</c:v>
                </c:pt>
                <c:pt idx="179">
                  <c:v>1969</c:v>
                </c:pt>
                <c:pt idx="180">
                  <c:v>1970</c:v>
                </c:pt>
                <c:pt idx="181">
                  <c:v>1971</c:v>
                </c:pt>
                <c:pt idx="182">
                  <c:v>1972</c:v>
                </c:pt>
                <c:pt idx="183">
                  <c:v>1973</c:v>
                </c:pt>
                <c:pt idx="184">
                  <c:v>1974</c:v>
                </c:pt>
                <c:pt idx="185">
                  <c:v>1975</c:v>
                </c:pt>
                <c:pt idx="186">
                  <c:v>1976</c:v>
                </c:pt>
                <c:pt idx="187">
                  <c:v>1977</c:v>
                </c:pt>
                <c:pt idx="188">
                  <c:v>1978</c:v>
                </c:pt>
                <c:pt idx="189">
                  <c:v>1979</c:v>
                </c:pt>
                <c:pt idx="190">
                  <c:v>1980</c:v>
                </c:pt>
                <c:pt idx="191">
                  <c:v>1981</c:v>
                </c:pt>
                <c:pt idx="192">
                  <c:v>1982</c:v>
                </c:pt>
                <c:pt idx="193">
                  <c:v>1983</c:v>
                </c:pt>
                <c:pt idx="194">
                  <c:v>1984</c:v>
                </c:pt>
                <c:pt idx="195">
                  <c:v>1985</c:v>
                </c:pt>
                <c:pt idx="196">
                  <c:v>1986</c:v>
                </c:pt>
                <c:pt idx="197">
                  <c:v>1987</c:v>
                </c:pt>
                <c:pt idx="198">
                  <c:v>1988</c:v>
                </c:pt>
                <c:pt idx="199">
                  <c:v>1989</c:v>
                </c:pt>
                <c:pt idx="200">
                  <c:v>1990</c:v>
                </c:pt>
                <c:pt idx="201">
                  <c:v>1991</c:v>
                </c:pt>
                <c:pt idx="202">
                  <c:v>1992</c:v>
                </c:pt>
                <c:pt idx="203">
                  <c:v>1993</c:v>
                </c:pt>
                <c:pt idx="204">
                  <c:v>1994</c:v>
                </c:pt>
                <c:pt idx="205">
                  <c:v>1995</c:v>
                </c:pt>
                <c:pt idx="206">
                  <c:v>1996</c:v>
                </c:pt>
                <c:pt idx="207">
                  <c:v>1997</c:v>
                </c:pt>
                <c:pt idx="208">
                  <c:v>1998</c:v>
                </c:pt>
                <c:pt idx="209">
                  <c:v>1999</c:v>
                </c:pt>
                <c:pt idx="210">
                  <c:v>2000</c:v>
                </c:pt>
                <c:pt idx="211">
                  <c:v>2001</c:v>
                </c:pt>
                <c:pt idx="212">
                  <c:v>2002</c:v>
                </c:pt>
                <c:pt idx="213">
                  <c:v>2003</c:v>
                </c:pt>
                <c:pt idx="214">
                  <c:v>2004</c:v>
                </c:pt>
                <c:pt idx="215">
                  <c:v>2005</c:v>
                </c:pt>
                <c:pt idx="216">
                  <c:v>2006</c:v>
                </c:pt>
                <c:pt idx="217">
                  <c:v>2007</c:v>
                </c:pt>
                <c:pt idx="218">
                  <c:v>2008</c:v>
                </c:pt>
                <c:pt idx="219">
                  <c:v>2009</c:v>
                </c:pt>
              </c:numCache>
            </c:numRef>
          </c:cat>
          <c:val>
            <c:numRef>
              <c:f>DATALRprices!$AB$28:$AB$247</c:f>
              <c:numCache>
                <c:formatCode>0.000</c:formatCode>
                <c:ptCount val="220"/>
                <c:pt idx="0" formatCode="General">
                  <c:v>100</c:v>
                </c:pt>
                <c:pt idx="1">
                  <c:v>100.41450777202073</c:v>
                </c:pt>
                <c:pt idx="2">
                  <c:v>98.652849740932638</c:v>
                </c:pt>
                <c:pt idx="3">
                  <c:v>108.18652849740933</c:v>
                </c:pt>
                <c:pt idx="4">
                  <c:v>110.25906735751295</c:v>
                </c:pt>
                <c:pt idx="5">
                  <c:v>128.60103626943004</c:v>
                </c:pt>
                <c:pt idx="6">
                  <c:v>129.94818652849742</c:v>
                </c:pt>
                <c:pt idx="7">
                  <c:v>118.860103626943</c:v>
                </c:pt>
                <c:pt idx="8">
                  <c:v>120.26040841206952</c:v>
                </c:pt>
                <c:pt idx="9">
                  <c:v>139.15289862156615</c:v>
                </c:pt>
                <c:pt idx="10">
                  <c:v>167.82529373129972</c:v>
                </c:pt>
                <c:pt idx="11">
                  <c:v>166.75386789376427</c:v>
                </c:pt>
                <c:pt idx="12">
                  <c:v>134.24858444634125</c:v>
                </c:pt>
                <c:pt idx="13">
                  <c:v>134.83560564456437</c:v>
                </c:pt>
                <c:pt idx="14">
                  <c:v>135.02139088273046</c:v>
                </c:pt>
                <c:pt idx="15">
                  <c:v>147.89014593335551</c:v>
                </c:pt>
                <c:pt idx="16">
                  <c:v>144.09748435045606</c:v>
                </c:pt>
                <c:pt idx="17">
                  <c:v>138.95538477588065</c:v>
                </c:pt>
                <c:pt idx="18">
                  <c:v>151.3831445733413</c:v>
                </c:pt>
                <c:pt idx="19">
                  <c:v>160.21494671584045</c:v>
                </c:pt>
                <c:pt idx="20">
                  <c:v>156.87530075314186</c:v>
                </c:pt>
                <c:pt idx="21">
                  <c:v>132.68501602324119</c:v>
                </c:pt>
                <c:pt idx="22">
                  <c:v>141.42127756136307</c:v>
                </c:pt>
                <c:pt idx="23">
                  <c:v>138.88439119170988</c:v>
                </c:pt>
                <c:pt idx="24">
                  <c:v>139.6636599604189</c:v>
                </c:pt>
                <c:pt idx="25">
                  <c:v>123.24524697062522</c:v>
                </c:pt>
                <c:pt idx="26">
                  <c:v>128.7880876550839</c:v>
                </c:pt>
                <c:pt idx="27">
                  <c:v>144.66297311203917</c:v>
                </c:pt>
                <c:pt idx="28">
                  <c:v>147.8910516734351</c:v>
                </c:pt>
                <c:pt idx="29">
                  <c:v>139.14341398488378</c:v>
                </c:pt>
                <c:pt idx="30">
                  <c:v>128.61469064309662</c:v>
                </c:pt>
                <c:pt idx="31">
                  <c:v>111.08101188661996</c:v>
                </c:pt>
                <c:pt idx="32">
                  <c:v>98.21341284583049</c:v>
                </c:pt>
                <c:pt idx="33">
                  <c:v>109.22279792746114</c:v>
                </c:pt>
                <c:pt idx="34">
                  <c:v>114.09326424870466</c:v>
                </c:pt>
                <c:pt idx="35">
                  <c:v>126.23008114185161</c:v>
                </c:pt>
                <c:pt idx="36">
                  <c:v>111.91709844559585</c:v>
                </c:pt>
                <c:pt idx="37">
                  <c:v>111.19170984455958</c:v>
                </c:pt>
                <c:pt idx="38">
                  <c:v>107.87564766839378</c:v>
                </c:pt>
                <c:pt idx="39">
                  <c:v>107.00092873203637</c:v>
                </c:pt>
                <c:pt idx="40">
                  <c:v>105.55357317430835</c:v>
                </c:pt>
                <c:pt idx="41">
                  <c:v>106.13032612008536</c:v>
                </c:pt>
                <c:pt idx="42">
                  <c:v>102.14194935966371</c:v>
                </c:pt>
                <c:pt idx="43">
                  <c:v>98.937090624694505</c:v>
                </c:pt>
                <c:pt idx="44">
                  <c:v>96.559292208427038</c:v>
                </c:pt>
                <c:pt idx="45">
                  <c:v>94.388258871834978</c:v>
                </c:pt>
                <c:pt idx="46">
                  <c:v>106.27725095317236</c:v>
                </c:pt>
                <c:pt idx="47">
                  <c:v>105.34680809463292</c:v>
                </c:pt>
                <c:pt idx="48">
                  <c:v>109.27534460846614</c:v>
                </c:pt>
                <c:pt idx="49">
                  <c:v>116.23797622676017</c:v>
                </c:pt>
                <c:pt idx="50">
                  <c:v>114.44447160035195</c:v>
                </c:pt>
                <c:pt idx="51">
                  <c:v>109.06857952879071</c:v>
                </c:pt>
                <c:pt idx="52">
                  <c:v>99.14385570436994</c:v>
                </c:pt>
                <c:pt idx="53">
                  <c:v>89.012366800273739</c:v>
                </c:pt>
                <c:pt idx="54">
                  <c:v>90.56310489783948</c:v>
                </c:pt>
                <c:pt idx="55">
                  <c:v>93.044285853944686</c:v>
                </c:pt>
                <c:pt idx="56">
                  <c:v>96.042379509238458</c:v>
                </c:pt>
                <c:pt idx="57">
                  <c:v>108.13813667025126</c:v>
                </c:pt>
                <c:pt idx="58">
                  <c:v>91.39016521654122</c:v>
                </c:pt>
                <c:pt idx="59">
                  <c:v>82.499266790497614</c:v>
                </c:pt>
                <c:pt idx="60">
                  <c:v>82.085736631146759</c:v>
                </c:pt>
                <c:pt idx="61">
                  <c:v>79.914703294554712</c:v>
                </c:pt>
                <c:pt idx="62">
                  <c:v>83.119562029523919</c:v>
                </c:pt>
                <c:pt idx="63">
                  <c:v>101.21150650112428</c:v>
                </c:pt>
                <c:pt idx="64">
                  <c:v>108.75843190927756</c:v>
                </c:pt>
                <c:pt idx="65">
                  <c:v>107.62122397106268</c:v>
                </c:pt>
                <c:pt idx="66">
                  <c:v>107.62122397106268</c:v>
                </c:pt>
                <c:pt idx="67">
                  <c:v>111.85990810440904</c:v>
                </c:pt>
                <c:pt idx="68">
                  <c:v>96.972822367777894</c:v>
                </c:pt>
                <c:pt idx="69">
                  <c:v>100.1776811027471</c:v>
                </c:pt>
                <c:pt idx="70">
                  <c:v>105.55357317430835</c:v>
                </c:pt>
                <c:pt idx="71">
                  <c:v>104.41636523609347</c:v>
                </c:pt>
                <c:pt idx="72">
                  <c:v>107.62122397106268</c:v>
                </c:pt>
                <c:pt idx="73">
                  <c:v>109.79225730765471</c:v>
                </c:pt>
                <c:pt idx="74">
                  <c:v>111.85990810440904</c:v>
                </c:pt>
                <c:pt idx="75">
                  <c:v>107.62122397106268</c:v>
                </c:pt>
                <c:pt idx="76">
                  <c:v>108.75843190927756</c:v>
                </c:pt>
                <c:pt idx="77">
                  <c:v>106.58739857268552</c:v>
                </c:pt>
                <c:pt idx="78">
                  <c:v>105.55357317430835</c:v>
                </c:pt>
                <c:pt idx="79">
                  <c:v>104.41636523609347</c:v>
                </c:pt>
                <c:pt idx="80">
                  <c:v>102.34871443933913</c:v>
                </c:pt>
                <c:pt idx="81">
                  <c:v>106.58739857268552</c:v>
                </c:pt>
                <c:pt idx="82">
                  <c:v>116.20197477759314</c:v>
                </c:pt>
                <c:pt idx="83">
                  <c:v>118.26962557434746</c:v>
                </c:pt>
                <c:pt idx="84">
                  <c:v>108.75843190927756</c:v>
                </c:pt>
                <c:pt idx="85">
                  <c:v>102.34871443933913</c:v>
                </c:pt>
                <c:pt idx="86">
                  <c:v>101.21150650112428</c:v>
                </c:pt>
                <c:pt idx="87">
                  <c:v>100.1776811027471</c:v>
                </c:pt>
                <c:pt idx="88">
                  <c:v>92.734138234431526</c:v>
                </c:pt>
                <c:pt idx="89">
                  <c:v>88.495454101085159</c:v>
                </c:pt>
                <c:pt idx="90">
                  <c:v>93.767963632808701</c:v>
                </c:pt>
                <c:pt idx="91">
                  <c:v>90.56310489783948</c:v>
                </c:pt>
                <c:pt idx="92">
                  <c:v>89.529279499462334</c:v>
                </c:pt>
                <c:pt idx="93">
                  <c:v>87.358246162870273</c:v>
                </c:pt>
                <c:pt idx="94">
                  <c:v>81.051911232769584</c:v>
                </c:pt>
                <c:pt idx="95">
                  <c:v>76.709844559585505</c:v>
                </c:pt>
                <c:pt idx="96">
                  <c:v>73.504985824616284</c:v>
                </c:pt>
                <c:pt idx="97">
                  <c:v>72.471160426239123</c:v>
                </c:pt>
                <c:pt idx="98">
                  <c:v>74.64219376283117</c:v>
                </c:pt>
                <c:pt idx="99">
                  <c:v>76.709844559585505</c:v>
                </c:pt>
                <c:pt idx="100">
                  <c:v>76.709844559585505</c:v>
                </c:pt>
                <c:pt idx="101">
                  <c:v>76.529350807680601</c:v>
                </c:pt>
                <c:pt idx="102">
                  <c:v>72.300640048765629</c:v>
                </c:pt>
                <c:pt idx="103">
                  <c:v>72.300640048765629</c:v>
                </c:pt>
                <c:pt idx="104">
                  <c:v>67.095268354677899</c:v>
                </c:pt>
                <c:pt idx="105">
                  <c:v>66.061442956300709</c:v>
                </c:pt>
                <c:pt idx="106">
                  <c:v>64.874611398963751</c:v>
                </c:pt>
                <c:pt idx="107">
                  <c:v>65.906004266991772</c:v>
                </c:pt>
                <c:pt idx="108">
                  <c:v>68.071929289850672</c:v>
                </c:pt>
                <c:pt idx="109">
                  <c:v>72.471160426239123</c:v>
                </c:pt>
                <c:pt idx="110">
                  <c:v>79.726668698567522</c:v>
                </c:pt>
                <c:pt idx="111">
                  <c:v>74.466565071624515</c:v>
                </c:pt>
                <c:pt idx="112">
                  <c:v>73.504985824616284</c:v>
                </c:pt>
                <c:pt idx="113">
                  <c:v>76.426211520877786</c:v>
                </c:pt>
                <c:pt idx="114">
                  <c:v>74.466565071624515</c:v>
                </c:pt>
                <c:pt idx="115">
                  <c:v>76.709844559585505</c:v>
                </c:pt>
                <c:pt idx="116">
                  <c:v>81.892593721426422</c:v>
                </c:pt>
                <c:pt idx="117">
                  <c:v>85.089911612313344</c:v>
                </c:pt>
                <c:pt idx="118">
                  <c:v>77.663882962511437</c:v>
                </c:pt>
                <c:pt idx="119">
                  <c:v>78.880877896177537</c:v>
                </c:pt>
                <c:pt idx="120">
                  <c:v>83.119562029523919</c:v>
                </c:pt>
                <c:pt idx="121">
                  <c:v>85.290595366115966</c:v>
                </c:pt>
                <c:pt idx="122">
                  <c:v>90.56310489783948</c:v>
                </c:pt>
                <c:pt idx="123">
                  <c:v>90.56310489783948</c:v>
                </c:pt>
                <c:pt idx="124">
                  <c:v>90.56310489783948</c:v>
                </c:pt>
                <c:pt idx="125">
                  <c:v>115.06476683937825</c:v>
                </c:pt>
                <c:pt idx="126">
                  <c:v>144.94232085247825</c:v>
                </c:pt>
                <c:pt idx="127">
                  <c:v>190.74078600058661</c:v>
                </c:pt>
                <c:pt idx="128">
                  <c:v>204.59404633884057</c:v>
                </c:pt>
                <c:pt idx="129">
                  <c:v>206.89740932642491</c:v>
                </c:pt>
                <c:pt idx="130">
                  <c:v>200.78389655646754</c:v>
                </c:pt>
                <c:pt idx="131">
                  <c:v>130.92905912546613</c:v>
                </c:pt>
                <c:pt idx="132">
                  <c:v>126.80942184154179</c:v>
                </c:pt>
                <c:pt idx="133">
                  <c:v>129.26714382546561</c:v>
                </c:pt>
                <c:pt idx="134">
                  <c:v>133.93263143939816</c:v>
                </c:pt>
                <c:pt idx="135">
                  <c:v>143.92399072939295</c:v>
                </c:pt>
                <c:pt idx="136">
                  <c:v>133.97793355684246</c:v>
                </c:pt>
                <c:pt idx="137">
                  <c:v>129.7492227979275</c:v>
                </c:pt>
                <c:pt idx="138">
                  <c:v>127.58329777506859</c:v>
                </c:pt>
                <c:pt idx="139">
                  <c:v>122.5294727217312</c:v>
                </c:pt>
                <c:pt idx="140">
                  <c:v>103.13928680280405</c:v>
                </c:pt>
                <c:pt idx="141">
                  <c:v>81.041193388466766</c:v>
                </c:pt>
                <c:pt idx="142">
                  <c:v>61.293580398700293</c:v>
                </c:pt>
                <c:pt idx="143">
                  <c:v>57.181147867676387</c:v>
                </c:pt>
                <c:pt idx="144">
                  <c:v>53.837058681768895</c:v>
                </c:pt>
                <c:pt idx="145">
                  <c:v>53.390175116416358</c:v>
                </c:pt>
                <c:pt idx="146">
                  <c:v>57.403413332544929</c:v>
                </c:pt>
                <c:pt idx="147">
                  <c:v>65.502237399905809</c:v>
                </c:pt>
                <c:pt idx="148">
                  <c:v>57.666867719407904</c:v>
                </c:pt>
                <c:pt idx="149">
                  <c:v>56.070747495855159</c:v>
                </c:pt>
                <c:pt idx="150">
                  <c:v>69.053977640385398</c:v>
                </c:pt>
                <c:pt idx="151">
                  <c:v>76.291348519986016</c:v>
                </c:pt>
                <c:pt idx="152">
                  <c:v>81.386957363700319</c:v>
                </c:pt>
                <c:pt idx="153">
                  <c:v>82.67647658947368</c:v>
                </c:pt>
                <c:pt idx="154">
                  <c:v>85.099344892570656</c:v>
                </c:pt>
                <c:pt idx="155">
                  <c:v>87.361581042976155</c:v>
                </c:pt>
                <c:pt idx="156">
                  <c:v>84.537379718726882</c:v>
                </c:pt>
                <c:pt idx="157">
                  <c:v>92.573649148778699</c:v>
                </c:pt>
                <c:pt idx="158">
                  <c:v>105.82827535159143</c:v>
                </c:pt>
                <c:pt idx="159">
                  <c:v>110.99444855662473</c:v>
                </c:pt>
                <c:pt idx="160">
                  <c:v>87.693651170393338</c:v>
                </c:pt>
                <c:pt idx="161">
                  <c:v>129.3127751331163</c:v>
                </c:pt>
                <c:pt idx="162">
                  <c:v>132.16294508309412</c:v>
                </c:pt>
                <c:pt idx="163">
                  <c:v>133.25229622796135</c:v>
                </c:pt>
                <c:pt idx="164">
                  <c:v>133.10976097034657</c:v>
                </c:pt>
                <c:pt idx="165">
                  <c:v>136.02573890805442</c:v>
                </c:pt>
                <c:pt idx="166">
                  <c:v>142.40853886010365</c:v>
                </c:pt>
                <c:pt idx="167">
                  <c:v>146.61692276901866</c:v>
                </c:pt>
                <c:pt idx="168">
                  <c:v>147.98437358841505</c:v>
                </c:pt>
                <c:pt idx="169">
                  <c:v>148.55308141758351</c:v>
                </c:pt>
                <c:pt idx="170">
                  <c:v>149.74310827958126</c:v>
                </c:pt>
                <c:pt idx="171">
                  <c:v>153.74267793836927</c:v>
                </c:pt>
                <c:pt idx="172">
                  <c:v>157.95059651919755</c:v>
                </c:pt>
                <c:pt idx="173">
                  <c:v>159.56696990861397</c:v>
                </c:pt>
                <c:pt idx="174">
                  <c:v>164.29466730258389</c:v>
                </c:pt>
                <c:pt idx="175">
                  <c:v>172.27725295681915</c:v>
                </c:pt>
                <c:pt idx="176">
                  <c:v>176.23067115903365</c:v>
                </c:pt>
                <c:pt idx="177">
                  <c:v>175.83193088003395</c:v>
                </c:pt>
                <c:pt idx="178">
                  <c:v>145.16370110764859</c:v>
                </c:pt>
                <c:pt idx="179">
                  <c:v>142.01362357620135</c:v>
                </c:pt>
                <c:pt idx="180">
                  <c:v>174.54645479944986</c:v>
                </c:pt>
                <c:pt idx="181">
                  <c:v>170.39469673879918</c:v>
                </c:pt>
                <c:pt idx="182">
                  <c:v>128.99282664937178</c:v>
                </c:pt>
                <c:pt idx="183">
                  <c:v>81.075022520651942</c:v>
                </c:pt>
                <c:pt idx="184">
                  <c:v>58.377043567432025</c:v>
                </c:pt>
                <c:pt idx="185">
                  <c:v>68.007142163011338</c:v>
                </c:pt>
                <c:pt idx="186">
                  <c:v>78.901554404145102</c:v>
                </c:pt>
                <c:pt idx="187">
                  <c:v>76.643459224777061</c:v>
                </c:pt>
                <c:pt idx="188">
                  <c:v>70.605911829254907</c:v>
                </c:pt>
                <c:pt idx="189">
                  <c:v>54.469869213972324</c:v>
                </c:pt>
                <c:pt idx="190">
                  <c:v>34.167075682751964</c:v>
                </c:pt>
                <c:pt idx="191">
                  <c:v>43.214580724193368</c:v>
                </c:pt>
                <c:pt idx="192">
                  <c:v>49.402468080381944</c:v>
                </c:pt>
                <c:pt idx="193">
                  <c:v>40.038436016621787</c:v>
                </c:pt>
                <c:pt idx="194">
                  <c:v>43.579708056252755</c:v>
                </c:pt>
                <c:pt idx="195">
                  <c:v>51.013587341420042</c:v>
                </c:pt>
                <c:pt idx="196">
                  <c:v>50.497669807806275</c:v>
                </c:pt>
                <c:pt idx="197">
                  <c:v>47.950735029111947</c:v>
                </c:pt>
                <c:pt idx="198">
                  <c:v>55.132963492624746</c:v>
                </c:pt>
                <c:pt idx="199">
                  <c:v>60.997599234766049</c:v>
                </c:pt>
                <c:pt idx="200">
                  <c:v>69.935368517078302</c:v>
                </c:pt>
                <c:pt idx="201">
                  <c:v>77.606423910706695</c:v>
                </c:pt>
                <c:pt idx="202">
                  <c:v>84.306947153146666</c:v>
                </c:pt>
                <c:pt idx="203">
                  <c:v>70.966662818220584</c:v>
                </c:pt>
                <c:pt idx="204">
                  <c:v>69.516235709929106</c:v>
                </c:pt>
                <c:pt idx="205">
                  <c:v>74.65277254352003</c:v>
                </c:pt>
                <c:pt idx="206">
                  <c:v>74.941472016533112</c:v>
                </c:pt>
                <c:pt idx="207">
                  <c:v>93.074541166216207</c:v>
                </c:pt>
                <c:pt idx="208">
                  <c:v>106.64662464194284</c:v>
                </c:pt>
                <c:pt idx="209">
                  <c:v>111.12222322135544</c:v>
                </c:pt>
                <c:pt idx="210">
                  <c:v>106.75413856583273</c:v>
                </c:pt>
                <c:pt idx="211">
                  <c:v>104.34156868579464</c:v>
                </c:pt>
                <c:pt idx="212">
                  <c:v>95.428240818823639</c:v>
                </c:pt>
                <c:pt idx="213">
                  <c:v>90.267676479418228</c:v>
                </c:pt>
                <c:pt idx="214">
                  <c:v>91.645877725039838</c:v>
                </c:pt>
                <c:pt idx="215">
                  <c:v>86.254382960568861</c:v>
                </c:pt>
                <c:pt idx="216">
                  <c:v>65.755900661811495</c:v>
                </c:pt>
                <c:pt idx="217">
                  <c:v>63.930517648106758</c:v>
                </c:pt>
                <c:pt idx="218">
                  <c:v>50.323000067027351</c:v>
                </c:pt>
                <c:pt idx="219">
                  <c:v>38.916128468466503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44576"/>
        <c:axId val="193950464"/>
      </c:lineChart>
      <c:catAx>
        <c:axId val="1939445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93950464"/>
        <c:crossesAt val="0"/>
        <c:auto val="1"/>
        <c:lblAlgn val="ctr"/>
        <c:lblOffset val="100"/>
        <c:tickLblSkip val="10"/>
        <c:tickMarkSkip val="5"/>
        <c:noMultiLvlLbl val="0"/>
      </c:catAx>
      <c:valAx>
        <c:axId val="193950464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93944576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120996441281142E-2"/>
          <c:y val="6.778602263842512E-2"/>
          <c:w val="0.87959667852906298"/>
          <c:h val="0.82444772318936055"/>
        </c:manualLayout>
      </c:layout>
      <c:lineChart>
        <c:grouping val="standard"/>
        <c:varyColors val="0"/>
        <c:ser>
          <c:idx val="1"/>
          <c:order val="0"/>
          <c:tx>
            <c:strRef>
              <c:f>'[1]DATAUSLR '!$BA$17</c:f>
              <c:strCache>
                <c:ptCount val="1"/>
                <c:pt idx="0">
                  <c:v>USWPI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'[1]DATAUSLR '!$A$28:$A$178</c:f>
              <c:numCache>
                <c:formatCode>General</c:formatCode>
                <c:ptCount val="151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</c:numCache>
            </c:numRef>
          </c:cat>
          <c:val>
            <c:numRef>
              <c:f>'[1]DATAUSLR '!$BA$28:$BA$178</c:f>
              <c:numCache>
                <c:formatCode>General</c:formatCode>
                <c:ptCount val="151"/>
                <c:pt idx="0">
                  <c:v>74.403615447822531</c:v>
                </c:pt>
                <c:pt idx="1">
                  <c:v>76.419063270336906</c:v>
                </c:pt>
                <c:pt idx="2">
                  <c:v>77.846672144617926</c:v>
                </c:pt>
                <c:pt idx="3">
                  <c:v>80.533935907970431</c:v>
                </c:pt>
                <c:pt idx="4">
                  <c:v>89.351520131470835</c:v>
                </c:pt>
                <c:pt idx="5">
                  <c:v>102.2</c:v>
                </c:pt>
                <c:pt idx="6">
                  <c:v>107.57452752670503</c:v>
                </c:pt>
                <c:pt idx="7">
                  <c:v>103.54363188167626</c:v>
                </c:pt>
                <c:pt idx="8">
                  <c:v>100.10057518488087</c:v>
                </c:pt>
                <c:pt idx="9">
                  <c:v>100.10057518488087</c:v>
                </c:pt>
                <c:pt idx="10">
                  <c:v>102.2</c:v>
                </c:pt>
                <c:pt idx="11">
                  <c:v>112.6</c:v>
                </c:pt>
                <c:pt idx="12">
                  <c:v>92.8</c:v>
                </c:pt>
                <c:pt idx="13">
                  <c:v>93.5</c:v>
                </c:pt>
                <c:pt idx="14">
                  <c:v>100</c:v>
                </c:pt>
                <c:pt idx="15">
                  <c:v>111.9</c:v>
                </c:pt>
                <c:pt idx="16">
                  <c:v>106.3</c:v>
                </c:pt>
                <c:pt idx="17">
                  <c:v>103.1</c:v>
                </c:pt>
                <c:pt idx="18">
                  <c:v>91.3</c:v>
                </c:pt>
                <c:pt idx="19">
                  <c:v>103.1</c:v>
                </c:pt>
                <c:pt idx="20">
                  <c:v>103.8</c:v>
                </c:pt>
                <c:pt idx="21">
                  <c:v>100</c:v>
                </c:pt>
                <c:pt idx="22">
                  <c:v>103.8</c:v>
                </c:pt>
                <c:pt idx="23">
                  <c:v>128.5</c:v>
                </c:pt>
                <c:pt idx="24">
                  <c:v>144.4</c:v>
                </c:pt>
                <c:pt idx="25">
                  <c:v>134.80000000000001</c:v>
                </c:pt>
                <c:pt idx="26">
                  <c:v>119.7</c:v>
                </c:pt>
                <c:pt idx="27">
                  <c:v>119.7</c:v>
                </c:pt>
                <c:pt idx="28">
                  <c:v>116.6</c:v>
                </c:pt>
                <c:pt idx="29">
                  <c:v>99.1</c:v>
                </c:pt>
                <c:pt idx="30">
                  <c:v>84.1</c:v>
                </c:pt>
                <c:pt idx="31">
                  <c:v>84.1</c:v>
                </c:pt>
                <c:pt idx="32">
                  <c:v>84.1</c:v>
                </c:pt>
                <c:pt idx="33">
                  <c:v>81.599999999999994</c:v>
                </c:pt>
                <c:pt idx="34">
                  <c:v>77.8</c:v>
                </c:pt>
                <c:pt idx="35">
                  <c:v>81.599999999999994</c:v>
                </c:pt>
                <c:pt idx="36">
                  <c:v>78.5</c:v>
                </c:pt>
                <c:pt idx="37">
                  <c:v>77.8</c:v>
                </c:pt>
                <c:pt idx="38">
                  <c:v>76.900000000000006</c:v>
                </c:pt>
                <c:pt idx="39">
                  <c:v>76.2</c:v>
                </c:pt>
                <c:pt idx="40">
                  <c:v>72.2</c:v>
                </c:pt>
                <c:pt idx="41">
                  <c:v>74.400000000000006</c:v>
                </c:pt>
                <c:pt idx="42">
                  <c:v>75.3</c:v>
                </c:pt>
                <c:pt idx="43">
                  <c:v>75.3</c:v>
                </c:pt>
                <c:pt idx="44">
                  <c:v>71.3</c:v>
                </c:pt>
                <c:pt idx="45">
                  <c:v>79.400000000000006</c:v>
                </c:pt>
                <c:pt idx="46">
                  <c:v>90.4</c:v>
                </c:pt>
                <c:pt idx="47">
                  <c:v>91.3</c:v>
                </c:pt>
                <c:pt idx="48">
                  <c:v>87.2</c:v>
                </c:pt>
                <c:pt idx="49">
                  <c:v>88.8</c:v>
                </c:pt>
                <c:pt idx="50">
                  <c:v>75.3</c:v>
                </c:pt>
                <c:pt idx="51">
                  <c:v>72.900000000000006</c:v>
                </c:pt>
                <c:pt idx="52">
                  <c:v>65</c:v>
                </c:pt>
                <c:pt idx="53">
                  <c:v>59.4</c:v>
                </c:pt>
                <c:pt idx="54">
                  <c:v>61</c:v>
                </c:pt>
                <c:pt idx="55">
                  <c:v>65.900000000000006</c:v>
                </c:pt>
                <c:pt idx="56">
                  <c:v>65.900000000000006</c:v>
                </c:pt>
                <c:pt idx="57">
                  <c:v>71.3</c:v>
                </c:pt>
                <c:pt idx="58">
                  <c:v>65</c:v>
                </c:pt>
                <c:pt idx="59">
                  <c:v>65</c:v>
                </c:pt>
                <c:pt idx="60">
                  <c:v>66.599999999999994</c:v>
                </c:pt>
                <c:pt idx="61">
                  <c:v>65.900000000000006</c:v>
                </c:pt>
                <c:pt idx="62">
                  <c:v>69.7</c:v>
                </c:pt>
                <c:pt idx="63">
                  <c:v>76.900000000000006</c:v>
                </c:pt>
                <c:pt idx="64">
                  <c:v>85.7</c:v>
                </c:pt>
                <c:pt idx="65">
                  <c:v>87.2</c:v>
                </c:pt>
                <c:pt idx="66">
                  <c:v>83.2</c:v>
                </c:pt>
                <c:pt idx="67">
                  <c:v>88.1</c:v>
                </c:pt>
                <c:pt idx="68">
                  <c:v>73.8</c:v>
                </c:pt>
                <c:pt idx="69">
                  <c:v>76.3</c:v>
                </c:pt>
                <c:pt idx="70">
                  <c:v>73.8</c:v>
                </c:pt>
                <c:pt idx="71">
                  <c:v>70.599999999999994</c:v>
                </c:pt>
                <c:pt idx="72">
                  <c:v>82.5</c:v>
                </c:pt>
                <c:pt idx="73">
                  <c:v>105.4</c:v>
                </c:pt>
                <c:pt idx="74">
                  <c:v>153.1</c:v>
                </c:pt>
                <c:pt idx="75">
                  <c:v>146.6</c:v>
                </c:pt>
                <c:pt idx="76">
                  <c:v>137.9</c:v>
                </c:pt>
                <c:pt idx="77">
                  <c:v>128.5</c:v>
                </c:pt>
                <c:pt idx="78">
                  <c:v>125.3</c:v>
                </c:pt>
                <c:pt idx="79">
                  <c:v>119.7</c:v>
                </c:pt>
                <c:pt idx="80">
                  <c:v>107</c:v>
                </c:pt>
                <c:pt idx="81">
                  <c:v>103.1</c:v>
                </c:pt>
                <c:pt idx="82">
                  <c:v>107.8</c:v>
                </c:pt>
                <c:pt idx="83">
                  <c:v>105.4</c:v>
                </c:pt>
                <c:pt idx="84">
                  <c:v>100</c:v>
                </c:pt>
                <c:pt idx="85">
                  <c:v>93.5</c:v>
                </c:pt>
                <c:pt idx="86">
                  <c:v>87.2</c:v>
                </c:pt>
                <c:pt idx="87">
                  <c:v>84.1</c:v>
                </c:pt>
                <c:pt idx="88">
                  <c:v>72.2</c:v>
                </c:pt>
                <c:pt idx="89">
                  <c:v>71.3</c:v>
                </c:pt>
                <c:pt idx="90">
                  <c:v>79.400000000000006</c:v>
                </c:pt>
                <c:pt idx="91">
                  <c:v>81.599999999999994</c:v>
                </c:pt>
                <c:pt idx="92">
                  <c:v>85.7</c:v>
                </c:pt>
                <c:pt idx="93">
                  <c:v>80</c:v>
                </c:pt>
                <c:pt idx="94">
                  <c:v>73.8</c:v>
                </c:pt>
                <c:pt idx="95">
                  <c:v>67.5</c:v>
                </c:pt>
                <c:pt idx="96">
                  <c:v>65</c:v>
                </c:pt>
                <c:pt idx="97">
                  <c:v>67.5</c:v>
                </c:pt>
                <c:pt idx="98">
                  <c:v>68.2</c:v>
                </c:pt>
                <c:pt idx="99">
                  <c:v>64.099999999999994</c:v>
                </c:pt>
                <c:pt idx="100">
                  <c:v>65</c:v>
                </c:pt>
                <c:pt idx="101">
                  <c:v>64.599999999999994</c:v>
                </c:pt>
                <c:pt idx="102">
                  <c:v>60.3</c:v>
                </c:pt>
                <c:pt idx="103">
                  <c:v>61.9</c:v>
                </c:pt>
                <c:pt idx="104">
                  <c:v>55.4</c:v>
                </c:pt>
                <c:pt idx="105">
                  <c:v>56.5</c:v>
                </c:pt>
                <c:pt idx="106">
                  <c:v>53.8</c:v>
                </c:pt>
                <c:pt idx="107">
                  <c:v>53.8</c:v>
                </c:pt>
                <c:pt idx="108">
                  <c:v>56.1</c:v>
                </c:pt>
                <c:pt idx="109">
                  <c:v>60.3</c:v>
                </c:pt>
                <c:pt idx="110">
                  <c:v>64.8</c:v>
                </c:pt>
                <c:pt idx="111">
                  <c:v>63.9</c:v>
                </c:pt>
                <c:pt idx="112">
                  <c:v>68.2</c:v>
                </c:pt>
                <c:pt idx="113">
                  <c:v>69.099999999999994</c:v>
                </c:pt>
                <c:pt idx="114">
                  <c:v>69.099999999999994</c:v>
                </c:pt>
                <c:pt idx="115">
                  <c:v>69.5</c:v>
                </c:pt>
                <c:pt idx="116">
                  <c:v>71.5</c:v>
                </c:pt>
                <c:pt idx="117">
                  <c:v>75.3</c:v>
                </c:pt>
                <c:pt idx="118">
                  <c:v>72.900000000000006</c:v>
                </c:pt>
                <c:pt idx="119">
                  <c:v>78.3</c:v>
                </c:pt>
                <c:pt idx="120">
                  <c:v>81.400000000000006</c:v>
                </c:pt>
                <c:pt idx="121">
                  <c:v>75.099999999999994</c:v>
                </c:pt>
                <c:pt idx="122">
                  <c:v>80</c:v>
                </c:pt>
                <c:pt idx="123">
                  <c:v>80.7</c:v>
                </c:pt>
                <c:pt idx="124">
                  <c:v>78.7</c:v>
                </c:pt>
                <c:pt idx="125">
                  <c:v>80.5</c:v>
                </c:pt>
                <c:pt idx="126">
                  <c:v>98.9</c:v>
                </c:pt>
                <c:pt idx="127">
                  <c:v>135.9</c:v>
                </c:pt>
                <c:pt idx="128">
                  <c:v>152</c:v>
                </c:pt>
                <c:pt idx="129">
                  <c:v>160.30000000000001</c:v>
                </c:pt>
                <c:pt idx="130">
                  <c:v>178.7</c:v>
                </c:pt>
                <c:pt idx="131">
                  <c:v>113</c:v>
                </c:pt>
                <c:pt idx="132">
                  <c:v>111.9</c:v>
                </c:pt>
                <c:pt idx="133">
                  <c:v>116.4</c:v>
                </c:pt>
                <c:pt idx="134">
                  <c:v>113.5</c:v>
                </c:pt>
                <c:pt idx="135">
                  <c:v>119.7</c:v>
                </c:pt>
                <c:pt idx="136">
                  <c:v>115.7</c:v>
                </c:pt>
                <c:pt idx="137">
                  <c:v>110.5</c:v>
                </c:pt>
                <c:pt idx="138">
                  <c:v>112.1</c:v>
                </c:pt>
                <c:pt idx="139">
                  <c:v>110.1</c:v>
                </c:pt>
                <c:pt idx="140">
                  <c:v>100</c:v>
                </c:pt>
                <c:pt idx="141">
                  <c:v>84.3</c:v>
                </c:pt>
                <c:pt idx="142">
                  <c:v>75.3</c:v>
                </c:pt>
                <c:pt idx="143">
                  <c:v>76.2</c:v>
                </c:pt>
                <c:pt idx="144">
                  <c:v>86.5</c:v>
                </c:pt>
                <c:pt idx="145">
                  <c:v>92.6</c:v>
                </c:pt>
                <c:pt idx="146">
                  <c:v>93.5</c:v>
                </c:pt>
                <c:pt idx="147">
                  <c:v>99.8</c:v>
                </c:pt>
                <c:pt idx="148">
                  <c:v>90.8</c:v>
                </c:pt>
                <c:pt idx="149">
                  <c:v>89.2</c:v>
                </c:pt>
                <c:pt idx="150">
                  <c:v>90.8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'[1]DATAUSLR '!$BM$17</c:f>
              <c:strCache>
                <c:ptCount val="1"/>
                <c:pt idx="0">
                  <c:v>UKWPI</c:v>
                </c:pt>
              </c:strCache>
            </c:strRef>
          </c:tx>
          <c:spPr>
            <a:ln w="3175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'[1]DATAUSLR '!$A$28:$A$178</c:f>
              <c:numCache>
                <c:formatCode>General</c:formatCode>
                <c:ptCount val="151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</c:numCache>
            </c:numRef>
          </c:cat>
          <c:val>
            <c:numRef>
              <c:f>'[1]DATAUSLR '!$BM$28:$BM$178</c:f>
              <c:numCache>
                <c:formatCode>General</c:formatCode>
                <c:ptCount val="151"/>
                <c:pt idx="0">
                  <c:v>96.5</c:v>
                </c:pt>
                <c:pt idx="1">
                  <c:v>96.9</c:v>
                </c:pt>
                <c:pt idx="2">
                  <c:v>95.2</c:v>
                </c:pt>
                <c:pt idx="3">
                  <c:v>104.4</c:v>
                </c:pt>
                <c:pt idx="4">
                  <c:v>106.4</c:v>
                </c:pt>
                <c:pt idx="5">
                  <c:v>124.1</c:v>
                </c:pt>
                <c:pt idx="6">
                  <c:v>125.4</c:v>
                </c:pt>
                <c:pt idx="7">
                  <c:v>114.7</c:v>
                </c:pt>
                <c:pt idx="8">
                  <c:v>116.6</c:v>
                </c:pt>
                <c:pt idx="9">
                  <c:v>134.6</c:v>
                </c:pt>
                <c:pt idx="10">
                  <c:v>163.1</c:v>
                </c:pt>
                <c:pt idx="11">
                  <c:v>163.19999999999999</c:v>
                </c:pt>
                <c:pt idx="12">
                  <c:v>132</c:v>
                </c:pt>
                <c:pt idx="13">
                  <c:v>133.5</c:v>
                </c:pt>
                <c:pt idx="14">
                  <c:v>134.30000000000001</c:v>
                </c:pt>
                <c:pt idx="15">
                  <c:v>147.1</c:v>
                </c:pt>
                <c:pt idx="16">
                  <c:v>145.30000000000001</c:v>
                </c:pt>
                <c:pt idx="17">
                  <c:v>141.69999999999999</c:v>
                </c:pt>
                <c:pt idx="18">
                  <c:v>156.1</c:v>
                </c:pt>
                <c:pt idx="19">
                  <c:v>167.4</c:v>
                </c:pt>
                <c:pt idx="20">
                  <c:v>165.7</c:v>
                </c:pt>
                <c:pt idx="21">
                  <c:v>157.1</c:v>
                </c:pt>
                <c:pt idx="22">
                  <c:v>176.8</c:v>
                </c:pt>
                <c:pt idx="23">
                  <c:v>182.5</c:v>
                </c:pt>
                <c:pt idx="24">
                  <c:v>166</c:v>
                </c:pt>
                <c:pt idx="25">
                  <c:v>140.30000000000001</c:v>
                </c:pt>
                <c:pt idx="26">
                  <c:v>128.1</c:v>
                </c:pt>
                <c:pt idx="27">
                  <c:v>142.9</c:v>
                </c:pt>
                <c:pt idx="28">
                  <c:v>149.80000000000001</c:v>
                </c:pt>
                <c:pt idx="29">
                  <c:v>138.4</c:v>
                </c:pt>
                <c:pt idx="30">
                  <c:v>124.7</c:v>
                </c:pt>
                <c:pt idx="31">
                  <c:v>107.7</c:v>
                </c:pt>
                <c:pt idx="32">
                  <c:v>95</c:v>
                </c:pt>
                <c:pt idx="33">
                  <c:v>105.4</c:v>
                </c:pt>
                <c:pt idx="34">
                  <c:v>110.1</c:v>
                </c:pt>
                <c:pt idx="35">
                  <c:v>122.1</c:v>
                </c:pt>
                <c:pt idx="36">
                  <c:v>108</c:v>
                </c:pt>
                <c:pt idx="37">
                  <c:v>107.3</c:v>
                </c:pt>
                <c:pt idx="38">
                  <c:v>104.1</c:v>
                </c:pt>
                <c:pt idx="39">
                  <c:v>103.5</c:v>
                </c:pt>
                <c:pt idx="40">
                  <c:v>102.1</c:v>
                </c:pt>
                <c:pt idx="41">
                  <c:v>102.9</c:v>
                </c:pt>
                <c:pt idx="42">
                  <c:v>98.8</c:v>
                </c:pt>
                <c:pt idx="43">
                  <c:v>95.7</c:v>
                </c:pt>
                <c:pt idx="44">
                  <c:v>93.4</c:v>
                </c:pt>
                <c:pt idx="45">
                  <c:v>91.3</c:v>
                </c:pt>
                <c:pt idx="46">
                  <c:v>102.8</c:v>
                </c:pt>
                <c:pt idx="47">
                  <c:v>101.9</c:v>
                </c:pt>
                <c:pt idx="48">
                  <c:v>105.7</c:v>
                </c:pt>
                <c:pt idx="49">
                  <c:v>112.7</c:v>
                </c:pt>
                <c:pt idx="50">
                  <c:v>110.7</c:v>
                </c:pt>
                <c:pt idx="51">
                  <c:v>105.5</c:v>
                </c:pt>
                <c:pt idx="52">
                  <c:v>95.9</c:v>
                </c:pt>
                <c:pt idx="53">
                  <c:v>86.1</c:v>
                </c:pt>
                <c:pt idx="54">
                  <c:v>87.6</c:v>
                </c:pt>
                <c:pt idx="55">
                  <c:v>90</c:v>
                </c:pt>
                <c:pt idx="56">
                  <c:v>92.9</c:v>
                </c:pt>
                <c:pt idx="57">
                  <c:v>104.6</c:v>
                </c:pt>
                <c:pt idx="58">
                  <c:v>88.4</c:v>
                </c:pt>
                <c:pt idx="59">
                  <c:v>79.8</c:v>
                </c:pt>
                <c:pt idx="60">
                  <c:v>79.400000000000006</c:v>
                </c:pt>
                <c:pt idx="61">
                  <c:v>77.3</c:v>
                </c:pt>
                <c:pt idx="62">
                  <c:v>80.400000000000006</c:v>
                </c:pt>
                <c:pt idx="63">
                  <c:v>97.9</c:v>
                </c:pt>
                <c:pt idx="64">
                  <c:v>105.2</c:v>
                </c:pt>
                <c:pt idx="65">
                  <c:v>104.1</c:v>
                </c:pt>
                <c:pt idx="66">
                  <c:v>104.1</c:v>
                </c:pt>
                <c:pt idx="67">
                  <c:v>108.2</c:v>
                </c:pt>
                <c:pt idx="68">
                  <c:v>93.8</c:v>
                </c:pt>
                <c:pt idx="69">
                  <c:v>96.9</c:v>
                </c:pt>
                <c:pt idx="70">
                  <c:v>102.1</c:v>
                </c:pt>
                <c:pt idx="71">
                  <c:v>101</c:v>
                </c:pt>
                <c:pt idx="72">
                  <c:v>104.1</c:v>
                </c:pt>
                <c:pt idx="73">
                  <c:v>106.2</c:v>
                </c:pt>
                <c:pt idx="74">
                  <c:v>108.2</c:v>
                </c:pt>
                <c:pt idx="75">
                  <c:v>104.1</c:v>
                </c:pt>
                <c:pt idx="76">
                  <c:v>105.2</c:v>
                </c:pt>
                <c:pt idx="77">
                  <c:v>103.1</c:v>
                </c:pt>
                <c:pt idx="78">
                  <c:v>102.1</c:v>
                </c:pt>
                <c:pt idx="79">
                  <c:v>101</c:v>
                </c:pt>
                <c:pt idx="80">
                  <c:v>99</c:v>
                </c:pt>
                <c:pt idx="81">
                  <c:v>103.1</c:v>
                </c:pt>
                <c:pt idx="82">
                  <c:v>112.4</c:v>
                </c:pt>
                <c:pt idx="83">
                  <c:v>114.4</c:v>
                </c:pt>
                <c:pt idx="84">
                  <c:v>105.2</c:v>
                </c:pt>
                <c:pt idx="85">
                  <c:v>99</c:v>
                </c:pt>
                <c:pt idx="86">
                  <c:v>97.9</c:v>
                </c:pt>
                <c:pt idx="87">
                  <c:v>96.9</c:v>
                </c:pt>
                <c:pt idx="88">
                  <c:v>89.7</c:v>
                </c:pt>
                <c:pt idx="89">
                  <c:v>85.6</c:v>
                </c:pt>
                <c:pt idx="90">
                  <c:v>90.7</c:v>
                </c:pt>
                <c:pt idx="91">
                  <c:v>87.6</c:v>
                </c:pt>
                <c:pt idx="92">
                  <c:v>86.6</c:v>
                </c:pt>
                <c:pt idx="93">
                  <c:v>84.5</c:v>
                </c:pt>
                <c:pt idx="94">
                  <c:v>78.400000000000006</c:v>
                </c:pt>
                <c:pt idx="95">
                  <c:v>74.2</c:v>
                </c:pt>
                <c:pt idx="96">
                  <c:v>71.099999999999994</c:v>
                </c:pt>
                <c:pt idx="97">
                  <c:v>70.099999999999994</c:v>
                </c:pt>
                <c:pt idx="98">
                  <c:v>72.2</c:v>
                </c:pt>
                <c:pt idx="99">
                  <c:v>74.2</c:v>
                </c:pt>
                <c:pt idx="100">
                  <c:v>74.2</c:v>
                </c:pt>
                <c:pt idx="101">
                  <c:v>74.2</c:v>
                </c:pt>
                <c:pt idx="102">
                  <c:v>70.099999999999994</c:v>
                </c:pt>
                <c:pt idx="103">
                  <c:v>70.099999999999994</c:v>
                </c:pt>
                <c:pt idx="104">
                  <c:v>64.900000000000006</c:v>
                </c:pt>
                <c:pt idx="105">
                  <c:v>63.9</c:v>
                </c:pt>
                <c:pt idx="106">
                  <c:v>62.9</c:v>
                </c:pt>
                <c:pt idx="107">
                  <c:v>63.9</c:v>
                </c:pt>
                <c:pt idx="108">
                  <c:v>66</c:v>
                </c:pt>
                <c:pt idx="109">
                  <c:v>70.099999999999994</c:v>
                </c:pt>
                <c:pt idx="110">
                  <c:v>77.3</c:v>
                </c:pt>
                <c:pt idx="111">
                  <c:v>72.2</c:v>
                </c:pt>
                <c:pt idx="112">
                  <c:v>71.099999999999994</c:v>
                </c:pt>
                <c:pt idx="113">
                  <c:v>74.099999999999994</c:v>
                </c:pt>
                <c:pt idx="114">
                  <c:v>72.2</c:v>
                </c:pt>
                <c:pt idx="115">
                  <c:v>74.2</c:v>
                </c:pt>
                <c:pt idx="116">
                  <c:v>79.400000000000006</c:v>
                </c:pt>
                <c:pt idx="117">
                  <c:v>82.5</c:v>
                </c:pt>
                <c:pt idx="118">
                  <c:v>75.3</c:v>
                </c:pt>
                <c:pt idx="119">
                  <c:v>76.3</c:v>
                </c:pt>
                <c:pt idx="120">
                  <c:v>80.400000000000006</c:v>
                </c:pt>
                <c:pt idx="121">
                  <c:v>82.5</c:v>
                </c:pt>
                <c:pt idx="122">
                  <c:v>87.6</c:v>
                </c:pt>
                <c:pt idx="123">
                  <c:v>87.6</c:v>
                </c:pt>
                <c:pt idx="124">
                  <c:v>87.6</c:v>
                </c:pt>
                <c:pt idx="125">
                  <c:v>111.3</c:v>
                </c:pt>
                <c:pt idx="126">
                  <c:v>140.19999999999999</c:v>
                </c:pt>
                <c:pt idx="127">
                  <c:v>184.5</c:v>
                </c:pt>
                <c:pt idx="128">
                  <c:v>197.9</c:v>
                </c:pt>
                <c:pt idx="129">
                  <c:v>212.4</c:v>
                </c:pt>
                <c:pt idx="130">
                  <c:v>258.8</c:v>
                </c:pt>
                <c:pt idx="131">
                  <c:v>159.80000000000001</c:v>
                </c:pt>
                <c:pt idx="132">
                  <c:v>135.1</c:v>
                </c:pt>
                <c:pt idx="133">
                  <c:v>133</c:v>
                </c:pt>
                <c:pt idx="134">
                  <c:v>143.30000000000001</c:v>
                </c:pt>
                <c:pt idx="135">
                  <c:v>140.19999999999999</c:v>
                </c:pt>
                <c:pt idx="136">
                  <c:v>129.9</c:v>
                </c:pt>
                <c:pt idx="137">
                  <c:v>125.8</c:v>
                </c:pt>
                <c:pt idx="138">
                  <c:v>123.7</c:v>
                </c:pt>
                <c:pt idx="139">
                  <c:v>118.8</c:v>
                </c:pt>
                <c:pt idx="140">
                  <c:v>100</c:v>
                </c:pt>
                <c:pt idx="141">
                  <c:v>85.6</c:v>
                </c:pt>
                <c:pt idx="142">
                  <c:v>82.5</c:v>
                </c:pt>
                <c:pt idx="143">
                  <c:v>81.400000000000006</c:v>
                </c:pt>
                <c:pt idx="144">
                  <c:v>84.5</c:v>
                </c:pt>
                <c:pt idx="145">
                  <c:v>86.6</c:v>
                </c:pt>
                <c:pt idx="146">
                  <c:v>91.8</c:v>
                </c:pt>
                <c:pt idx="147">
                  <c:v>105.2</c:v>
                </c:pt>
                <c:pt idx="148">
                  <c:v>93.8</c:v>
                </c:pt>
                <c:pt idx="149">
                  <c:v>98.750793072014588</c:v>
                </c:pt>
                <c:pt idx="150">
                  <c:v>132.32896991795837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71168"/>
        <c:axId val="194081152"/>
      </c:lineChart>
      <c:catAx>
        <c:axId val="194071168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08115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94081152"/>
        <c:scaling>
          <c:logBase val="10"/>
          <c:orientation val="minMax"/>
          <c:max val="300"/>
          <c:min val="50"/>
        </c:scaling>
        <c:delete val="0"/>
        <c:axPos val="l"/>
        <c:minorGridlines>
          <c:spPr>
            <a:ln>
              <a:solidFill>
                <a:srgbClr val="000000"/>
              </a:solidFill>
            </a:ln>
          </c:spPr>
        </c:minorGridlines>
        <c:numFmt formatCode="#,##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071168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284697508896807E-2"/>
          <c:y val="4.165691700038382E-2"/>
          <c:w val="0.91814946619217086"/>
          <c:h val="0.8483954749206013"/>
        </c:manualLayout>
      </c:layout>
      <c:lineChart>
        <c:grouping val="standard"/>
        <c:varyColors val="0"/>
        <c:ser>
          <c:idx val="1"/>
          <c:order val="0"/>
          <c:tx>
            <c:strRef>
              <c:f>DATALRprices!$H$17</c:f>
              <c:strCache>
                <c:ptCount val="1"/>
                <c:pt idx="0">
                  <c:v>USWPI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'[1]DATAUSLR '!$A$28:$A$248</c:f>
              <c:numCache>
                <c:formatCode>General</c:formatCode>
                <c:ptCount val="221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  <c:pt idx="151">
                  <c:v>1941</c:v>
                </c:pt>
                <c:pt idx="152">
                  <c:v>1942</c:v>
                </c:pt>
                <c:pt idx="153">
                  <c:v>1943</c:v>
                </c:pt>
                <c:pt idx="154">
                  <c:v>1944</c:v>
                </c:pt>
                <c:pt idx="155">
                  <c:v>1945</c:v>
                </c:pt>
                <c:pt idx="156">
                  <c:v>1946</c:v>
                </c:pt>
                <c:pt idx="157">
                  <c:v>1947</c:v>
                </c:pt>
                <c:pt idx="158">
                  <c:v>1948</c:v>
                </c:pt>
                <c:pt idx="159">
                  <c:v>1949</c:v>
                </c:pt>
                <c:pt idx="160">
                  <c:v>1950</c:v>
                </c:pt>
                <c:pt idx="161">
                  <c:v>1951</c:v>
                </c:pt>
                <c:pt idx="162">
                  <c:v>1952</c:v>
                </c:pt>
                <c:pt idx="163">
                  <c:v>1953</c:v>
                </c:pt>
                <c:pt idx="164">
                  <c:v>1954</c:v>
                </c:pt>
                <c:pt idx="165">
                  <c:v>1955</c:v>
                </c:pt>
                <c:pt idx="166">
                  <c:v>1956</c:v>
                </c:pt>
                <c:pt idx="167">
                  <c:v>1957</c:v>
                </c:pt>
                <c:pt idx="168">
                  <c:v>1958</c:v>
                </c:pt>
                <c:pt idx="169">
                  <c:v>1959</c:v>
                </c:pt>
                <c:pt idx="170">
                  <c:v>1960</c:v>
                </c:pt>
                <c:pt idx="171">
                  <c:v>1961</c:v>
                </c:pt>
                <c:pt idx="172">
                  <c:v>1962</c:v>
                </c:pt>
                <c:pt idx="173">
                  <c:v>1963</c:v>
                </c:pt>
                <c:pt idx="174">
                  <c:v>1964</c:v>
                </c:pt>
                <c:pt idx="175">
                  <c:v>1965</c:v>
                </c:pt>
                <c:pt idx="176">
                  <c:v>1966</c:v>
                </c:pt>
                <c:pt idx="177">
                  <c:v>1967</c:v>
                </c:pt>
                <c:pt idx="178">
                  <c:v>1968</c:v>
                </c:pt>
                <c:pt idx="179">
                  <c:v>1969</c:v>
                </c:pt>
                <c:pt idx="180">
                  <c:v>1970</c:v>
                </c:pt>
                <c:pt idx="181">
                  <c:v>1971</c:v>
                </c:pt>
                <c:pt idx="182">
                  <c:v>1972</c:v>
                </c:pt>
                <c:pt idx="183">
                  <c:v>1973</c:v>
                </c:pt>
                <c:pt idx="184">
                  <c:v>1974</c:v>
                </c:pt>
                <c:pt idx="185">
                  <c:v>1975</c:v>
                </c:pt>
                <c:pt idx="186">
                  <c:v>1976</c:v>
                </c:pt>
                <c:pt idx="187">
                  <c:v>1977</c:v>
                </c:pt>
                <c:pt idx="188">
                  <c:v>1978</c:v>
                </c:pt>
                <c:pt idx="189">
                  <c:v>1979</c:v>
                </c:pt>
                <c:pt idx="190">
                  <c:v>1980</c:v>
                </c:pt>
                <c:pt idx="191">
                  <c:v>1981</c:v>
                </c:pt>
                <c:pt idx="192">
                  <c:v>1982</c:v>
                </c:pt>
                <c:pt idx="193">
                  <c:v>1983</c:v>
                </c:pt>
                <c:pt idx="194">
                  <c:v>1984</c:v>
                </c:pt>
                <c:pt idx="195">
                  <c:v>1985</c:v>
                </c:pt>
                <c:pt idx="196">
                  <c:v>1986</c:v>
                </c:pt>
                <c:pt idx="197">
                  <c:v>1987</c:v>
                </c:pt>
                <c:pt idx="198">
                  <c:v>1988</c:v>
                </c:pt>
                <c:pt idx="199">
                  <c:v>1989</c:v>
                </c:pt>
                <c:pt idx="200">
                  <c:v>1990</c:v>
                </c:pt>
                <c:pt idx="201">
                  <c:v>1991</c:v>
                </c:pt>
                <c:pt idx="202">
                  <c:v>1992</c:v>
                </c:pt>
                <c:pt idx="203">
                  <c:v>1993</c:v>
                </c:pt>
                <c:pt idx="204">
                  <c:v>1994</c:v>
                </c:pt>
                <c:pt idx="205">
                  <c:v>1995</c:v>
                </c:pt>
                <c:pt idx="206">
                  <c:v>1996</c:v>
                </c:pt>
                <c:pt idx="207">
                  <c:v>1997</c:v>
                </c:pt>
                <c:pt idx="208">
                  <c:v>1998</c:v>
                </c:pt>
                <c:pt idx="209">
                  <c:v>1999</c:v>
                </c:pt>
                <c:pt idx="210">
                  <c:v>2000</c:v>
                </c:pt>
                <c:pt idx="211">
                  <c:v>2001</c:v>
                </c:pt>
                <c:pt idx="212">
                  <c:v>2002</c:v>
                </c:pt>
                <c:pt idx="213">
                  <c:v>2003</c:v>
                </c:pt>
                <c:pt idx="214">
                  <c:v>2004</c:v>
                </c:pt>
                <c:pt idx="215">
                  <c:v>2005</c:v>
                </c:pt>
                <c:pt idx="216">
                  <c:v>2006</c:v>
                </c:pt>
                <c:pt idx="217">
                  <c:v>2007</c:v>
                </c:pt>
                <c:pt idx="218">
                  <c:v>2008</c:v>
                </c:pt>
                <c:pt idx="219">
                  <c:v>2009</c:v>
                </c:pt>
                <c:pt idx="220">
                  <c:v>2010</c:v>
                </c:pt>
              </c:numCache>
            </c:numRef>
          </c:cat>
          <c:val>
            <c:numRef>
              <c:f>DATALRprices!$H$18:$H$248</c:f>
              <c:numCache>
                <c:formatCode>0.000</c:formatCode>
                <c:ptCount val="231"/>
                <c:pt idx="0">
                  <c:v>115.04847986852918</c:v>
                </c:pt>
                <c:pt idx="1">
                  <c:v>93.214461791290063</c:v>
                </c:pt>
                <c:pt idx="2">
                  <c:v>101.61216105176666</c:v>
                </c:pt>
                <c:pt idx="3">
                  <c:v>89.015612161051777</c:v>
                </c:pt>
                <c:pt idx="4">
                  <c:v>85.656532456861129</c:v>
                </c:pt>
                <c:pt idx="5">
                  <c:v>81.457682826622857</c:v>
                </c:pt>
                <c:pt idx="6">
                  <c:v>77.174856203779797</c:v>
                </c:pt>
                <c:pt idx="7">
                  <c:v>75.747247329498776</c:v>
                </c:pt>
                <c:pt idx="8">
                  <c:v>72.388167625308142</c:v>
                </c:pt>
                <c:pt idx="9">
                  <c:v>71.716351684470013</c:v>
                </c:pt>
                <c:pt idx="10">
                  <c:v>74.403615447822531</c:v>
                </c:pt>
                <c:pt idx="11">
                  <c:v>76.419063270336906</c:v>
                </c:pt>
                <c:pt idx="12">
                  <c:v>77.846672144617926</c:v>
                </c:pt>
                <c:pt idx="13">
                  <c:v>80.533935907970431</c:v>
                </c:pt>
                <c:pt idx="14">
                  <c:v>89.351520131470835</c:v>
                </c:pt>
                <c:pt idx="15">
                  <c:v>102.2</c:v>
                </c:pt>
                <c:pt idx="16">
                  <c:v>107.57452752670503</c:v>
                </c:pt>
                <c:pt idx="17">
                  <c:v>103.54363188167626</c:v>
                </c:pt>
                <c:pt idx="18">
                  <c:v>100.10057518488087</c:v>
                </c:pt>
                <c:pt idx="19">
                  <c:v>100.10057518488087</c:v>
                </c:pt>
                <c:pt idx="20" formatCode="General">
                  <c:v>102.2</c:v>
                </c:pt>
                <c:pt idx="21" formatCode="General">
                  <c:v>112.6</c:v>
                </c:pt>
                <c:pt idx="22" formatCode="General">
                  <c:v>92.8</c:v>
                </c:pt>
                <c:pt idx="23" formatCode="General">
                  <c:v>93.5</c:v>
                </c:pt>
                <c:pt idx="24" formatCode="General">
                  <c:v>100</c:v>
                </c:pt>
                <c:pt idx="25" formatCode="General">
                  <c:v>111.9</c:v>
                </c:pt>
                <c:pt idx="26" formatCode="General">
                  <c:v>106.3</c:v>
                </c:pt>
                <c:pt idx="27" formatCode="General">
                  <c:v>103.1</c:v>
                </c:pt>
                <c:pt idx="28" formatCode="General">
                  <c:v>91.3</c:v>
                </c:pt>
                <c:pt idx="29" formatCode="General">
                  <c:v>103.1</c:v>
                </c:pt>
                <c:pt idx="30" formatCode="General">
                  <c:v>103.8</c:v>
                </c:pt>
                <c:pt idx="31" formatCode="General">
                  <c:v>100</c:v>
                </c:pt>
                <c:pt idx="32" formatCode="General">
                  <c:v>103.8</c:v>
                </c:pt>
                <c:pt idx="33" formatCode="General">
                  <c:v>128.5</c:v>
                </c:pt>
                <c:pt idx="34" formatCode="General">
                  <c:v>144.4</c:v>
                </c:pt>
                <c:pt idx="35" formatCode="General">
                  <c:v>134.80000000000001</c:v>
                </c:pt>
                <c:pt idx="36" formatCode="General">
                  <c:v>119.7</c:v>
                </c:pt>
                <c:pt idx="37" formatCode="General">
                  <c:v>119.7</c:v>
                </c:pt>
                <c:pt idx="38" formatCode="General">
                  <c:v>116.6</c:v>
                </c:pt>
                <c:pt idx="39" formatCode="General">
                  <c:v>99.1</c:v>
                </c:pt>
                <c:pt idx="40" formatCode="General">
                  <c:v>84.1</c:v>
                </c:pt>
                <c:pt idx="41" formatCode="General">
                  <c:v>84.1</c:v>
                </c:pt>
                <c:pt idx="42" formatCode="General">
                  <c:v>84.1</c:v>
                </c:pt>
                <c:pt idx="43" formatCode="General">
                  <c:v>81.599999999999994</c:v>
                </c:pt>
                <c:pt idx="44" formatCode="General">
                  <c:v>77.8</c:v>
                </c:pt>
                <c:pt idx="45" formatCode="General">
                  <c:v>81.599999999999994</c:v>
                </c:pt>
                <c:pt idx="46" formatCode="General">
                  <c:v>78.5</c:v>
                </c:pt>
                <c:pt idx="47" formatCode="General">
                  <c:v>77.8</c:v>
                </c:pt>
                <c:pt idx="48" formatCode="General">
                  <c:v>76.900000000000006</c:v>
                </c:pt>
                <c:pt idx="49" formatCode="General">
                  <c:v>76.2</c:v>
                </c:pt>
                <c:pt idx="50" formatCode="General">
                  <c:v>72.2</c:v>
                </c:pt>
                <c:pt idx="51" formatCode="General">
                  <c:v>74.400000000000006</c:v>
                </c:pt>
                <c:pt idx="52" formatCode="General">
                  <c:v>75.3</c:v>
                </c:pt>
                <c:pt idx="53" formatCode="General">
                  <c:v>75.3</c:v>
                </c:pt>
                <c:pt idx="54" formatCode="General">
                  <c:v>71.3</c:v>
                </c:pt>
                <c:pt idx="55" formatCode="General">
                  <c:v>79.400000000000006</c:v>
                </c:pt>
                <c:pt idx="56" formatCode="General">
                  <c:v>90.4</c:v>
                </c:pt>
                <c:pt idx="57" formatCode="General">
                  <c:v>91.3</c:v>
                </c:pt>
                <c:pt idx="58" formatCode="General">
                  <c:v>87.2</c:v>
                </c:pt>
                <c:pt idx="59" formatCode="General">
                  <c:v>88.8</c:v>
                </c:pt>
                <c:pt idx="60" formatCode="General">
                  <c:v>75.3</c:v>
                </c:pt>
                <c:pt idx="61" formatCode="General">
                  <c:v>72.900000000000006</c:v>
                </c:pt>
                <c:pt idx="62" formatCode="General">
                  <c:v>65</c:v>
                </c:pt>
                <c:pt idx="63" formatCode="General">
                  <c:v>59.4</c:v>
                </c:pt>
                <c:pt idx="64" formatCode="General">
                  <c:v>61</c:v>
                </c:pt>
                <c:pt idx="65" formatCode="General">
                  <c:v>65.900000000000006</c:v>
                </c:pt>
                <c:pt idx="66" formatCode="General">
                  <c:v>65.900000000000006</c:v>
                </c:pt>
                <c:pt idx="67" formatCode="General">
                  <c:v>71.3</c:v>
                </c:pt>
                <c:pt idx="68" formatCode="General">
                  <c:v>65</c:v>
                </c:pt>
                <c:pt idx="69" formatCode="General">
                  <c:v>65</c:v>
                </c:pt>
                <c:pt idx="70" formatCode="General">
                  <c:v>66.599999999999994</c:v>
                </c:pt>
                <c:pt idx="71" formatCode="General">
                  <c:v>65.900000000000006</c:v>
                </c:pt>
                <c:pt idx="72" formatCode="General">
                  <c:v>69.7</c:v>
                </c:pt>
                <c:pt idx="73" formatCode="General">
                  <c:v>76.900000000000006</c:v>
                </c:pt>
                <c:pt idx="74" formatCode="General">
                  <c:v>85.7</c:v>
                </c:pt>
                <c:pt idx="75" formatCode="General">
                  <c:v>87.2</c:v>
                </c:pt>
                <c:pt idx="76" formatCode="General">
                  <c:v>83.2</c:v>
                </c:pt>
                <c:pt idx="77" formatCode="General">
                  <c:v>88.1</c:v>
                </c:pt>
                <c:pt idx="78" formatCode="General">
                  <c:v>73.8</c:v>
                </c:pt>
                <c:pt idx="79" formatCode="General">
                  <c:v>76.3</c:v>
                </c:pt>
                <c:pt idx="80" formatCode="General">
                  <c:v>73.8</c:v>
                </c:pt>
                <c:pt idx="81" formatCode="General">
                  <c:v>70.599999999999994</c:v>
                </c:pt>
                <c:pt idx="82" formatCode="General">
                  <c:v>82.5</c:v>
                </c:pt>
                <c:pt idx="83" formatCode="General">
                  <c:v>105.4</c:v>
                </c:pt>
                <c:pt idx="84" formatCode="General">
                  <c:v>153.1</c:v>
                </c:pt>
                <c:pt idx="85" formatCode="General">
                  <c:v>146.6</c:v>
                </c:pt>
                <c:pt idx="86" formatCode="General">
                  <c:v>137.9</c:v>
                </c:pt>
                <c:pt idx="87" formatCode="General">
                  <c:v>128.5</c:v>
                </c:pt>
                <c:pt idx="88" formatCode="General">
                  <c:v>125.3</c:v>
                </c:pt>
                <c:pt idx="89" formatCode="General">
                  <c:v>119.7</c:v>
                </c:pt>
                <c:pt idx="90" formatCode="General">
                  <c:v>107</c:v>
                </c:pt>
                <c:pt idx="91" formatCode="General">
                  <c:v>103.1</c:v>
                </c:pt>
                <c:pt idx="92" formatCode="General">
                  <c:v>107.8</c:v>
                </c:pt>
                <c:pt idx="93" formatCode="General">
                  <c:v>105.4</c:v>
                </c:pt>
                <c:pt idx="94" formatCode="General">
                  <c:v>100</c:v>
                </c:pt>
                <c:pt idx="95" formatCode="General">
                  <c:v>93.5</c:v>
                </c:pt>
                <c:pt idx="96" formatCode="General">
                  <c:v>87.2</c:v>
                </c:pt>
                <c:pt idx="97" formatCode="General">
                  <c:v>84.1</c:v>
                </c:pt>
                <c:pt idx="98" formatCode="General">
                  <c:v>72.2</c:v>
                </c:pt>
                <c:pt idx="99" formatCode="General">
                  <c:v>71.3</c:v>
                </c:pt>
                <c:pt idx="100" formatCode="General">
                  <c:v>79.400000000000006</c:v>
                </c:pt>
                <c:pt idx="101" formatCode="General">
                  <c:v>81.599999999999994</c:v>
                </c:pt>
                <c:pt idx="102" formatCode="General">
                  <c:v>85.7</c:v>
                </c:pt>
                <c:pt idx="103" formatCode="General">
                  <c:v>80</c:v>
                </c:pt>
                <c:pt idx="104" formatCode="General">
                  <c:v>73.8</c:v>
                </c:pt>
                <c:pt idx="105" formatCode="General">
                  <c:v>67.5</c:v>
                </c:pt>
                <c:pt idx="106" formatCode="General">
                  <c:v>65</c:v>
                </c:pt>
                <c:pt idx="107" formatCode="General">
                  <c:v>67.5</c:v>
                </c:pt>
                <c:pt idx="108" formatCode="General">
                  <c:v>68.2</c:v>
                </c:pt>
                <c:pt idx="109" formatCode="General">
                  <c:v>64.099999999999994</c:v>
                </c:pt>
                <c:pt idx="110" formatCode="General">
                  <c:v>65</c:v>
                </c:pt>
                <c:pt idx="111" formatCode="General">
                  <c:v>64.599999999999994</c:v>
                </c:pt>
                <c:pt idx="112" formatCode="General">
                  <c:v>60.3</c:v>
                </c:pt>
                <c:pt idx="113" formatCode="General">
                  <c:v>61.9</c:v>
                </c:pt>
                <c:pt idx="114" formatCode="General">
                  <c:v>55.4</c:v>
                </c:pt>
                <c:pt idx="115" formatCode="General">
                  <c:v>56.5</c:v>
                </c:pt>
                <c:pt idx="116" formatCode="General">
                  <c:v>53.8</c:v>
                </c:pt>
                <c:pt idx="117" formatCode="General">
                  <c:v>53.8</c:v>
                </c:pt>
                <c:pt idx="118" formatCode="General">
                  <c:v>56.1</c:v>
                </c:pt>
                <c:pt idx="119" formatCode="General">
                  <c:v>60.3</c:v>
                </c:pt>
                <c:pt idx="120" formatCode="General">
                  <c:v>64.8</c:v>
                </c:pt>
                <c:pt idx="121" formatCode="General">
                  <c:v>63.9</c:v>
                </c:pt>
                <c:pt idx="122" formatCode="General">
                  <c:v>68.2</c:v>
                </c:pt>
                <c:pt idx="123" formatCode="General">
                  <c:v>69.099999999999994</c:v>
                </c:pt>
                <c:pt idx="124" formatCode="General">
                  <c:v>69.099999999999994</c:v>
                </c:pt>
                <c:pt idx="125" formatCode="General">
                  <c:v>69.5</c:v>
                </c:pt>
                <c:pt idx="126" formatCode="General">
                  <c:v>71.5</c:v>
                </c:pt>
                <c:pt idx="127" formatCode="General">
                  <c:v>75.3</c:v>
                </c:pt>
                <c:pt idx="128" formatCode="General">
                  <c:v>72.900000000000006</c:v>
                </c:pt>
                <c:pt idx="129" formatCode="General">
                  <c:v>78.3</c:v>
                </c:pt>
                <c:pt idx="130" formatCode="General">
                  <c:v>81.400000000000006</c:v>
                </c:pt>
                <c:pt idx="131" formatCode="General">
                  <c:v>75.099999999999994</c:v>
                </c:pt>
                <c:pt idx="132" formatCode="General">
                  <c:v>80</c:v>
                </c:pt>
                <c:pt idx="133" formatCode="General">
                  <c:v>80.7</c:v>
                </c:pt>
                <c:pt idx="134" formatCode="General">
                  <c:v>78.7</c:v>
                </c:pt>
                <c:pt idx="135" formatCode="General">
                  <c:v>80.5</c:v>
                </c:pt>
                <c:pt idx="136" formatCode="General">
                  <c:v>98.9</c:v>
                </c:pt>
                <c:pt idx="137" formatCode="General">
                  <c:v>135.9</c:v>
                </c:pt>
                <c:pt idx="138" formatCode="General">
                  <c:v>152</c:v>
                </c:pt>
                <c:pt idx="139" formatCode="General">
                  <c:v>160.30000000000001</c:v>
                </c:pt>
                <c:pt idx="140" formatCode="General">
                  <c:v>178.7</c:v>
                </c:pt>
                <c:pt idx="141" formatCode="General">
                  <c:v>113</c:v>
                </c:pt>
                <c:pt idx="142" formatCode="General">
                  <c:v>111.9</c:v>
                </c:pt>
                <c:pt idx="143" formatCode="General">
                  <c:v>116.4</c:v>
                </c:pt>
                <c:pt idx="144" formatCode="General">
                  <c:v>113.5</c:v>
                </c:pt>
                <c:pt idx="145" formatCode="General">
                  <c:v>119.7</c:v>
                </c:pt>
                <c:pt idx="146" formatCode="General">
                  <c:v>115.7</c:v>
                </c:pt>
                <c:pt idx="147" formatCode="General">
                  <c:v>110.5</c:v>
                </c:pt>
                <c:pt idx="148" formatCode="General">
                  <c:v>112.1</c:v>
                </c:pt>
                <c:pt idx="149" formatCode="General">
                  <c:v>110.1</c:v>
                </c:pt>
                <c:pt idx="150" formatCode="General">
                  <c:v>100</c:v>
                </c:pt>
                <c:pt idx="151" formatCode="General">
                  <c:v>84.3</c:v>
                </c:pt>
                <c:pt idx="152" formatCode="General">
                  <c:v>75.3</c:v>
                </c:pt>
                <c:pt idx="153" formatCode="General">
                  <c:v>76.2</c:v>
                </c:pt>
                <c:pt idx="154" formatCode="General">
                  <c:v>86.5</c:v>
                </c:pt>
                <c:pt idx="155" formatCode="General">
                  <c:v>92.6</c:v>
                </c:pt>
                <c:pt idx="156" formatCode="General">
                  <c:v>93.5</c:v>
                </c:pt>
                <c:pt idx="157" formatCode="General">
                  <c:v>99.8</c:v>
                </c:pt>
                <c:pt idx="158" formatCode="General">
                  <c:v>90.8</c:v>
                </c:pt>
                <c:pt idx="159" formatCode="General">
                  <c:v>89.2</c:v>
                </c:pt>
                <c:pt idx="160" formatCode="General">
                  <c:v>90.8</c:v>
                </c:pt>
                <c:pt idx="161" formatCode="General">
                  <c:v>101.1</c:v>
                </c:pt>
                <c:pt idx="162" formatCode="General">
                  <c:v>114.1</c:v>
                </c:pt>
                <c:pt idx="163" formatCode="General">
                  <c:v>120.2</c:v>
                </c:pt>
                <c:pt idx="164" formatCode="General">
                  <c:v>120.2</c:v>
                </c:pt>
                <c:pt idx="165" formatCode="General">
                  <c:v>122.4</c:v>
                </c:pt>
                <c:pt idx="166" formatCode="General">
                  <c:v>139.69999999999999</c:v>
                </c:pt>
                <c:pt idx="167" formatCode="General">
                  <c:v>171.5</c:v>
                </c:pt>
                <c:pt idx="168" formatCode="General">
                  <c:v>185.7</c:v>
                </c:pt>
                <c:pt idx="169" formatCode="General">
                  <c:v>176.5</c:v>
                </c:pt>
                <c:pt idx="170" formatCode="General">
                  <c:v>183.4</c:v>
                </c:pt>
                <c:pt idx="171" formatCode="General">
                  <c:v>204.3</c:v>
                </c:pt>
                <c:pt idx="172" formatCode="General">
                  <c:v>198.7</c:v>
                </c:pt>
                <c:pt idx="173" formatCode="General">
                  <c:v>196</c:v>
                </c:pt>
                <c:pt idx="174" formatCode="General">
                  <c:v>196.4</c:v>
                </c:pt>
                <c:pt idx="175" formatCode="General">
                  <c:v>196.9</c:v>
                </c:pt>
                <c:pt idx="176" formatCode="General">
                  <c:v>203.4</c:v>
                </c:pt>
                <c:pt idx="177" formatCode="General">
                  <c:v>209.2</c:v>
                </c:pt>
                <c:pt idx="178" formatCode="General">
                  <c:v>212.1</c:v>
                </c:pt>
                <c:pt idx="179" formatCode="General">
                  <c:v>212.6</c:v>
                </c:pt>
                <c:pt idx="180" formatCode="General">
                  <c:v>212.6</c:v>
                </c:pt>
                <c:pt idx="181" formatCode="General">
                  <c:v>212.6</c:v>
                </c:pt>
                <c:pt idx="182" formatCode="General">
                  <c:v>212.6</c:v>
                </c:pt>
                <c:pt idx="183" formatCode="General">
                  <c:v>211.9</c:v>
                </c:pt>
                <c:pt idx="184" formatCode="General">
                  <c:v>212.3</c:v>
                </c:pt>
                <c:pt idx="185" formatCode="General">
                  <c:v>216.6</c:v>
                </c:pt>
                <c:pt idx="186" formatCode="General">
                  <c:v>223.8</c:v>
                </c:pt>
                <c:pt idx="187" formatCode="General">
                  <c:v>224.2</c:v>
                </c:pt>
                <c:pt idx="188" formatCode="General">
                  <c:v>229.8</c:v>
                </c:pt>
                <c:pt idx="189" formatCode="General">
                  <c:v>238.8</c:v>
                </c:pt>
                <c:pt idx="190" formatCode="General">
                  <c:v>247.5</c:v>
                </c:pt>
                <c:pt idx="191" formatCode="General">
                  <c:v>255.4</c:v>
                </c:pt>
                <c:pt idx="192" formatCode="General">
                  <c:v>267</c:v>
                </c:pt>
                <c:pt idx="193" formatCode="General">
                  <c:v>302</c:v>
                </c:pt>
                <c:pt idx="194" formatCode="General">
                  <c:v>359</c:v>
                </c:pt>
                <c:pt idx="195" formatCode="General">
                  <c:v>392.2</c:v>
                </c:pt>
                <c:pt idx="196" formatCode="General">
                  <c:v>410.2</c:v>
                </c:pt>
                <c:pt idx="197" formatCode="0.00">
                  <c:v>435.71162029459907</c:v>
                </c:pt>
                <c:pt idx="198" formatCode="0.00">
                  <c:v>469.27954173486097</c:v>
                </c:pt>
                <c:pt idx="199" formatCode="0.00">
                  <c:v>528.3590834697219</c:v>
                </c:pt>
                <c:pt idx="200" formatCode="0.00">
                  <c:v>602.87986906710319</c:v>
                </c:pt>
                <c:pt idx="201" formatCode="0.00">
                  <c:v>657.93126022913259</c:v>
                </c:pt>
                <c:pt idx="202" formatCode="0.00">
                  <c:v>671.35842880523739</c:v>
                </c:pt>
                <c:pt idx="203" formatCode="0.00">
                  <c:v>680.08608837970542</c:v>
                </c:pt>
                <c:pt idx="204" formatCode="0.00">
                  <c:v>696.19869067103116</c:v>
                </c:pt>
                <c:pt idx="205" formatCode="0.00">
                  <c:v>692.84189852700501</c:v>
                </c:pt>
                <c:pt idx="206" formatCode="0.00">
                  <c:v>672.70114566284781</c:v>
                </c:pt>
                <c:pt idx="207" formatCode="0.00">
                  <c:v>690.15646481178396</c:v>
                </c:pt>
                <c:pt idx="208" formatCode="0.00">
                  <c:v>717.68216039279878</c:v>
                </c:pt>
                <c:pt idx="209" formatCode="0.00">
                  <c:v>753.26415711947629</c:v>
                </c:pt>
                <c:pt idx="210" formatCode="0.00">
                  <c:v>780.78985270049088</c:v>
                </c:pt>
                <c:pt idx="211" formatCode="0.00">
                  <c:v>782.1325695581013</c:v>
                </c:pt>
                <c:pt idx="212" formatCode="0.00">
                  <c:v>786.83207855973797</c:v>
                </c:pt>
                <c:pt idx="213" formatCode="0.00">
                  <c:v>798.24517184942704</c:v>
                </c:pt>
                <c:pt idx="214" formatCode="0.00">
                  <c:v>808.31554828150558</c:v>
                </c:pt>
                <c:pt idx="215" formatCode="0.00">
                  <c:v>837.1839607201307</c:v>
                </c:pt>
                <c:pt idx="216" formatCode="0.00">
                  <c:v>857.32471358428779</c:v>
                </c:pt>
                <c:pt idx="217" formatCode="0.00">
                  <c:v>856.65335515548247</c:v>
                </c:pt>
                <c:pt idx="218" formatCode="0.00">
                  <c:v>835.16988543371497</c:v>
                </c:pt>
                <c:pt idx="219" formatCode="0.00">
                  <c:v>842.55482815057258</c:v>
                </c:pt>
                <c:pt idx="220" formatCode="0.00">
                  <c:v>890.89263502454969</c:v>
                </c:pt>
                <c:pt idx="221" formatCode="0.00">
                  <c:v>900.96301145662824</c:v>
                </c:pt>
                <c:pt idx="222" formatCode="0.00">
                  <c:v>880.15090016366594</c:v>
                </c:pt>
                <c:pt idx="223" formatCode="0.00">
                  <c:v>927.14599018003264</c:v>
                </c:pt>
                <c:pt idx="224" formatCode="0.00">
                  <c:v>984.8828150572831</c:v>
                </c:pt>
                <c:pt idx="225" formatCode="0.00">
                  <c:v>1056.7181669394438</c:v>
                </c:pt>
                <c:pt idx="226" formatCode="0.00">
                  <c:v>1105.7273322422261</c:v>
                </c:pt>
                <c:pt idx="227" formatCode="0.00">
                  <c:v>1158.7646481178399</c:v>
                </c:pt>
                <c:pt idx="228" formatCode="0.00">
                  <c:v>1272.8955810147302</c:v>
                </c:pt>
                <c:pt idx="229" formatCode="0.00">
                  <c:v>1160.7787234042555</c:v>
                </c:pt>
                <c:pt idx="230" formatCode="0.00">
                  <c:v>1239.9990180032732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DATALRprices!$S$17</c:f>
              <c:strCache>
                <c:ptCount val="1"/>
                <c:pt idx="0">
                  <c:v>UKPPI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'[1]DATAUSLR '!$A$28:$A$248</c:f>
              <c:numCache>
                <c:formatCode>General</c:formatCode>
                <c:ptCount val="221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  <c:pt idx="151">
                  <c:v>1941</c:v>
                </c:pt>
                <c:pt idx="152">
                  <c:v>1942</c:v>
                </c:pt>
                <c:pt idx="153">
                  <c:v>1943</c:v>
                </c:pt>
                <c:pt idx="154">
                  <c:v>1944</c:v>
                </c:pt>
                <c:pt idx="155">
                  <c:v>1945</c:v>
                </c:pt>
                <c:pt idx="156">
                  <c:v>1946</c:v>
                </c:pt>
                <c:pt idx="157">
                  <c:v>1947</c:v>
                </c:pt>
                <c:pt idx="158">
                  <c:v>1948</c:v>
                </c:pt>
                <c:pt idx="159">
                  <c:v>1949</c:v>
                </c:pt>
                <c:pt idx="160">
                  <c:v>1950</c:v>
                </c:pt>
                <c:pt idx="161">
                  <c:v>1951</c:v>
                </c:pt>
                <c:pt idx="162">
                  <c:v>1952</c:v>
                </c:pt>
                <c:pt idx="163">
                  <c:v>1953</c:v>
                </c:pt>
                <c:pt idx="164">
                  <c:v>1954</c:v>
                </c:pt>
                <c:pt idx="165">
                  <c:v>1955</c:v>
                </c:pt>
                <c:pt idx="166">
                  <c:v>1956</c:v>
                </c:pt>
                <c:pt idx="167">
                  <c:v>1957</c:v>
                </c:pt>
                <c:pt idx="168">
                  <c:v>1958</c:v>
                </c:pt>
                <c:pt idx="169">
                  <c:v>1959</c:v>
                </c:pt>
                <c:pt idx="170">
                  <c:v>1960</c:v>
                </c:pt>
                <c:pt idx="171">
                  <c:v>1961</c:v>
                </c:pt>
                <c:pt idx="172">
                  <c:v>1962</c:v>
                </c:pt>
                <c:pt idx="173">
                  <c:v>1963</c:v>
                </c:pt>
                <c:pt idx="174">
                  <c:v>1964</c:v>
                </c:pt>
                <c:pt idx="175">
                  <c:v>1965</c:v>
                </c:pt>
                <c:pt idx="176">
                  <c:v>1966</c:v>
                </c:pt>
                <c:pt idx="177">
                  <c:v>1967</c:v>
                </c:pt>
                <c:pt idx="178">
                  <c:v>1968</c:v>
                </c:pt>
                <c:pt idx="179">
                  <c:v>1969</c:v>
                </c:pt>
                <c:pt idx="180">
                  <c:v>1970</c:v>
                </c:pt>
                <c:pt idx="181">
                  <c:v>1971</c:v>
                </c:pt>
                <c:pt idx="182">
                  <c:v>1972</c:v>
                </c:pt>
                <c:pt idx="183">
                  <c:v>1973</c:v>
                </c:pt>
                <c:pt idx="184">
                  <c:v>1974</c:v>
                </c:pt>
                <c:pt idx="185">
                  <c:v>1975</c:v>
                </c:pt>
                <c:pt idx="186">
                  <c:v>1976</c:v>
                </c:pt>
                <c:pt idx="187">
                  <c:v>1977</c:v>
                </c:pt>
                <c:pt idx="188">
                  <c:v>1978</c:v>
                </c:pt>
                <c:pt idx="189">
                  <c:v>1979</c:v>
                </c:pt>
                <c:pt idx="190">
                  <c:v>1980</c:v>
                </c:pt>
                <c:pt idx="191">
                  <c:v>1981</c:v>
                </c:pt>
                <c:pt idx="192">
                  <c:v>1982</c:v>
                </c:pt>
                <c:pt idx="193">
                  <c:v>1983</c:v>
                </c:pt>
                <c:pt idx="194">
                  <c:v>1984</c:v>
                </c:pt>
                <c:pt idx="195">
                  <c:v>1985</c:v>
                </c:pt>
                <c:pt idx="196">
                  <c:v>1986</c:v>
                </c:pt>
                <c:pt idx="197">
                  <c:v>1987</c:v>
                </c:pt>
                <c:pt idx="198">
                  <c:v>1988</c:v>
                </c:pt>
                <c:pt idx="199">
                  <c:v>1989</c:v>
                </c:pt>
                <c:pt idx="200">
                  <c:v>1990</c:v>
                </c:pt>
                <c:pt idx="201">
                  <c:v>1991</c:v>
                </c:pt>
                <c:pt idx="202">
                  <c:v>1992</c:v>
                </c:pt>
                <c:pt idx="203">
                  <c:v>1993</c:v>
                </c:pt>
                <c:pt idx="204">
                  <c:v>1994</c:v>
                </c:pt>
                <c:pt idx="205">
                  <c:v>1995</c:v>
                </c:pt>
                <c:pt idx="206">
                  <c:v>1996</c:v>
                </c:pt>
                <c:pt idx="207">
                  <c:v>1997</c:v>
                </c:pt>
                <c:pt idx="208">
                  <c:v>1998</c:v>
                </c:pt>
                <c:pt idx="209">
                  <c:v>1999</c:v>
                </c:pt>
                <c:pt idx="210">
                  <c:v>2000</c:v>
                </c:pt>
                <c:pt idx="211">
                  <c:v>2001</c:v>
                </c:pt>
                <c:pt idx="212">
                  <c:v>2002</c:v>
                </c:pt>
                <c:pt idx="213">
                  <c:v>2003</c:v>
                </c:pt>
                <c:pt idx="214">
                  <c:v>2004</c:v>
                </c:pt>
                <c:pt idx="215">
                  <c:v>2005</c:v>
                </c:pt>
                <c:pt idx="216">
                  <c:v>2006</c:v>
                </c:pt>
                <c:pt idx="217">
                  <c:v>2007</c:v>
                </c:pt>
                <c:pt idx="218">
                  <c:v>2008</c:v>
                </c:pt>
                <c:pt idx="219">
                  <c:v>2009</c:v>
                </c:pt>
                <c:pt idx="220">
                  <c:v>2010</c:v>
                </c:pt>
              </c:numCache>
            </c:numRef>
          </c:cat>
          <c:val>
            <c:numRef>
              <c:f>DATALRprices!$T$18:$T$248</c:f>
              <c:numCache>
                <c:formatCode>General</c:formatCode>
                <c:ptCount val="231"/>
                <c:pt idx="0">
                  <c:v>88.3</c:v>
                </c:pt>
                <c:pt idx="1">
                  <c:v>89.7</c:v>
                </c:pt>
                <c:pt idx="2">
                  <c:v>98.1</c:v>
                </c:pt>
                <c:pt idx="3">
                  <c:v>95.4</c:v>
                </c:pt>
                <c:pt idx="4">
                  <c:v>90.1</c:v>
                </c:pt>
                <c:pt idx="5">
                  <c:v>89.3</c:v>
                </c:pt>
                <c:pt idx="6">
                  <c:v>90.6</c:v>
                </c:pt>
                <c:pt idx="7">
                  <c:v>95.9</c:v>
                </c:pt>
                <c:pt idx="8">
                  <c:v>90.7</c:v>
                </c:pt>
                <c:pt idx="9">
                  <c:v>96.7</c:v>
                </c:pt>
                <c:pt idx="10">
                  <c:v>96.5</c:v>
                </c:pt>
                <c:pt idx="11">
                  <c:v>96.9</c:v>
                </c:pt>
                <c:pt idx="12">
                  <c:v>95.2</c:v>
                </c:pt>
                <c:pt idx="13">
                  <c:v>104.4</c:v>
                </c:pt>
                <c:pt idx="14">
                  <c:v>106.4</c:v>
                </c:pt>
                <c:pt idx="15">
                  <c:v>124.1</c:v>
                </c:pt>
                <c:pt idx="16">
                  <c:v>125.4</c:v>
                </c:pt>
                <c:pt idx="17">
                  <c:v>114.7</c:v>
                </c:pt>
                <c:pt idx="18">
                  <c:v>116.6</c:v>
                </c:pt>
                <c:pt idx="19">
                  <c:v>134.6</c:v>
                </c:pt>
                <c:pt idx="20">
                  <c:v>163.1</c:v>
                </c:pt>
                <c:pt idx="21">
                  <c:v>163.19999999999999</c:v>
                </c:pt>
                <c:pt idx="22">
                  <c:v>132</c:v>
                </c:pt>
                <c:pt idx="23">
                  <c:v>133.5</c:v>
                </c:pt>
                <c:pt idx="24">
                  <c:v>134.30000000000001</c:v>
                </c:pt>
                <c:pt idx="25">
                  <c:v>147.1</c:v>
                </c:pt>
                <c:pt idx="26">
                  <c:v>145.30000000000001</c:v>
                </c:pt>
                <c:pt idx="27">
                  <c:v>141.69999999999999</c:v>
                </c:pt>
                <c:pt idx="28">
                  <c:v>156.1</c:v>
                </c:pt>
                <c:pt idx="29">
                  <c:v>167.4</c:v>
                </c:pt>
                <c:pt idx="30">
                  <c:v>165.7</c:v>
                </c:pt>
                <c:pt idx="31">
                  <c:v>157.1</c:v>
                </c:pt>
                <c:pt idx="32">
                  <c:v>176.8</c:v>
                </c:pt>
                <c:pt idx="33">
                  <c:v>182.5</c:v>
                </c:pt>
                <c:pt idx="34">
                  <c:v>166</c:v>
                </c:pt>
                <c:pt idx="35">
                  <c:v>140.30000000000001</c:v>
                </c:pt>
                <c:pt idx="36">
                  <c:v>128.1</c:v>
                </c:pt>
                <c:pt idx="37">
                  <c:v>142.9</c:v>
                </c:pt>
                <c:pt idx="38">
                  <c:v>149.80000000000001</c:v>
                </c:pt>
                <c:pt idx="39">
                  <c:v>138.4</c:v>
                </c:pt>
                <c:pt idx="40">
                  <c:v>124.7</c:v>
                </c:pt>
                <c:pt idx="41">
                  <c:v>107.7</c:v>
                </c:pt>
                <c:pt idx="42">
                  <c:v>95</c:v>
                </c:pt>
                <c:pt idx="43">
                  <c:v>105.4</c:v>
                </c:pt>
                <c:pt idx="44">
                  <c:v>110.1</c:v>
                </c:pt>
                <c:pt idx="45">
                  <c:v>122.1</c:v>
                </c:pt>
                <c:pt idx="46">
                  <c:v>108</c:v>
                </c:pt>
                <c:pt idx="47">
                  <c:v>107.3</c:v>
                </c:pt>
                <c:pt idx="48">
                  <c:v>104.1</c:v>
                </c:pt>
                <c:pt idx="49">
                  <c:v>103.5</c:v>
                </c:pt>
                <c:pt idx="50">
                  <c:v>102.1</c:v>
                </c:pt>
                <c:pt idx="51">
                  <c:v>102.9</c:v>
                </c:pt>
                <c:pt idx="52">
                  <c:v>98.8</c:v>
                </c:pt>
                <c:pt idx="53">
                  <c:v>95.7</c:v>
                </c:pt>
                <c:pt idx="54">
                  <c:v>93.4</c:v>
                </c:pt>
                <c:pt idx="55">
                  <c:v>91.3</c:v>
                </c:pt>
                <c:pt idx="56">
                  <c:v>102.8</c:v>
                </c:pt>
                <c:pt idx="57">
                  <c:v>101.9</c:v>
                </c:pt>
                <c:pt idx="58">
                  <c:v>105.7</c:v>
                </c:pt>
                <c:pt idx="59">
                  <c:v>112.7</c:v>
                </c:pt>
                <c:pt idx="60">
                  <c:v>110.7</c:v>
                </c:pt>
                <c:pt idx="61">
                  <c:v>105.5</c:v>
                </c:pt>
                <c:pt idx="62">
                  <c:v>95.9</c:v>
                </c:pt>
                <c:pt idx="63">
                  <c:v>86.1</c:v>
                </c:pt>
                <c:pt idx="64">
                  <c:v>87.6</c:v>
                </c:pt>
                <c:pt idx="65">
                  <c:v>90</c:v>
                </c:pt>
                <c:pt idx="66">
                  <c:v>92.9</c:v>
                </c:pt>
                <c:pt idx="67">
                  <c:v>104.6</c:v>
                </c:pt>
                <c:pt idx="68">
                  <c:v>88.4</c:v>
                </c:pt>
                <c:pt idx="69">
                  <c:v>79.8</c:v>
                </c:pt>
                <c:pt idx="70">
                  <c:v>79.400000000000006</c:v>
                </c:pt>
                <c:pt idx="71">
                  <c:v>77.3</c:v>
                </c:pt>
                <c:pt idx="72">
                  <c:v>80.400000000000006</c:v>
                </c:pt>
                <c:pt idx="73">
                  <c:v>97.9</c:v>
                </c:pt>
                <c:pt idx="74">
                  <c:v>105.2</c:v>
                </c:pt>
                <c:pt idx="75">
                  <c:v>104.1</c:v>
                </c:pt>
                <c:pt idx="76">
                  <c:v>104.1</c:v>
                </c:pt>
                <c:pt idx="77">
                  <c:v>108.2</c:v>
                </c:pt>
                <c:pt idx="78">
                  <c:v>93.8</c:v>
                </c:pt>
                <c:pt idx="79">
                  <c:v>96.9</c:v>
                </c:pt>
                <c:pt idx="80">
                  <c:v>102.1</c:v>
                </c:pt>
                <c:pt idx="81">
                  <c:v>101</c:v>
                </c:pt>
                <c:pt idx="82">
                  <c:v>104.1</c:v>
                </c:pt>
                <c:pt idx="83">
                  <c:v>106.2</c:v>
                </c:pt>
                <c:pt idx="84">
                  <c:v>108.2</c:v>
                </c:pt>
                <c:pt idx="85">
                  <c:v>104.1</c:v>
                </c:pt>
                <c:pt idx="86">
                  <c:v>105.2</c:v>
                </c:pt>
                <c:pt idx="87">
                  <c:v>103.1</c:v>
                </c:pt>
                <c:pt idx="88">
                  <c:v>102.1</c:v>
                </c:pt>
                <c:pt idx="89">
                  <c:v>101</c:v>
                </c:pt>
                <c:pt idx="90">
                  <c:v>99</c:v>
                </c:pt>
                <c:pt idx="91">
                  <c:v>103.1</c:v>
                </c:pt>
                <c:pt idx="92">
                  <c:v>112.4</c:v>
                </c:pt>
                <c:pt idx="93">
                  <c:v>114.4</c:v>
                </c:pt>
                <c:pt idx="94">
                  <c:v>105.2</c:v>
                </c:pt>
                <c:pt idx="95">
                  <c:v>99</c:v>
                </c:pt>
                <c:pt idx="96">
                  <c:v>97.9</c:v>
                </c:pt>
                <c:pt idx="97">
                  <c:v>96.9</c:v>
                </c:pt>
                <c:pt idx="98">
                  <c:v>89.7</c:v>
                </c:pt>
                <c:pt idx="99">
                  <c:v>85.6</c:v>
                </c:pt>
                <c:pt idx="100">
                  <c:v>90.7</c:v>
                </c:pt>
                <c:pt idx="101">
                  <c:v>87.6</c:v>
                </c:pt>
                <c:pt idx="102">
                  <c:v>86.6</c:v>
                </c:pt>
                <c:pt idx="103">
                  <c:v>84.5</c:v>
                </c:pt>
                <c:pt idx="104">
                  <c:v>78.400000000000006</c:v>
                </c:pt>
                <c:pt idx="105">
                  <c:v>74.2</c:v>
                </c:pt>
                <c:pt idx="106">
                  <c:v>71.099999999999994</c:v>
                </c:pt>
                <c:pt idx="107">
                  <c:v>70.099999999999994</c:v>
                </c:pt>
                <c:pt idx="108">
                  <c:v>72.2</c:v>
                </c:pt>
                <c:pt idx="109">
                  <c:v>74.2</c:v>
                </c:pt>
                <c:pt idx="110">
                  <c:v>74.2</c:v>
                </c:pt>
                <c:pt idx="111">
                  <c:v>74.2</c:v>
                </c:pt>
                <c:pt idx="112">
                  <c:v>70.099999999999994</c:v>
                </c:pt>
                <c:pt idx="113">
                  <c:v>70.099999999999994</c:v>
                </c:pt>
                <c:pt idx="114">
                  <c:v>64.900000000000006</c:v>
                </c:pt>
                <c:pt idx="115">
                  <c:v>63.9</c:v>
                </c:pt>
                <c:pt idx="116">
                  <c:v>62.9</c:v>
                </c:pt>
                <c:pt idx="117">
                  <c:v>63.9</c:v>
                </c:pt>
                <c:pt idx="118">
                  <c:v>66</c:v>
                </c:pt>
                <c:pt idx="119">
                  <c:v>70.099999999999994</c:v>
                </c:pt>
                <c:pt idx="120">
                  <c:v>77.3</c:v>
                </c:pt>
                <c:pt idx="121">
                  <c:v>72.2</c:v>
                </c:pt>
                <c:pt idx="122">
                  <c:v>71.099999999999994</c:v>
                </c:pt>
                <c:pt idx="123">
                  <c:v>74.099999999999994</c:v>
                </c:pt>
                <c:pt idx="124">
                  <c:v>72.2</c:v>
                </c:pt>
                <c:pt idx="125">
                  <c:v>74.2</c:v>
                </c:pt>
                <c:pt idx="126">
                  <c:v>79.400000000000006</c:v>
                </c:pt>
                <c:pt idx="127">
                  <c:v>82.5</c:v>
                </c:pt>
                <c:pt idx="128">
                  <c:v>75.3</c:v>
                </c:pt>
                <c:pt idx="129">
                  <c:v>76.3</c:v>
                </c:pt>
                <c:pt idx="130">
                  <c:v>80.400000000000006</c:v>
                </c:pt>
                <c:pt idx="131">
                  <c:v>82.5</c:v>
                </c:pt>
                <c:pt idx="132">
                  <c:v>87.6</c:v>
                </c:pt>
                <c:pt idx="133">
                  <c:v>87.6</c:v>
                </c:pt>
                <c:pt idx="134">
                  <c:v>87.6</c:v>
                </c:pt>
                <c:pt idx="135">
                  <c:v>111.3</c:v>
                </c:pt>
                <c:pt idx="136">
                  <c:v>140.19999999999999</c:v>
                </c:pt>
                <c:pt idx="137">
                  <c:v>184.5</c:v>
                </c:pt>
                <c:pt idx="138">
                  <c:v>197.9</c:v>
                </c:pt>
                <c:pt idx="139">
                  <c:v>212.4</c:v>
                </c:pt>
                <c:pt idx="140">
                  <c:v>258.8</c:v>
                </c:pt>
                <c:pt idx="141">
                  <c:v>159.80000000000001</c:v>
                </c:pt>
                <c:pt idx="142">
                  <c:v>135.1</c:v>
                </c:pt>
                <c:pt idx="143">
                  <c:v>133</c:v>
                </c:pt>
                <c:pt idx="144">
                  <c:v>143.30000000000001</c:v>
                </c:pt>
                <c:pt idx="145">
                  <c:v>140.19999999999999</c:v>
                </c:pt>
                <c:pt idx="146">
                  <c:v>129.9</c:v>
                </c:pt>
                <c:pt idx="147">
                  <c:v>125.8</c:v>
                </c:pt>
                <c:pt idx="148">
                  <c:v>123.7</c:v>
                </c:pt>
                <c:pt idx="149">
                  <c:v>118.8</c:v>
                </c:pt>
                <c:pt idx="150">
                  <c:v>100</c:v>
                </c:pt>
                <c:pt idx="151">
                  <c:v>85.6</c:v>
                </c:pt>
                <c:pt idx="152">
                  <c:v>82.5</c:v>
                </c:pt>
                <c:pt idx="153">
                  <c:v>81.400000000000006</c:v>
                </c:pt>
                <c:pt idx="154">
                  <c:v>84.5</c:v>
                </c:pt>
                <c:pt idx="155">
                  <c:v>86.6</c:v>
                </c:pt>
                <c:pt idx="156">
                  <c:v>91.8</c:v>
                </c:pt>
                <c:pt idx="157">
                  <c:v>105.2</c:v>
                </c:pt>
                <c:pt idx="158">
                  <c:v>93.8</c:v>
                </c:pt>
                <c:pt idx="159" formatCode="0.000">
                  <c:v>98.750793072014588</c:v>
                </c:pt>
                <c:pt idx="160" formatCode="0.000">
                  <c:v>132.32896991795837</c:v>
                </c:pt>
                <c:pt idx="161" formatCode="0.000">
                  <c:v>146.19803099361857</c:v>
                </c:pt>
                <c:pt idx="162" formatCode="0.000">
                  <c:v>155.96280765724697</c:v>
                </c:pt>
                <c:pt idx="163" formatCode="0.000">
                  <c:v>158.43392889699138</c:v>
                </c:pt>
                <c:pt idx="164" formatCode="0.000">
                  <c:v>163.0769006381035</c:v>
                </c:pt>
                <c:pt idx="165" formatCode="0.000">
                  <c:v>167.41205104831315</c:v>
                </c:pt>
                <c:pt idx="166">
                  <c:v>162</c:v>
                </c:pt>
                <c:pt idx="167">
                  <c:v>177.4</c:v>
                </c:pt>
                <c:pt idx="168">
                  <c:v>202.8</c:v>
                </c:pt>
                <c:pt idx="169">
                  <c:v>212.7</c:v>
                </c:pt>
                <c:pt idx="170">
                  <c:v>248</c:v>
                </c:pt>
                <c:pt idx="171">
                  <c:v>365.7</c:v>
                </c:pt>
                <c:pt idx="172">
                  <c:v>375.1</c:v>
                </c:pt>
                <c:pt idx="173">
                  <c:v>375.5</c:v>
                </c:pt>
                <c:pt idx="174">
                  <c:v>377.8</c:v>
                </c:pt>
                <c:pt idx="175">
                  <c:v>389.4</c:v>
                </c:pt>
                <c:pt idx="176">
                  <c:v>406.1</c:v>
                </c:pt>
                <c:pt idx="177">
                  <c:v>419</c:v>
                </c:pt>
                <c:pt idx="178">
                  <c:v>421.7</c:v>
                </c:pt>
                <c:pt idx="179">
                  <c:v>423.2</c:v>
                </c:pt>
                <c:pt idx="180">
                  <c:v>428.9</c:v>
                </c:pt>
                <c:pt idx="181">
                  <c:v>440.3</c:v>
                </c:pt>
                <c:pt idx="182">
                  <c:v>450.1</c:v>
                </c:pt>
                <c:pt idx="183">
                  <c:v>456.2</c:v>
                </c:pt>
                <c:pt idx="184">
                  <c:v>471.4</c:v>
                </c:pt>
                <c:pt idx="185">
                  <c:v>493.1</c:v>
                </c:pt>
                <c:pt idx="186">
                  <c:v>506.8</c:v>
                </c:pt>
                <c:pt idx="187">
                  <c:v>513.29999999999995</c:v>
                </c:pt>
                <c:pt idx="188">
                  <c:v>536.1</c:v>
                </c:pt>
                <c:pt idx="189">
                  <c:v>557</c:v>
                </c:pt>
                <c:pt idx="190">
                  <c:v>596.29999999999995</c:v>
                </c:pt>
                <c:pt idx="191">
                  <c:v>650</c:v>
                </c:pt>
                <c:pt idx="192">
                  <c:v>684.6</c:v>
                </c:pt>
                <c:pt idx="193">
                  <c:v>734.7</c:v>
                </c:pt>
                <c:pt idx="194">
                  <c:v>906.4</c:v>
                </c:pt>
                <c:pt idx="195">
                  <c:v>1125.3</c:v>
                </c:pt>
                <c:pt idx="196">
                  <c:v>1248.4000000000001</c:v>
                </c:pt>
                <c:pt idx="197" formatCode="0.00">
                  <c:v>1475.8217054263566</c:v>
                </c:pt>
                <c:pt idx="198" formatCode="0.00">
                  <c:v>1620.9844961240308</c:v>
                </c:pt>
                <c:pt idx="199" formatCode="0.00">
                  <c:v>1797.5992248062014</c:v>
                </c:pt>
                <c:pt idx="200" formatCode="0.00">
                  <c:v>2049.214728682171</c:v>
                </c:pt>
                <c:pt idx="201" formatCode="0.00">
                  <c:v>2245.1844961240313</c:v>
                </c:pt>
                <c:pt idx="202" formatCode="0.00">
                  <c:v>2419.3798449612405</c:v>
                </c:pt>
                <c:pt idx="203" formatCode="0.00">
                  <c:v>2550.0263565891473</c:v>
                </c:pt>
                <c:pt idx="204" formatCode="0.00">
                  <c:v>2674.5310150513146</c:v>
                </c:pt>
                <c:pt idx="205" formatCode="0.00">
                  <c:v>2840.3519379844961</c:v>
                </c:pt>
                <c:pt idx="206" formatCode="0.00">
                  <c:v>2880.1168651162798</c:v>
                </c:pt>
                <c:pt idx="207" formatCode="0.00">
                  <c:v>2978.0408385302335</c:v>
                </c:pt>
                <c:pt idx="208" formatCode="0.00">
                  <c:v>3088.2283495558527</c:v>
                </c:pt>
                <c:pt idx="209" formatCode="0.00">
                  <c:v>3236.4633103345336</c:v>
                </c:pt>
                <c:pt idx="210" formatCode="0.00">
                  <c:v>3437.1240355752743</c:v>
                </c:pt>
                <c:pt idx="211" formatCode="0.00">
                  <c:v>3622.7287334963403</c:v>
                </c:pt>
                <c:pt idx="212" formatCode="0.00">
                  <c:v>3735.0333242347256</c:v>
                </c:pt>
                <c:pt idx="213" formatCode="0.00">
                  <c:v>3883.0681815976868</c:v>
                </c:pt>
                <c:pt idx="214" formatCode="0.00">
                  <c:v>3980.3778081159976</c:v>
                </c:pt>
                <c:pt idx="215" formatCode="0.00">
                  <c:v>4140.8351709919352</c:v>
                </c:pt>
                <c:pt idx="216" formatCode="0.00">
                  <c:v>4248.8281522514053</c:v>
                </c:pt>
                <c:pt idx="217" formatCode="0.00">
                  <c:v>4286.7996107694007</c:v>
                </c:pt>
                <c:pt idx="218" formatCode="0.00">
                  <c:v>4311.3133549816739</c:v>
                </c:pt>
                <c:pt idx="219" formatCode="0.00">
                  <c:v>4360.2994350545077</c:v>
                </c:pt>
                <c:pt idx="220" formatCode="0.00">
                  <c:v>4470.7355090648634</c:v>
                </c:pt>
                <c:pt idx="221" formatCode="0.00">
                  <c:v>4480.3836550132746</c:v>
                </c:pt>
                <c:pt idx="222" formatCode="0.00">
                  <c:v>4494.5453112980676</c:v>
                </c:pt>
                <c:pt idx="223" formatCode="0.00">
                  <c:v>4562.0985975400226</c:v>
                </c:pt>
                <c:pt idx="224" formatCode="0.00">
                  <c:v>4674.68740794328</c:v>
                </c:pt>
                <c:pt idx="225" formatCode="0.00">
                  <c:v>4805.2904280110606</c:v>
                </c:pt>
                <c:pt idx="226" formatCode="0.00">
                  <c:v>4922.3827908304484</c:v>
                </c:pt>
                <c:pt idx="227" formatCode="0.00">
                  <c:v>5071.0000205627493</c:v>
                </c:pt>
                <c:pt idx="228" formatCode="0.00">
                  <c:v>5411.0096004855386</c:v>
                </c:pt>
                <c:pt idx="229" formatCode="0.00">
                  <c:v>5498.4406353228278</c:v>
                </c:pt>
                <c:pt idx="230" formatCode="0.00">
                  <c:v>5726.7327818424155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86720"/>
        <c:axId val="185525376"/>
      </c:lineChart>
      <c:catAx>
        <c:axId val="18548672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25376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185525376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18548672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06049822064045E-2"/>
          <c:y val="5.7233825728779192E-2"/>
          <c:w val="0.88879003558718894"/>
          <c:h val="0.83900009492139638"/>
        </c:manualLayout>
      </c:layout>
      <c:lineChart>
        <c:grouping val="standard"/>
        <c:varyColors val="0"/>
        <c:ser>
          <c:idx val="0"/>
          <c:order val="0"/>
          <c:tx>
            <c:strRef>
              <c:f>DATALRprices!$P$17</c:f>
              <c:strCache>
                <c:ptCount val="1"/>
                <c:pt idx="0">
                  <c:v>UKGoldpriceindex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'[1]DATAUSLR '!$A$28:$A$246</c:f>
              <c:numCache>
                <c:formatCode>General</c:formatCode>
                <c:ptCount val="219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  <c:pt idx="151">
                  <c:v>1941</c:v>
                </c:pt>
                <c:pt idx="152">
                  <c:v>1942</c:v>
                </c:pt>
                <c:pt idx="153">
                  <c:v>1943</c:v>
                </c:pt>
                <c:pt idx="154">
                  <c:v>1944</c:v>
                </c:pt>
                <c:pt idx="155">
                  <c:v>1945</c:v>
                </c:pt>
                <c:pt idx="156">
                  <c:v>1946</c:v>
                </c:pt>
                <c:pt idx="157">
                  <c:v>1947</c:v>
                </c:pt>
                <c:pt idx="158">
                  <c:v>1948</c:v>
                </c:pt>
                <c:pt idx="159">
                  <c:v>1949</c:v>
                </c:pt>
                <c:pt idx="160">
                  <c:v>1950</c:v>
                </c:pt>
                <c:pt idx="161">
                  <c:v>1951</c:v>
                </c:pt>
                <c:pt idx="162">
                  <c:v>1952</c:v>
                </c:pt>
                <c:pt idx="163">
                  <c:v>1953</c:v>
                </c:pt>
                <c:pt idx="164">
                  <c:v>1954</c:v>
                </c:pt>
                <c:pt idx="165">
                  <c:v>1955</c:v>
                </c:pt>
                <c:pt idx="166">
                  <c:v>1956</c:v>
                </c:pt>
                <c:pt idx="167">
                  <c:v>1957</c:v>
                </c:pt>
                <c:pt idx="168">
                  <c:v>1958</c:v>
                </c:pt>
                <c:pt idx="169">
                  <c:v>1959</c:v>
                </c:pt>
                <c:pt idx="170">
                  <c:v>1960</c:v>
                </c:pt>
                <c:pt idx="171">
                  <c:v>1961</c:v>
                </c:pt>
                <c:pt idx="172">
                  <c:v>1962</c:v>
                </c:pt>
                <c:pt idx="173">
                  <c:v>1963</c:v>
                </c:pt>
                <c:pt idx="174">
                  <c:v>1964</c:v>
                </c:pt>
                <c:pt idx="175">
                  <c:v>1965</c:v>
                </c:pt>
                <c:pt idx="176">
                  <c:v>1966</c:v>
                </c:pt>
                <c:pt idx="177">
                  <c:v>1967</c:v>
                </c:pt>
                <c:pt idx="178">
                  <c:v>1968</c:v>
                </c:pt>
                <c:pt idx="179">
                  <c:v>1969</c:v>
                </c:pt>
                <c:pt idx="180">
                  <c:v>1970</c:v>
                </c:pt>
                <c:pt idx="181">
                  <c:v>1971</c:v>
                </c:pt>
                <c:pt idx="182">
                  <c:v>1972</c:v>
                </c:pt>
                <c:pt idx="183">
                  <c:v>1973</c:v>
                </c:pt>
                <c:pt idx="184">
                  <c:v>1974</c:v>
                </c:pt>
                <c:pt idx="185">
                  <c:v>1975</c:v>
                </c:pt>
                <c:pt idx="186">
                  <c:v>1976</c:v>
                </c:pt>
                <c:pt idx="187">
                  <c:v>1977</c:v>
                </c:pt>
                <c:pt idx="188">
                  <c:v>1978</c:v>
                </c:pt>
                <c:pt idx="189">
                  <c:v>1979</c:v>
                </c:pt>
                <c:pt idx="190">
                  <c:v>1980</c:v>
                </c:pt>
                <c:pt idx="191">
                  <c:v>1981</c:v>
                </c:pt>
                <c:pt idx="192">
                  <c:v>1982</c:v>
                </c:pt>
                <c:pt idx="193">
                  <c:v>1983</c:v>
                </c:pt>
                <c:pt idx="194">
                  <c:v>1984</c:v>
                </c:pt>
                <c:pt idx="195">
                  <c:v>1985</c:v>
                </c:pt>
                <c:pt idx="196">
                  <c:v>1986</c:v>
                </c:pt>
                <c:pt idx="197">
                  <c:v>1987</c:v>
                </c:pt>
                <c:pt idx="198">
                  <c:v>1988</c:v>
                </c:pt>
                <c:pt idx="199">
                  <c:v>1989</c:v>
                </c:pt>
                <c:pt idx="200">
                  <c:v>1990</c:v>
                </c:pt>
                <c:pt idx="201">
                  <c:v>1991</c:v>
                </c:pt>
                <c:pt idx="202">
                  <c:v>1992</c:v>
                </c:pt>
                <c:pt idx="203">
                  <c:v>1993</c:v>
                </c:pt>
                <c:pt idx="204">
                  <c:v>1994</c:v>
                </c:pt>
                <c:pt idx="205">
                  <c:v>1995</c:v>
                </c:pt>
                <c:pt idx="206">
                  <c:v>1996</c:v>
                </c:pt>
                <c:pt idx="207">
                  <c:v>1997</c:v>
                </c:pt>
                <c:pt idx="208">
                  <c:v>1998</c:v>
                </c:pt>
                <c:pt idx="209">
                  <c:v>1999</c:v>
                </c:pt>
                <c:pt idx="210">
                  <c:v>2000</c:v>
                </c:pt>
                <c:pt idx="211">
                  <c:v>2001</c:v>
                </c:pt>
                <c:pt idx="212">
                  <c:v>2002</c:v>
                </c:pt>
                <c:pt idx="213">
                  <c:v>2003</c:v>
                </c:pt>
                <c:pt idx="214">
                  <c:v>2004</c:v>
                </c:pt>
                <c:pt idx="215">
                  <c:v>2005</c:v>
                </c:pt>
                <c:pt idx="216">
                  <c:v>2006</c:v>
                </c:pt>
                <c:pt idx="217">
                  <c:v>2007</c:v>
                </c:pt>
                <c:pt idx="218">
                  <c:v>2008</c:v>
                </c:pt>
              </c:numCache>
            </c:numRef>
          </c:cat>
          <c:val>
            <c:numRef>
              <c:f>DATALRprices!$P$18:$P$248</c:f>
              <c:numCache>
                <c:formatCode>0.00</c:formatCode>
                <c:ptCount val="231"/>
                <c:pt idx="0">
                  <c:v>99.5</c:v>
                </c:pt>
                <c:pt idx="1">
                  <c:v>99.5</c:v>
                </c:pt>
                <c:pt idx="2">
                  <c:v>99.8</c:v>
                </c:pt>
                <c:pt idx="3">
                  <c:v>99.8</c:v>
                </c:pt>
                <c:pt idx="4">
                  <c:v>100</c:v>
                </c:pt>
                <c:pt idx="5">
                  <c:v>100</c:v>
                </c:pt>
                <c:pt idx="6">
                  <c:v>99.529411764705898</c:v>
                </c:pt>
                <c:pt idx="7">
                  <c:v>99.529411764705898</c:v>
                </c:pt>
                <c:pt idx="8">
                  <c:v>99.529411764705898</c:v>
                </c:pt>
                <c:pt idx="9">
                  <c:v>99.529411764705898</c:v>
                </c:pt>
                <c:pt idx="10">
                  <c:v>99.529411764705898</c:v>
                </c:pt>
                <c:pt idx="11">
                  <c:v>99.529411764705898</c:v>
                </c:pt>
                <c:pt idx="12">
                  <c:v>99.529411764705898</c:v>
                </c:pt>
                <c:pt idx="13">
                  <c:v>99.529411764705898</c:v>
                </c:pt>
                <c:pt idx="14">
                  <c:v>99.529411764705898</c:v>
                </c:pt>
                <c:pt idx="15">
                  <c:v>99.529411764705898</c:v>
                </c:pt>
                <c:pt idx="16">
                  <c:v>99.529411764705898</c:v>
                </c:pt>
                <c:pt idx="17">
                  <c:v>99.529411764705898</c:v>
                </c:pt>
                <c:pt idx="18">
                  <c:v>100</c:v>
                </c:pt>
                <c:pt idx="19">
                  <c:v>99.764705882352942</c:v>
                </c:pt>
                <c:pt idx="20">
                  <c:v>100.23529411764706</c:v>
                </c:pt>
                <c:pt idx="21">
                  <c:v>100.94117647058823</c:v>
                </c:pt>
                <c:pt idx="22">
                  <c:v>101.41176470588233</c:v>
                </c:pt>
                <c:pt idx="23">
                  <c:v>102.11764705882354</c:v>
                </c:pt>
                <c:pt idx="24">
                  <c:v>102.58823529411767</c:v>
                </c:pt>
                <c:pt idx="25">
                  <c:v>102.58823529411767</c:v>
                </c:pt>
                <c:pt idx="26">
                  <c:v>104</c:v>
                </c:pt>
                <c:pt idx="27">
                  <c:v>105.17647058823529</c:v>
                </c:pt>
                <c:pt idx="28">
                  <c:v>106.35294117647058</c:v>
                </c:pt>
                <c:pt idx="29">
                  <c:v>107.76470588235294</c:v>
                </c:pt>
                <c:pt idx="30">
                  <c:v>108.94117647058823</c:v>
                </c:pt>
                <c:pt idx="31">
                  <c:v>122.11764705882354</c:v>
                </c:pt>
                <c:pt idx="32">
                  <c:v>128.94117647058823</c:v>
                </c:pt>
                <c:pt idx="33">
                  <c:v>135.52941176470588</c:v>
                </c:pt>
                <c:pt idx="34">
                  <c:v>122.58823529411765</c:v>
                </c:pt>
                <c:pt idx="35">
                  <c:v>117.41176470588235</c:v>
                </c:pt>
                <c:pt idx="36">
                  <c:v>102.58823529411767</c:v>
                </c:pt>
                <c:pt idx="37">
                  <c:v>101.88235294117646</c:v>
                </c:pt>
                <c:pt idx="38">
                  <c:v>104.47058823529413</c:v>
                </c:pt>
                <c:pt idx="39">
                  <c:v>102.58823529411767</c:v>
                </c:pt>
                <c:pt idx="40">
                  <c:v>100</c:v>
                </c:pt>
                <c:pt idx="41">
                  <c:v>100</c:v>
                </c:pt>
                <c:pt idx="42">
                  <c:v>99.764705882352942</c:v>
                </c:pt>
                <c:pt idx="43">
                  <c:v>99.529411764705898</c:v>
                </c:pt>
                <c:pt idx="44">
                  <c:v>99.529411764705898</c:v>
                </c:pt>
                <c:pt idx="45">
                  <c:v>99.764705882352942</c:v>
                </c:pt>
                <c:pt idx="46">
                  <c:v>99.529411764705898</c:v>
                </c:pt>
                <c:pt idx="47">
                  <c:v>99.529411764705898</c:v>
                </c:pt>
                <c:pt idx="48">
                  <c:v>99.529411764705898</c:v>
                </c:pt>
                <c:pt idx="49">
                  <c:v>99.764705882352942</c:v>
                </c:pt>
                <c:pt idx="50">
                  <c:v>99.764705882352942</c:v>
                </c:pt>
                <c:pt idx="51">
                  <c:v>100</c:v>
                </c:pt>
                <c:pt idx="52">
                  <c:v>99.764705882352942</c:v>
                </c:pt>
                <c:pt idx="53">
                  <c:v>99.764705882352942</c:v>
                </c:pt>
                <c:pt idx="54">
                  <c:v>99.764705882352942</c:v>
                </c:pt>
                <c:pt idx="55">
                  <c:v>99.764705882352942</c:v>
                </c:pt>
                <c:pt idx="56">
                  <c:v>99.764705882352942</c:v>
                </c:pt>
                <c:pt idx="57">
                  <c:v>99.764705882352942</c:v>
                </c:pt>
                <c:pt idx="58">
                  <c:v>99.764705882352942</c:v>
                </c:pt>
                <c:pt idx="59">
                  <c:v>100</c:v>
                </c:pt>
                <c:pt idx="60">
                  <c:v>99.764705882352942</c:v>
                </c:pt>
                <c:pt idx="61">
                  <c:v>99.764705882352942</c:v>
                </c:pt>
                <c:pt idx="62">
                  <c:v>99.764705882352942</c:v>
                </c:pt>
                <c:pt idx="63">
                  <c:v>99.764705882352942</c:v>
                </c:pt>
                <c:pt idx="64">
                  <c:v>99.764705882352942</c:v>
                </c:pt>
                <c:pt idx="65">
                  <c:v>99.764705882352942</c:v>
                </c:pt>
                <c:pt idx="66">
                  <c:v>99.764705882352942</c:v>
                </c:pt>
                <c:pt idx="67">
                  <c:v>99.764705882352942</c:v>
                </c:pt>
                <c:pt idx="68">
                  <c:v>99.764705882352942</c:v>
                </c:pt>
                <c:pt idx="69">
                  <c:v>99.764705882352942</c:v>
                </c:pt>
                <c:pt idx="70">
                  <c:v>99.764705882352942</c:v>
                </c:pt>
                <c:pt idx="71">
                  <c:v>99.764705882352942</c:v>
                </c:pt>
                <c:pt idx="72">
                  <c:v>99.764705882352942</c:v>
                </c:pt>
                <c:pt idx="73">
                  <c:v>99.764705882352942</c:v>
                </c:pt>
                <c:pt idx="74">
                  <c:v>99.764705882352942</c:v>
                </c:pt>
                <c:pt idx="75">
                  <c:v>99.764705882352942</c:v>
                </c:pt>
                <c:pt idx="76">
                  <c:v>99.764705882352942</c:v>
                </c:pt>
                <c:pt idx="77">
                  <c:v>99.764705882352942</c:v>
                </c:pt>
                <c:pt idx="78">
                  <c:v>99.764705882352942</c:v>
                </c:pt>
                <c:pt idx="79">
                  <c:v>99.764705882352942</c:v>
                </c:pt>
                <c:pt idx="80">
                  <c:v>99.764705882352942</c:v>
                </c:pt>
                <c:pt idx="81">
                  <c:v>99.764705882352942</c:v>
                </c:pt>
                <c:pt idx="82">
                  <c:v>99.764705882352942</c:v>
                </c:pt>
                <c:pt idx="83">
                  <c:v>99.764705882352942</c:v>
                </c:pt>
                <c:pt idx="84">
                  <c:v>99.764705882352942</c:v>
                </c:pt>
                <c:pt idx="85">
                  <c:v>99.764705882352942</c:v>
                </c:pt>
                <c:pt idx="86">
                  <c:v>99.764705882352942</c:v>
                </c:pt>
                <c:pt idx="87">
                  <c:v>99.764705882352942</c:v>
                </c:pt>
                <c:pt idx="88">
                  <c:v>99.764705882352942</c:v>
                </c:pt>
                <c:pt idx="89">
                  <c:v>99.764705882352942</c:v>
                </c:pt>
                <c:pt idx="90">
                  <c:v>99.764705882352942</c:v>
                </c:pt>
                <c:pt idx="91">
                  <c:v>99.764705882352942</c:v>
                </c:pt>
                <c:pt idx="92">
                  <c:v>99.764705882352942</c:v>
                </c:pt>
                <c:pt idx="93">
                  <c:v>99.764705882352942</c:v>
                </c:pt>
                <c:pt idx="94">
                  <c:v>99.764705882352942</c:v>
                </c:pt>
                <c:pt idx="95">
                  <c:v>99.764705882352942</c:v>
                </c:pt>
                <c:pt idx="96">
                  <c:v>99.764705882352942</c:v>
                </c:pt>
                <c:pt idx="97">
                  <c:v>99.764705882352942</c:v>
                </c:pt>
                <c:pt idx="98">
                  <c:v>99.764705882352942</c:v>
                </c:pt>
                <c:pt idx="99">
                  <c:v>99.764705882352942</c:v>
                </c:pt>
                <c:pt idx="100">
                  <c:v>99.764705882352942</c:v>
                </c:pt>
                <c:pt idx="101">
                  <c:v>99.764705882352942</c:v>
                </c:pt>
                <c:pt idx="102">
                  <c:v>99.764705882352942</c:v>
                </c:pt>
                <c:pt idx="103">
                  <c:v>99.764705882352942</c:v>
                </c:pt>
                <c:pt idx="104">
                  <c:v>99.764705882352942</c:v>
                </c:pt>
                <c:pt idx="105">
                  <c:v>99.764705882352942</c:v>
                </c:pt>
                <c:pt idx="106">
                  <c:v>99.764705882352942</c:v>
                </c:pt>
                <c:pt idx="107">
                  <c:v>99.764705882352942</c:v>
                </c:pt>
                <c:pt idx="108">
                  <c:v>99.764705882352942</c:v>
                </c:pt>
                <c:pt idx="109">
                  <c:v>99.764705882352942</c:v>
                </c:pt>
                <c:pt idx="110">
                  <c:v>99.764705882352942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99.764705882352942</c:v>
                </c:pt>
                <c:pt idx="115">
                  <c:v>99.764705882352942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99.764705882352942</c:v>
                </c:pt>
                <c:pt idx="120">
                  <c:v>100</c:v>
                </c:pt>
                <c:pt idx="121">
                  <c:v>100</c:v>
                </c:pt>
                <c:pt idx="122">
                  <c:v>99.764705882352942</c:v>
                </c:pt>
                <c:pt idx="123">
                  <c:v>100</c:v>
                </c:pt>
                <c:pt idx="124">
                  <c:v>100</c:v>
                </c:pt>
                <c:pt idx="125">
                  <c:v>99.764705882352942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99.764705882352942</c:v>
                </c:pt>
                <c:pt idx="130">
                  <c:v>99.764705882352942</c:v>
                </c:pt>
                <c:pt idx="131">
                  <c:v>99.764705882352942</c:v>
                </c:pt>
                <c:pt idx="132">
                  <c:v>99.764705882352942</c:v>
                </c:pt>
                <c:pt idx="133">
                  <c:v>99.764705882352942</c:v>
                </c:pt>
                <c:pt idx="134">
                  <c:v>99.764705882352942</c:v>
                </c:pt>
                <c:pt idx="135">
                  <c:v>99.764705882352942</c:v>
                </c:pt>
                <c:pt idx="136">
                  <c:v>99.764705882352942</c:v>
                </c:pt>
                <c:pt idx="137">
                  <c:v>99.764705882352942</c:v>
                </c:pt>
                <c:pt idx="138">
                  <c:v>99.764705882352942</c:v>
                </c:pt>
                <c:pt idx="139">
                  <c:v>105.88235294117646</c:v>
                </c:pt>
                <c:pt idx="140">
                  <c:v>132.94117647058823</c:v>
                </c:pt>
                <c:pt idx="141">
                  <c:v>125.88235294117646</c:v>
                </c:pt>
                <c:pt idx="142">
                  <c:v>109.88235294117646</c:v>
                </c:pt>
                <c:pt idx="143">
                  <c:v>106.11764705882354</c:v>
                </c:pt>
                <c:pt idx="144">
                  <c:v>110.35294117647061</c:v>
                </c:pt>
                <c:pt idx="145">
                  <c:v>100.4705882352941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108.94117647058823</c:v>
                </c:pt>
                <c:pt idx="152">
                  <c:v>138.8235294117647</c:v>
                </c:pt>
                <c:pt idx="153">
                  <c:v>146.8235294117647</c:v>
                </c:pt>
                <c:pt idx="154">
                  <c:v>161.88235294117646</c:v>
                </c:pt>
                <c:pt idx="155">
                  <c:v>167.29411764705881</c:v>
                </c:pt>
                <c:pt idx="156">
                  <c:v>164.94117647058823</c:v>
                </c:pt>
                <c:pt idx="157">
                  <c:v>165.64705882352942</c:v>
                </c:pt>
                <c:pt idx="158">
                  <c:v>167.76470588235293</c:v>
                </c:pt>
                <c:pt idx="159">
                  <c:v>181.64705882352942</c:v>
                </c:pt>
                <c:pt idx="160">
                  <c:v>197.64705882352942</c:v>
                </c:pt>
                <c:pt idx="161">
                  <c:v>197.64705882352942</c:v>
                </c:pt>
                <c:pt idx="162">
                  <c:v>197.64705882352942</c:v>
                </c:pt>
                <c:pt idx="163">
                  <c:v>197.64705882352942</c:v>
                </c:pt>
                <c:pt idx="164">
                  <c:v>197.64705882352942</c:v>
                </c:pt>
                <c:pt idx="165">
                  <c:v>197.64705882352942</c:v>
                </c:pt>
                <c:pt idx="166">
                  <c:v>197.64705882352942</c:v>
                </c:pt>
                <c:pt idx="167">
                  <c:v>197.64705882352942</c:v>
                </c:pt>
                <c:pt idx="168">
                  <c:v>197.64705882352942</c:v>
                </c:pt>
                <c:pt idx="169">
                  <c:v>197.64705882352942</c:v>
                </c:pt>
                <c:pt idx="170">
                  <c:v>291.68067226890759</c:v>
                </c:pt>
                <c:pt idx="171">
                  <c:v>291.68067226890759</c:v>
                </c:pt>
                <c:pt idx="172">
                  <c:v>292.7261227071474</c:v>
                </c:pt>
                <c:pt idx="173">
                  <c:v>290.64266275905385</c:v>
                </c:pt>
                <c:pt idx="174">
                  <c:v>292.73602679505967</c:v>
                </c:pt>
                <c:pt idx="175">
                  <c:v>295.2561669829222</c:v>
                </c:pt>
                <c:pt idx="176">
                  <c:v>294.11764705882354</c:v>
                </c:pt>
                <c:pt idx="177">
                  <c:v>294.75015812776724</c:v>
                </c:pt>
                <c:pt idx="178">
                  <c:v>293.90831065522298</c:v>
                </c:pt>
                <c:pt idx="179">
                  <c:v>293.82457609378275</c:v>
                </c:pt>
                <c:pt idx="180">
                  <c:v>295.41553276114718</c:v>
                </c:pt>
                <c:pt idx="181">
                  <c:v>295.37815126050418</c:v>
                </c:pt>
                <c:pt idx="182">
                  <c:v>293.90831065522298</c:v>
                </c:pt>
                <c:pt idx="183">
                  <c:v>294.87394957983196</c:v>
                </c:pt>
                <c:pt idx="184">
                  <c:v>295.93084545646218</c:v>
                </c:pt>
                <c:pt idx="185">
                  <c:v>295.2100840336135</c:v>
                </c:pt>
                <c:pt idx="186">
                  <c:v>296.60552393000211</c:v>
                </c:pt>
                <c:pt idx="187">
                  <c:v>301.09090909090907</c:v>
                </c:pt>
                <c:pt idx="188">
                  <c:v>380.90081220772822</c:v>
                </c:pt>
                <c:pt idx="189">
                  <c:v>404.52867339404384</c:v>
                </c:pt>
                <c:pt idx="190">
                  <c:v>352.35294117647061</c:v>
                </c:pt>
                <c:pt idx="191">
                  <c:v>393.44262295081961</c:v>
                </c:pt>
                <c:pt idx="192">
                  <c:v>547.38823529411764</c:v>
                </c:pt>
                <c:pt idx="193">
                  <c:v>934.64585834333718</c:v>
                </c:pt>
                <c:pt idx="194">
                  <c:v>1601.4077425842131</c:v>
                </c:pt>
                <c:pt idx="195">
                  <c:v>1706.6242713301535</c:v>
                </c:pt>
                <c:pt idx="196">
                  <c:v>1631.8954248366013</c:v>
                </c:pt>
                <c:pt idx="197">
                  <c:v>1986.0168067226894</c:v>
                </c:pt>
                <c:pt idx="198">
                  <c:v>2367.8921568627452</c:v>
                </c:pt>
                <c:pt idx="199">
                  <c:v>3403.7735849056603</c:v>
                </c:pt>
                <c:pt idx="200">
                  <c:v>6185.9126483211303</c:v>
                </c:pt>
                <c:pt idx="201">
                  <c:v>5358.5323238206165</c:v>
                </c:pt>
                <c:pt idx="202">
                  <c:v>5051.0252100840335</c:v>
                </c:pt>
                <c:pt idx="203">
                  <c:v>6568.8854489164096</c:v>
                </c:pt>
                <c:pt idx="204">
                  <c:v>6329.7629499561017</c:v>
                </c:pt>
                <c:pt idx="205">
                  <c:v>5742.6244343891385</c:v>
                </c:pt>
                <c:pt idx="206">
                  <c:v>5882.5130052020804</c:v>
                </c:pt>
                <c:pt idx="207">
                  <c:v>6405.5954088952649</c:v>
                </c:pt>
                <c:pt idx="208">
                  <c:v>5777.263714474554</c:v>
                </c:pt>
                <c:pt idx="209">
                  <c:v>5472.45337159254</c:v>
                </c:pt>
                <c:pt idx="210">
                  <c:v>5069.0019828155982</c:v>
                </c:pt>
                <c:pt idx="211">
                  <c:v>4814.6227982718501</c:v>
                </c:pt>
                <c:pt idx="212">
                  <c:v>4569.3585908939849</c:v>
                </c:pt>
                <c:pt idx="213">
                  <c:v>5643.4509803921574</c:v>
                </c:pt>
                <c:pt idx="214">
                  <c:v>5905.5747789311799</c:v>
                </c:pt>
                <c:pt idx="215">
                  <c:v>5720.9233060312736</c:v>
                </c:pt>
                <c:pt idx="216">
                  <c:v>5847.5113122171942</c:v>
                </c:pt>
                <c:pt idx="217">
                  <c:v>4750.3586800573894</c:v>
                </c:pt>
                <c:pt idx="218">
                  <c:v>4169.5251594613756</c:v>
                </c:pt>
                <c:pt idx="219">
                  <c:v>4047.0588235294108</c:v>
                </c:pt>
                <c:pt idx="220">
                  <c:v>4319.3498452012373</c:v>
                </c:pt>
                <c:pt idx="221">
                  <c:v>4428.758169934641</c:v>
                </c:pt>
                <c:pt idx="222">
                  <c:v>4857.7254901960787</c:v>
                </c:pt>
                <c:pt idx="223">
                  <c:v>5212.6255380200855</c:v>
                </c:pt>
                <c:pt idx="224">
                  <c:v>5260.9450337512053</c:v>
                </c:pt>
                <c:pt idx="225">
                  <c:v>5745.9599224305102</c:v>
                </c:pt>
                <c:pt idx="226">
                  <c:v>7720.8439897698199</c:v>
                </c:pt>
                <c:pt idx="227">
                  <c:v>8181.0588235294117</c:v>
                </c:pt>
                <c:pt idx="228">
                  <c:v>11090.111287758347</c:v>
                </c:pt>
                <c:pt idx="229">
                  <c:v>14572.499063319598</c:v>
                </c:pt>
                <c:pt idx="230">
                  <c:v>18588.690702087286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DATALRprices!$U$17</c:f>
              <c:strCache>
                <c:ptCount val="1"/>
                <c:pt idx="0">
                  <c:v>UKPPIGold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'[1]DATAUSLR '!$A$28:$A$246</c:f>
              <c:numCache>
                <c:formatCode>General</c:formatCode>
                <c:ptCount val="219"/>
                <c:pt idx="0">
                  <c:v>1790</c:v>
                </c:pt>
                <c:pt idx="1">
                  <c:v>1791</c:v>
                </c:pt>
                <c:pt idx="2">
                  <c:v>1792</c:v>
                </c:pt>
                <c:pt idx="3">
                  <c:v>1793</c:v>
                </c:pt>
                <c:pt idx="4">
                  <c:v>1794</c:v>
                </c:pt>
                <c:pt idx="5">
                  <c:v>1795</c:v>
                </c:pt>
                <c:pt idx="6">
                  <c:v>1796</c:v>
                </c:pt>
                <c:pt idx="7">
                  <c:v>1797</c:v>
                </c:pt>
                <c:pt idx="8">
                  <c:v>1798</c:v>
                </c:pt>
                <c:pt idx="9">
                  <c:v>1799</c:v>
                </c:pt>
                <c:pt idx="10">
                  <c:v>1800</c:v>
                </c:pt>
                <c:pt idx="11">
                  <c:v>1801</c:v>
                </c:pt>
                <c:pt idx="12">
                  <c:v>1802</c:v>
                </c:pt>
                <c:pt idx="13">
                  <c:v>1803</c:v>
                </c:pt>
                <c:pt idx="14">
                  <c:v>1804</c:v>
                </c:pt>
                <c:pt idx="15">
                  <c:v>1805</c:v>
                </c:pt>
                <c:pt idx="16">
                  <c:v>1806</c:v>
                </c:pt>
                <c:pt idx="17">
                  <c:v>1807</c:v>
                </c:pt>
                <c:pt idx="18">
                  <c:v>1808</c:v>
                </c:pt>
                <c:pt idx="19">
                  <c:v>1809</c:v>
                </c:pt>
                <c:pt idx="20">
                  <c:v>1810</c:v>
                </c:pt>
                <c:pt idx="21">
                  <c:v>1811</c:v>
                </c:pt>
                <c:pt idx="22">
                  <c:v>1812</c:v>
                </c:pt>
                <c:pt idx="23">
                  <c:v>1813</c:v>
                </c:pt>
                <c:pt idx="24">
                  <c:v>1814</c:v>
                </c:pt>
                <c:pt idx="25">
                  <c:v>1815</c:v>
                </c:pt>
                <c:pt idx="26">
                  <c:v>1816</c:v>
                </c:pt>
                <c:pt idx="27">
                  <c:v>1817</c:v>
                </c:pt>
                <c:pt idx="28">
                  <c:v>1818</c:v>
                </c:pt>
                <c:pt idx="29">
                  <c:v>1819</c:v>
                </c:pt>
                <c:pt idx="30">
                  <c:v>1820</c:v>
                </c:pt>
                <c:pt idx="31">
                  <c:v>1821</c:v>
                </c:pt>
                <c:pt idx="32">
                  <c:v>1822</c:v>
                </c:pt>
                <c:pt idx="33">
                  <c:v>1823</c:v>
                </c:pt>
                <c:pt idx="34">
                  <c:v>1824</c:v>
                </c:pt>
                <c:pt idx="35">
                  <c:v>1825</c:v>
                </c:pt>
                <c:pt idx="36">
                  <c:v>1826</c:v>
                </c:pt>
                <c:pt idx="37">
                  <c:v>1827</c:v>
                </c:pt>
                <c:pt idx="38">
                  <c:v>1828</c:v>
                </c:pt>
                <c:pt idx="39">
                  <c:v>1829</c:v>
                </c:pt>
                <c:pt idx="40">
                  <c:v>1830</c:v>
                </c:pt>
                <c:pt idx="41">
                  <c:v>1831</c:v>
                </c:pt>
                <c:pt idx="42">
                  <c:v>1832</c:v>
                </c:pt>
                <c:pt idx="43">
                  <c:v>1833</c:v>
                </c:pt>
                <c:pt idx="44">
                  <c:v>1834</c:v>
                </c:pt>
                <c:pt idx="45">
                  <c:v>1835</c:v>
                </c:pt>
                <c:pt idx="46">
                  <c:v>1836</c:v>
                </c:pt>
                <c:pt idx="47">
                  <c:v>1837</c:v>
                </c:pt>
                <c:pt idx="48">
                  <c:v>1838</c:v>
                </c:pt>
                <c:pt idx="49">
                  <c:v>1839</c:v>
                </c:pt>
                <c:pt idx="50">
                  <c:v>1840</c:v>
                </c:pt>
                <c:pt idx="51">
                  <c:v>1841</c:v>
                </c:pt>
                <c:pt idx="52">
                  <c:v>1842</c:v>
                </c:pt>
                <c:pt idx="53">
                  <c:v>1843</c:v>
                </c:pt>
                <c:pt idx="54">
                  <c:v>1844</c:v>
                </c:pt>
                <c:pt idx="55">
                  <c:v>1845</c:v>
                </c:pt>
                <c:pt idx="56">
                  <c:v>1846</c:v>
                </c:pt>
                <c:pt idx="57">
                  <c:v>1847</c:v>
                </c:pt>
                <c:pt idx="58">
                  <c:v>1848</c:v>
                </c:pt>
                <c:pt idx="59">
                  <c:v>1849</c:v>
                </c:pt>
                <c:pt idx="60">
                  <c:v>1850</c:v>
                </c:pt>
                <c:pt idx="61">
                  <c:v>1851</c:v>
                </c:pt>
                <c:pt idx="62">
                  <c:v>1852</c:v>
                </c:pt>
                <c:pt idx="63">
                  <c:v>1853</c:v>
                </c:pt>
                <c:pt idx="64">
                  <c:v>1854</c:v>
                </c:pt>
                <c:pt idx="65">
                  <c:v>1855</c:v>
                </c:pt>
                <c:pt idx="66">
                  <c:v>1856</c:v>
                </c:pt>
                <c:pt idx="67">
                  <c:v>1857</c:v>
                </c:pt>
                <c:pt idx="68">
                  <c:v>1858</c:v>
                </c:pt>
                <c:pt idx="69">
                  <c:v>1859</c:v>
                </c:pt>
                <c:pt idx="70">
                  <c:v>1860</c:v>
                </c:pt>
                <c:pt idx="71">
                  <c:v>1861</c:v>
                </c:pt>
                <c:pt idx="72">
                  <c:v>1862</c:v>
                </c:pt>
                <c:pt idx="73">
                  <c:v>1863</c:v>
                </c:pt>
                <c:pt idx="74">
                  <c:v>1864</c:v>
                </c:pt>
                <c:pt idx="75">
                  <c:v>1865</c:v>
                </c:pt>
                <c:pt idx="76">
                  <c:v>1866</c:v>
                </c:pt>
                <c:pt idx="77">
                  <c:v>1867</c:v>
                </c:pt>
                <c:pt idx="78">
                  <c:v>1868</c:v>
                </c:pt>
                <c:pt idx="79">
                  <c:v>1869</c:v>
                </c:pt>
                <c:pt idx="80">
                  <c:v>1870</c:v>
                </c:pt>
                <c:pt idx="81">
                  <c:v>1871</c:v>
                </c:pt>
                <c:pt idx="82">
                  <c:v>1872</c:v>
                </c:pt>
                <c:pt idx="83">
                  <c:v>1873</c:v>
                </c:pt>
                <c:pt idx="84">
                  <c:v>1874</c:v>
                </c:pt>
                <c:pt idx="85">
                  <c:v>1875</c:v>
                </c:pt>
                <c:pt idx="86">
                  <c:v>1876</c:v>
                </c:pt>
                <c:pt idx="87">
                  <c:v>1877</c:v>
                </c:pt>
                <c:pt idx="88">
                  <c:v>1878</c:v>
                </c:pt>
                <c:pt idx="89">
                  <c:v>1879</c:v>
                </c:pt>
                <c:pt idx="90">
                  <c:v>1880</c:v>
                </c:pt>
                <c:pt idx="91">
                  <c:v>1881</c:v>
                </c:pt>
                <c:pt idx="92">
                  <c:v>1882</c:v>
                </c:pt>
                <c:pt idx="93">
                  <c:v>1883</c:v>
                </c:pt>
                <c:pt idx="94">
                  <c:v>1884</c:v>
                </c:pt>
                <c:pt idx="95">
                  <c:v>1885</c:v>
                </c:pt>
                <c:pt idx="96">
                  <c:v>1886</c:v>
                </c:pt>
                <c:pt idx="97">
                  <c:v>1887</c:v>
                </c:pt>
                <c:pt idx="98">
                  <c:v>1888</c:v>
                </c:pt>
                <c:pt idx="99">
                  <c:v>1889</c:v>
                </c:pt>
                <c:pt idx="100">
                  <c:v>1890</c:v>
                </c:pt>
                <c:pt idx="101">
                  <c:v>1891</c:v>
                </c:pt>
                <c:pt idx="102">
                  <c:v>1892</c:v>
                </c:pt>
                <c:pt idx="103">
                  <c:v>1893</c:v>
                </c:pt>
                <c:pt idx="104">
                  <c:v>1894</c:v>
                </c:pt>
                <c:pt idx="105">
                  <c:v>1895</c:v>
                </c:pt>
                <c:pt idx="106">
                  <c:v>1896</c:v>
                </c:pt>
                <c:pt idx="107">
                  <c:v>1897</c:v>
                </c:pt>
                <c:pt idx="108">
                  <c:v>1898</c:v>
                </c:pt>
                <c:pt idx="109">
                  <c:v>1899</c:v>
                </c:pt>
                <c:pt idx="110">
                  <c:v>1900</c:v>
                </c:pt>
                <c:pt idx="111">
                  <c:v>1901</c:v>
                </c:pt>
                <c:pt idx="112">
                  <c:v>1902</c:v>
                </c:pt>
                <c:pt idx="113">
                  <c:v>1903</c:v>
                </c:pt>
                <c:pt idx="114">
                  <c:v>1904</c:v>
                </c:pt>
                <c:pt idx="115">
                  <c:v>1905</c:v>
                </c:pt>
                <c:pt idx="116">
                  <c:v>1906</c:v>
                </c:pt>
                <c:pt idx="117">
                  <c:v>1907</c:v>
                </c:pt>
                <c:pt idx="118">
                  <c:v>1908</c:v>
                </c:pt>
                <c:pt idx="119">
                  <c:v>1909</c:v>
                </c:pt>
                <c:pt idx="120">
                  <c:v>1910</c:v>
                </c:pt>
                <c:pt idx="121">
                  <c:v>1911</c:v>
                </c:pt>
                <c:pt idx="122">
                  <c:v>1912</c:v>
                </c:pt>
                <c:pt idx="123">
                  <c:v>1913</c:v>
                </c:pt>
                <c:pt idx="124">
                  <c:v>1914</c:v>
                </c:pt>
                <c:pt idx="125">
                  <c:v>1915</c:v>
                </c:pt>
                <c:pt idx="126">
                  <c:v>1916</c:v>
                </c:pt>
                <c:pt idx="127">
                  <c:v>1917</c:v>
                </c:pt>
                <c:pt idx="128">
                  <c:v>1918</c:v>
                </c:pt>
                <c:pt idx="129">
                  <c:v>1919</c:v>
                </c:pt>
                <c:pt idx="130">
                  <c:v>1920</c:v>
                </c:pt>
                <c:pt idx="131">
                  <c:v>1921</c:v>
                </c:pt>
                <c:pt idx="132">
                  <c:v>1922</c:v>
                </c:pt>
                <c:pt idx="133">
                  <c:v>1923</c:v>
                </c:pt>
                <c:pt idx="134">
                  <c:v>1924</c:v>
                </c:pt>
                <c:pt idx="135">
                  <c:v>1925</c:v>
                </c:pt>
                <c:pt idx="136">
                  <c:v>1926</c:v>
                </c:pt>
                <c:pt idx="137">
                  <c:v>1927</c:v>
                </c:pt>
                <c:pt idx="138">
                  <c:v>1928</c:v>
                </c:pt>
                <c:pt idx="139">
                  <c:v>1929</c:v>
                </c:pt>
                <c:pt idx="140">
                  <c:v>1930</c:v>
                </c:pt>
                <c:pt idx="141">
                  <c:v>1931</c:v>
                </c:pt>
                <c:pt idx="142">
                  <c:v>1932</c:v>
                </c:pt>
                <c:pt idx="143">
                  <c:v>1933</c:v>
                </c:pt>
                <c:pt idx="144">
                  <c:v>1934</c:v>
                </c:pt>
                <c:pt idx="145">
                  <c:v>1935</c:v>
                </c:pt>
                <c:pt idx="146">
                  <c:v>1936</c:v>
                </c:pt>
                <c:pt idx="147">
                  <c:v>1937</c:v>
                </c:pt>
                <c:pt idx="148">
                  <c:v>1938</c:v>
                </c:pt>
                <c:pt idx="149">
                  <c:v>1939</c:v>
                </c:pt>
                <c:pt idx="150">
                  <c:v>1940</c:v>
                </c:pt>
                <c:pt idx="151">
                  <c:v>1941</c:v>
                </c:pt>
                <c:pt idx="152">
                  <c:v>1942</c:v>
                </c:pt>
                <c:pt idx="153">
                  <c:v>1943</c:v>
                </c:pt>
                <c:pt idx="154">
                  <c:v>1944</c:v>
                </c:pt>
                <c:pt idx="155">
                  <c:v>1945</c:v>
                </c:pt>
                <c:pt idx="156">
                  <c:v>1946</c:v>
                </c:pt>
                <c:pt idx="157">
                  <c:v>1947</c:v>
                </c:pt>
                <c:pt idx="158">
                  <c:v>1948</c:v>
                </c:pt>
                <c:pt idx="159">
                  <c:v>1949</c:v>
                </c:pt>
                <c:pt idx="160">
                  <c:v>1950</c:v>
                </c:pt>
                <c:pt idx="161">
                  <c:v>1951</c:v>
                </c:pt>
                <c:pt idx="162">
                  <c:v>1952</c:v>
                </c:pt>
                <c:pt idx="163">
                  <c:v>1953</c:v>
                </c:pt>
                <c:pt idx="164">
                  <c:v>1954</c:v>
                </c:pt>
                <c:pt idx="165">
                  <c:v>1955</c:v>
                </c:pt>
                <c:pt idx="166">
                  <c:v>1956</c:v>
                </c:pt>
                <c:pt idx="167">
                  <c:v>1957</c:v>
                </c:pt>
                <c:pt idx="168">
                  <c:v>1958</c:v>
                </c:pt>
                <c:pt idx="169">
                  <c:v>1959</c:v>
                </c:pt>
                <c:pt idx="170">
                  <c:v>1960</c:v>
                </c:pt>
                <c:pt idx="171">
                  <c:v>1961</c:v>
                </c:pt>
                <c:pt idx="172">
                  <c:v>1962</c:v>
                </c:pt>
                <c:pt idx="173">
                  <c:v>1963</c:v>
                </c:pt>
                <c:pt idx="174">
                  <c:v>1964</c:v>
                </c:pt>
                <c:pt idx="175">
                  <c:v>1965</c:v>
                </c:pt>
                <c:pt idx="176">
                  <c:v>1966</c:v>
                </c:pt>
                <c:pt idx="177">
                  <c:v>1967</c:v>
                </c:pt>
                <c:pt idx="178">
                  <c:v>1968</c:v>
                </c:pt>
                <c:pt idx="179">
                  <c:v>1969</c:v>
                </c:pt>
                <c:pt idx="180">
                  <c:v>1970</c:v>
                </c:pt>
                <c:pt idx="181">
                  <c:v>1971</c:v>
                </c:pt>
                <c:pt idx="182">
                  <c:v>1972</c:v>
                </c:pt>
                <c:pt idx="183">
                  <c:v>1973</c:v>
                </c:pt>
                <c:pt idx="184">
                  <c:v>1974</c:v>
                </c:pt>
                <c:pt idx="185">
                  <c:v>1975</c:v>
                </c:pt>
                <c:pt idx="186">
                  <c:v>1976</c:v>
                </c:pt>
                <c:pt idx="187">
                  <c:v>1977</c:v>
                </c:pt>
                <c:pt idx="188">
                  <c:v>1978</c:v>
                </c:pt>
                <c:pt idx="189">
                  <c:v>1979</c:v>
                </c:pt>
                <c:pt idx="190">
                  <c:v>1980</c:v>
                </c:pt>
                <c:pt idx="191">
                  <c:v>1981</c:v>
                </c:pt>
                <c:pt idx="192">
                  <c:v>1982</c:v>
                </c:pt>
                <c:pt idx="193">
                  <c:v>1983</c:v>
                </c:pt>
                <c:pt idx="194">
                  <c:v>1984</c:v>
                </c:pt>
                <c:pt idx="195">
                  <c:v>1985</c:v>
                </c:pt>
                <c:pt idx="196">
                  <c:v>1986</c:v>
                </c:pt>
                <c:pt idx="197">
                  <c:v>1987</c:v>
                </c:pt>
                <c:pt idx="198">
                  <c:v>1988</c:v>
                </c:pt>
                <c:pt idx="199">
                  <c:v>1989</c:v>
                </c:pt>
                <c:pt idx="200">
                  <c:v>1990</c:v>
                </c:pt>
                <c:pt idx="201">
                  <c:v>1991</c:v>
                </c:pt>
                <c:pt idx="202">
                  <c:v>1992</c:v>
                </c:pt>
                <c:pt idx="203">
                  <c:v>1993</c:v>
                </c:pt>
                <c:pt idx="204">
                  <c:v>1994</c:v>
                </c:pt>
                <c:pt idx="205">
                  <c:v>1995</c:v>
                </c:pt>
                <c:pt idx="206">
                  <c:v>1996</c:v>
                </c:pt>
                <c:pt idx="207">
                  <c:v>1997</c:v>
                </c:pt>
                <c:pt idx="208">
                  <c:v>1998</c:v>
                </c:pt>
                <c:pt idx="209">
                  <c:v>1999</c:v>
                </c:pt>
                <c:pt idx="210">
                  <c:v>2000</c:v>
                </c:pt>
                <c:pt idx="211">
                  <c:v>2001</c:v>
                </c:pt>
                <c:pt idx="212">
                  <c:v>2002</c:v>
                </c:pt>
                <c:pt idx="213">
                  <c:v>2003</c:v>
                </c:pt>
                <c:pt idx="214">
                  <c:v>2004</c:v>
                </c:pt>
                <c:pt idx="215">
                  <c:v>2005</c:v>
                </c:pt>
                <c:pt idx="216">
                  <c:v>2006</c:v>
                </c:pt>
                <c:pt idx="217">
                  <c:v>2007</c:v>
                </c:pt>
                <c:pt idx="218">
                  <c:v>2008</c:v>
                </c:pt>
              </c:numCache>
            </c:numRef>
          </c:cat>
          <c:val>
            <c:numRef>
              <c:f>DATALRprices!$U$18:$U$248</c:f>
              <c:numCache>
                <c:formatCode>0.00</c:formatCode>
                <c:ptCount val="231"/>
                <c:pt idx="0">
                  <c:v>88.743718592964825</c:v>
                </c:pt>
                <c:pt idx="1">
                  <c:v>90.150753768844226</c:v>
                </c:pt>
                <c:pt idx="2">
                  <c:v>98.296593186372746</c:v>
                </c:pt>
                <c:pt idx="3">
                  <c:v>95.591182364729463</c:v>
                </c:pt>
                <c:pt idx="4">
                  <c:v>90.1</c:v>
                </c:pt>
                <c:pt idx="5">
                  <c:v>89.3</c:v>
                </c:pt>
                <c:pt idx="6">
                  <c:v>91.028368794326227</c:v>
                </c:pt>
                <c:pt idx="7">
                  <c:v>96.353427895981071</c:v>
                </c:pt>
                <c:pt idx="8">
                  <c:v>91.128841607564993</c:v>
                </c:pt>
                <c:pt idx="9">
                  <c:v>97.157210401891234</c:v>
                </c:pt>
                <c:pt idx="10">
                  <c:v>96.9562647754137</c:v>
                </c:pt>
                <c:pt idx="11">
                  <c:v>97.358156028368782</c:v>
                </c:pt>
                <c:pt idx="12">
                  <c:v>95.650118203309674</c:v>
                </c:pt>
                <c:pt idx="13">
                  <c:v>104.89361702127658</c:v>
                </c:pt>
                <c:pt idx="14">
                  <c:v>106.90307328605199</c:v>
                </c:pt>
                <c:pt idx="15">
                  <c:v>124.6867612293144</c:v>
                </c:pt>
                <c:pt idx="16">
                  <c:v>125.99290780141843</c:v>
                </c:pt>
                <c:pt idx="17">
                  <c:v>115.24231678486996</c:v>
                </c:pt>
                <c:pt idx="18">
                  <c:v>116.6</c:v>
                </c:pt>
                <c:pt idx="19">
                  <c:v>134.91745283018867</c:v>
                </c:pt>
                <c:pt idx="20">
                  <c:v>162.71713615023475</c:v>
                </c:pt>
                <c:pt idx="21">
                  <c:v>161.67832167832165</c:v>
                </c:pt>
                <c:pt idx="22">
                  <c:v>130.16241299303948</c:v>
                </c:pt>
                <c:pt idx="23">
                  <c:v>130.7315668202765</c:v>
                </c:pt>
                <c:pt idx="24">
                  <c:v>130.91169724770643</c:v>
                </c:pt>
                <c:pt idx="25">
                  <c:v>143.38876146788988</c:v>
                </c:pt>
                <c:pt idx="26">
                  <c:v>139.71153846153848</c:v>
                </c:pt>
                <c:pt idx="27">
                  <c:v>134.72595078299776</c:v>
                </c:pt>
                <c:pt idx="28">
                  <c:v>146.77544247787611</c:v>
                </c:pt>
                <c:pt idx="29">
                  <c:v>155.33842794759826</c:v>
                </c:pt>
                <c:pt idx="30">
                  <c:v>152.10043196544277</c:v>
                </c:pt>
                <c:pt idx="31">
                  <c:v>128.64643545279384</c:v>
                </c:pt>
                <c:pt idx="32">
                  <c:v>137.11678832116789</c:v>
                </c:pt>
                <c:pt idx="33">
                  <c:v>134.65711805555554</c:v>
                </c:pt>
                <c:pt idx="34">
                  <c:v>135.41266794625719</c:v>
                </c:pt>
                <c:pt idx="35">
                  <c:v>119.49398797595192</c:v>
                </c:pt>
                <c:pt idx="36">
                  <c:v>124.86811926605502</c:v>
                </c:pt>
                <c:pt idx="37">
                  <c:v>140.25981524249423</c:v>
                </c:pt>
                <c:pt idx="38">
                  <c:v>143.38963963963965</c:v>
                </c:pt>
                <c:pt idx="39">
                  <c:v>134.90825688073392</c:v>
                </c:pt>
                <c:pt idx="40">
                  <c:v>124.7</c:v>
                </c:pt>
                <c:pt idx="41">
                  <c:v>107.7</c:v>
                </c:pt>
                <c:pt idx="42">
                  <c:v>95.22405660377359</c:v>
                </c:pt>
                <c:pt idx="43">
                  <c:v>105.89834515366428</c:v>
                </c:pt>
                <c:pt idx="44">
                  <c:v>110.62056737588651</c:v>
                </c:pt>
                <c:pt idx="45">
                  <c:v>122.3879716981132</c:v>
                </c:pt>
                <c:pt idx="46">
                  <c:v>108.51063829787232</c:v>
                </c:pt>
                <c:pt idx="47">
                  <c:v>107.80732860520092</c:v>
                </c:pt>
                <c:pt idx="48">
                  <c:v>104.59219858156027</c:v>
                </c:pt>
                <c:pt idx="49">
                  <c:v>103.74410377358491</c:v>
                </c:pt>
                <c:pt idx="50">
                  <c:v>102.34080188679245</c:v>
                </c:pt>
                <c:pt idx="51">
                  <c:v>102.9</c:v>
                </c:pt>
                <c:pt idx="52">
                  <c:v>99.033018867924525</c:v>
                </c:pt>
                <c:pt idx="53">
                  <c:v>95.925707547169807</c:v>
                </c:pt>
                <c:pt idx="54">
                  <c:v>93.620283018867923</c:v>
                </c:pt>
                <c:pt idx="55">
                  <c:v>91.515330188679243</c:v>
                </c:pt>
                <c:pt idx="56">
                  <c:v>103.04245283018868</c:v>
                </c:pt>
                <c:pt idx="57">
                  <c:v>102.14033018867924</c:v>
                </c:pt>
                <c:pt idx="58">
                  <c:v>105.94929245283019</c:v>
                </c:pt>
                <c:pt idx="59">
                  <c:v>112.7</c:v>
                </c:pt>
                <c:pt idx="60">
                  <c:v>110.96108490566037</c:v>
                </c:pt>
                <c:pt idx="61">
                  <c:v>105.74882075471697</c:v>
                </c:pt>
                <c:pt idx="62">
                  <c:v>96.126179245283012</c:v>
                </c:pt>
                <c:pt idx="63">
                  <c:v>86.303066037735846</c:v>
                </c:pt>
                <c:pt idx="64">
                  <c:v>87.806603773584911</c:v>
                </c:pt>
                <c:pt idx="65">
                  <c:v>90.212264150943398</c:v>
                </c:pt>
                <c:pt idx="66">
                  <c:v>93.119103773584911</c:v>
                </c:pt>
                <c:pt idx="67">
                  <c:v>104.84669811320755</c:v>
                </c:pt>
                <c:pt idx="68">
                  <c:v>88.60849056603773</c:v>
                </c:pt>
                <c:pt idx="69">
                  <c:v>79.988207547169807</c:v>
                </c:pt>
                <c:pt idx="70">
                  <c:v>79.587264150943412</c:v>
                </c:pt>
                <c:pt idx="71">
                  <c:v>77.482311320754718</c:v>
                </c:pt>
                <c:pt idx="72">
                  <c:v>80.589622641509436</c:v>
                </c:pt>
                <c:pt idx="73">
                  <c:v>98.130896226415089</c:v>
                </c:pt>
                <c:pt idx="74">
                  <c:v>105.44811320754717</c:v>
                </c:pt>
                <c:pt idx="75">
                  <c:v>104.34551886792453</c:v>
                </c:pt>
                <c:pt idx="76">
                  <c:v>104.34551886792453</c:v>
                </c:pt>
                <c:pt idx="77">
                  <c:v>108.45518867924528</c:v>
                </c:pt>
                <c:pt idx="78">
                  <c:v>94.021226415094333</c:v>
                </c:pt>
                <c:pt idx="79">
                  <c:v>97.128537735849051</c:v>
                </c:pt>
                <c:pt idx="80">
                  <c:v>102.34080188679245</c:v>
                </c:pt>
                <c:pt idx="81">
                  <c:v>101.23820754716981</c:v>
                </c:pt>
                <c:pt idx="82">
                  <c:v>104.34551886792453</c:v>
                </c:pt>
                <c:pt idx="83">
                  <c:v>106.4504716981132</c:v>
                </c:pt>
                <c:pt idx="84">
                  <c:v>108.45518867924528</c:v>
                </c:pt>
                <c:pt idx="85">
                  <c:v>104.34551886792453</c:v>
                </c:pt>
                <c:pt idx="86">
                  <c:v>105.44811320754717</c:v>
                </c:pt>
                <c:pt idx="87">
                  <c:v>103.34316037735849</c:v>
                </c:pt>
                <c:pt idx="88">
                  <c:v>102.34080188679245</c:v>
                </c:pt>
                <c:pt idx="89">
                  <c:v>101.23820754716981</c:v>
                </c:pt>
                <c:pt idx="90">
                  <c:v>99.23349056603773</c:v>
                </c:pt>
                <c:pt idx="91">
                  <c:v>103.34316037735849</c:v>
                </c:pt>
                <c:pt idx="92">
                  <c:v>112.66509433962264</c:v>
                </c:pt>
                <c:pt idx="93">
                  <c:v>114.66981132075472</c:v>
                </c:pt>
                <c:pt idx="94">
                  <c:v>105.44811320754717</c:v>
                </c:pt>
                <c:pt idx="95">
                  <c:v>99.23349056603773</c:v>
                </c:pt>
                <c:pt idx="96">
                  <c:v>98.130896226415089</c:v>
                </c:pt>
                <c:pt idx="97">
                  <c:v>97.128537735849051</c:v>
                </c:pt>
                <c:pt idx="98">
                  <c:v>89.91155660377359</c:v>
                </c:pt>
                <c:pt idx="99">
                  <c:v>85.801886792452834</c:v>
                </c:pt>
                <c:pt idx="100">
                  <c:v>90.913915094339629</c:v>
                </c:pt>
                <c:pt idx="101">
                  <c:v>87.806603773584911</c:v>
                </c:pt>
                <c:pt idx="102">
                  <c:v>86.804245283018872</c:v>
                </c:pt>
                <c:pt idx="103">
                  <c:v>84.699292452830193</c:v>
                </c:pt>
                <c:pt idx="104">
                  <c:v>78.584905660377373</c:v>
                </c:pt>
                <c:pt idx="105">
                  <c:v>74.375</c:v>
                </c:pt>
                <c:pt idx="106">
                  <c:v>71.267688679245268</c:v>
                </c:pt>
                <c:pt idx="107">
                  <c:v>70.265330188679229</c:v>
                </c:pt>
                <c:pt idx="108">
                  <c:v>72.370283018867923</c:v>
                </c:pt>
                <c:pt idx="109">
                  <c:v>74.375</c:v>
                </c:pt>
                <c:pt idx="110">
                  <c:v>74.375</c:v>
                </c:pt>
                <c:pt idx="111">
                  <c:v>74.2</c:v>
                </c:pt>
                <c:pt idx="112">
                  <c:v>70.099999999999994</c:v>
                </c:pt>
                <c:pt idx="113">
                  <c:v>70.099999999999994</c:v>
                </c:pt>
                <c:pt idx="114">
                  <c:v>65.05306603773586</c:v>
                </c:pt>
                <c:pt idx="115">
                  <c:v>64.050707547169807</c:v>
                </c:pt>
                <c:pt idx="116">
                  <c:v>62.9</c:v>
                </c:pt>
                <c:pt idx="117">
                  <c:v>63.9</c:v>
                </c:pt>
                <c:pt idx="118">
                  <c:v>66</c:v>
                </c:pt>
                <c:pt idx="119">
                  <c:v>70.265330188679229</c:v>
                </c:pt>
                <c:pt idx="120">
                  <c:v>77.3</c:v>
                </c:pt>
                <c:pt idx="121">
                  <c:v>72.2</c:v>
                </c:pt>
                <c:pt idx="122">
                  <c:v>71.267688679245268</c:v>
                </c:pt>
                <c:pt idx="123">
                  <c:v>74.099999999999994</c:v>
                </c:pt>
                <c:pt idx="124">
                  <c:v>72.2</c:v>
                </c:pt>
                <c:pt idx="125">
                  <c:v>74.375</c:v>
                </c:pt>
                <c:pt idx="126">
                  <c:v>79.400000000000006</c:v>
                </c:pt>
                <c:pt idx="127">
                  <c:v>82.5</c:v>
                </c:pt>
                <c:pt idx="128">
                  <c:v>75.3</c:v>
                </c:pt>
                <c:pt idx="129">
                  <c:v>76.47995283018868</c:v>
                </c:pt>
                <c:pt idx="130">
                  <c:v>80.589622641509436</c:v>
                </c:pt>
                <c:pt idx="131">
                  <c:v>82.694575471698116</c:v>
                </c:pt>
                <c:pt idx="132">
                  <c:v>87.806603773584911</c:v>
                </c:pt>
                <c:pt idx="133">
                  <c:v>87.806603773584911</c:v>
                </c:pt>
                <c:pt idx="134">
                  <c:v>87.806603773584911</c:v>
                </c:pt>
                <c:pt idx="135">
                  <c:v>111.5625</c:v>
                </c:pt>
                <c:pt idx="136">
                  <c:v>140.53066037735846</c:v>
                </c:pt>
                <c:pt idx="137">
                  <c:v>184.93514150943395</c:v>
                </c:pt>
                <c:pt idx="138">
                  <c:v>198.36674528301887</c:v>
                </c:pt>
                <c:pt idx="139">
                  <c:v>200.60000000000002</c:v>
                </c:pt>
                <c:pt idx="140">
                  <c:v>194.67256637168143</c:v>
                </c:pt>
                <c:pt idx="141">
                  <c:v>126.94392523364488</c:v>
                </c:pt>
                <c:pt idx="142">
                  <c:v>122.94967880085653</c:v>
                </c:pt>
                <c:pt idx="143">
                  <c:v>125.33259423503326</c:v>
                </c:pt>
                <c:pt idx="144">
                  <c:v>129.85607675906184</c:v>
                </c:pt>
                <c:pt idx="145">
                  <c:v>139.54332552693208</c:v>
                </c:pt>
                <c:pt idx="146">
                  <c:v>129.9</c:v>
                </c:pt>
                <c:pt idx="147">
                  <c:v>125.8</c:v>
                </c:pt>
                <c:pt idx="148">
                  <c:v>123.7</c:v>
                </c:pt>
                <c:pt idx="149">
                  <c:v>118.8</c:v>
                </c:pt>
                <c:pt idx="150">
                  <c:v>100</c:v>
                </c:pt>
                <c:pt idx="151">
                  <c:v>78.574514038876899</c:v>
                </c:pt>
                <c:pt idx="152">
                  <c:v>59.427966101694921</c:v>
                </c:pt>
                <c:pt idx="153">
                  <c:v>55.440705128205138</c:v>
                </c:pt>
                <c:pt idx="154">
                  <c:v>52.198401162790702</c:v>
                </c:pt>
                <c:pt idx="155">
                  <c:v>51.765119549929679</c:v>
                </c:pt>
                <c:pt idx="156">
                  <c:v>55.656205420827391</c:v>
                </c:pt>
                <c:pt idx="157">
                  <c:v>63.508522727272727</c:v>
                </c:pt>
                <c:pt idx="158">
                  <c:v>55.911640953716692</c:v>
                </c:pt>
                <c:pt idx="159">
                  <c:v>54.364102403634973</c:v>
                </c:pt>
                <c:pt idx="160">
                  <c:v>66.952157398967032</c:v>
                </c:pt>
                <c:pt idx="161">
                  <c:v>73.969241871771302</c:v>
                </c:pt>
                <c:pt idx="162">
                  <c:v>78.909753874202337</c:v>
                </c:pt>
                <c:pt idx="163">
                  <c:v>80.160023549073017</c:v>
                </c:pt>
                <c:pt idx="164">
                  <c:v>82.509146156183306</c:v>
                </c:pt>
                <c:pt idx="165">
                  <c:v>84.702525828015581</c:v>
                </c:pt>
                <c:pt idx="166">
                  <c:v>81.964285714285708</c:v>
                </c:pt>
                <c:pt idx="167">
                  <c:v>89.75595238095238</c:v>
                </c:pt>
                <c:pt idx="168">
                  <c:v>102.60714285714285</c:v>
                </c:pt>
                <c:pt idx="169">
                  <c:v>107.61607142857143</c:v>
                </c:pt>
                <c:pt idx="170">
                  <c:v>85.02448861999423</c:v>
                </c:pt>
                <c:pt idx="171">
                  <c:v>125.37683664649956</c:v>
                </c:pt>
                <c:pt idx="172">
                  <c:v>128.14025496974935</c:v>
                </c:pt>
                <c:pt idx="173">
                  <c:v>129.19644915010082</c:v>
                </c:pt>
                <c:pt idx="174">
                  <c:v>129.05825228832953</c:v>
                </c:pt>
                <c:pt idx="175">
                  <c:v>131.88547557840616</c:v>
                </c:pt>
                <c:pt idx="176">
                  <c:v>138.07399999999998</c:v>
                </c:pt>
                <c:pt idx="177">
                  <c:v>142.15429184549356</c:v>
                </c:pt>
                <c:pt idx="178">
                  <c:v>143.48012108262105</c:v>
                </c:pt>
                <c:pt idx="179">
                  <c:v>144.03151895126814</c:v>
                </c:pt>
                <c:pt idx="180">
                  <c:v>145.18532454648525</c:v>
                </c:pt>
                <c:pt idx="181">
                  <c:v>149.06315789473686</c:v>
                </c:pt>
                <c:pt idx="182">
                  <c:v>153.14299857549855</c:v>
                </c:pt>
                <c:pt idx="183">
                  <c:v>154.71017383870048</c:v>
                </c:pt>
                <c:pt idx="184">
                  <c:v>159.29397264177828</c:v>
                </c:pt>
                <c:pt idx="185">
                  <c:v>167.03358952462281</c:v>
                </c:pt>
                <c:pt idx="186">
                  <c:v>170.8666761444413</c:v>
                </c:pt>
                <c:pt idx="187">
                  <c:v>170.4800724637681</c:v>
                </c:pt>
                <c:pt idx="188">
                  <c:v>140.74530240372192</c:v>
                </c:pt>
                <c:pt idx="189">
                  <c:v>137.69110489170114</c:v>
                </c:pt>
                <c:pt idx="190">
                  <c:v>169.23372287145239</c:v>
                </c:pt>
                <c:pt idx="191">
                  <c:v>165.20833333333337</c:v>
                </c:pt>
                <c:pt idx="192">
                  <c:v>125.0666265474553</c:v>
                </c:pt>
                <c:pt idx="193">
                  <c:v>78.607313501849575</c:v>
                </c:pt>
                <c:pt idx="194">
                  <c:v>56.600200929298005</c:v>
                </c:pt>
                <c:pt idx="195">
                  <c:v>65.937184821761278</c:v>
                </c:pt>
                <c:pt idx="196">
                  <c:v>76.500000000000014</c:v>
                </c:pt>
                <c:pt idx="197">
                  <c:v>74.310635259011079</c:v>
                </c:pt>
                <c:pt idx="198">
                  <c:v>68.456854820267523</c:v>
                </c:pt>
                <c:pt idx="199">
                  <c:v>52.811950617920559</c:v>
                </c:pt>
                <c:pt idx="200">
                  <c:v>33.127120364984982</c:v>
                </c:pt>
                <c:pt idx="201">
                  <c:v>41.899243308533812</c:v>
                </c:pt>
                <c:pt idx="202">
                  <c:v>47.898787757604346</c:v>
                </c:pt>
                <c:pt idx="203">
                  <c:v>38.819772036210416</c:v>
                </c:pt>
                <c:pt idx="204">
                  <c:v>42.25325713137272</c:v>
                </c:pt>
                <c:pt idx="205">
                  <c:v>49.460868814184145</c:v>
                </c:pt>
                <c:pt idx="206">
                  <c:v>48.960654444270794</c:v>
                </c:pt>
                <c:pt idx="207">
                  <c:v>46.491241616582819</c:v>
                </c:pt>
                <c:pt idx="208">
                  <c:v>53.454862062441421</c:v>
                </c:pt>
                <c:pt idx="209">
                  <c:v>59.140993820705489</c:v>
                </c:pt>
                <c:pt idx="210">
                  <c:v>67.80672107107975</c:v>
                </c:pt>
                <c:pt idx="211">
                  <c:v>75.244289849594736</c:v>
                </c:pt>
                <c:pt idx="212">
                  <c:v>81.740866905872991</c:v>
                </c:pt>
                <c:pt idx="213">
                  <c:v>68.806625504309011</c:v>
                </c:pt>
                <c:pt idx="214">
                  <c:v>67.400345556819545</c:v>
                </c:pt>
                <c:pt idx="215">
                  <c:v>72.380539809482627</c:v>
                </c:pt>
                <c:pt idx="216">
                  <c:v>72.660452034942395</c:v>
                </c:pt>
                <c:pt idx="217">
                  <c:v>90.241598571617999</c:v>
                </c:pt>
                <c:pt idx="218">
                  <c:v>103.40058376188368</c:v>
                </c:pt>
                <c:pt idx="219">
                  <c:v>107.73995697082363</c:v>
                </c:pt>
                <c:pt idx="220">
                  <c:v>103.50482524660082</c:v>
                </c:pt>
                <c:pt idx="221">
                  <c:v>101.1656876058192</c:v>
                </c:pt>
                <c:pt idx="222">
                  <c:v>92.523657838818067</c:v>
                </c:pt>
                <c:pt idx="223">
                  <c:v>87.520167413998564</c:v>
                </c:pt>
                <c:pt idx="224">
                  <c:v>88.856419862841506</c:v>
                </c:pt>
                <c:pt idx="225">
                  <c:v>83.629027923648451</c:v>
                </c:pt>
                <c:pt idx="226">
                  <c:v>63.754465151123959</c:v>
                </c:pt>
                <c:pt idx="227">
                  <c:v>61.984641963190967</c:v>
                </c:pt>
                <c:pt idx="228">
                  <c:v>48.791301187918648</c:v>
                </c:pt>
                <c:pt idx="229">
                  <c:v>37.731624558226528</c:v>
                </c:pt>
                <c:pt idx="230">
                  <c:v>30.807617780198861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30720"/>
        <c:axId val="44832256"/>
      </c:lineChart>
      <c:catAx>
        <c:axId val="4483072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44832256"/>
        <c:crossesAt val="0"/>
        <c:auto val="1"/>
        <c:lblAlgn val="ctr"/>
        <c:lblOffset val="100"/>
        <c:tickLblSkip val="10"/>
        <c:tickMarkSkip val="5"/>
        <c:noMultiLvlLbl val="0"/>
      </c:catAx>
      <c:valAx>
        <c:axId val="44832256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/>
        <c:numFmt formatCode="#,##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4483072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06049822064045E-2"/>
          <c:y val="6.1593687332353451E-2"/>
          <c:w val="0.88879003558718883"/>
          <c:h val="0.83464023331782211"/>
        </c:manualLayout>
      </c:layout>
      <c:lineChart>
        <c:grouping val="standard"/>
        <c:varyColors val="0"/>
        <c:ser>
          <c:idx val="0"/>
          <c:order val="0"/>
          <c:tx>
            <c:strRef>
              <c:f>DATALRprices!$F$17</c:f>
              <c:strCache>
                <c:ptCount val="1"/>
                <c:pt idx="0">
                  <c:v>USGoldpriceindex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'[1]DATAUSLR '!$A$38:$A$246</c:f>
              <c:numCache>
                <c:formatCode>General</c:formatCode>
                <c:ptCount val="209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  <c:pt idx="171">
                  <c:v>1971</c:v>
                </c:pt>
                <c:pt idx="172">
                  <c:v>1972</c:v>
                </c:pt>
                <c:pt idx="173">
                  <c:v>1973</c:v>
                </c:pt>
                <c:pt idx="174">
                  <c:v>1974</c:v>
                </c:pt>
                <c:pt idx="175">
                  <c:v>1975</c:v>
                </c:pt>
                <c:pt idx="176">
                  <c:v>1976</c:v>
                </c:pt>
                <c:pt idx="177">
                  <c:v>1977</c:v>
                </c:pt>
                <c:pt idx="178">
                  <c:v>1978</c:v>
                </c:pt>
                <c:pt idx="179">
                  <c:v>1979</c:v>
                </c:pt>
                <c:pt idx="180">
                  <c:v>1980</c:v>
                </c:pt>
                <c:pt idx="181">
                  <c:v>1981</c:v>
                </c:pt>
                <c:pt idx="182">
                  <c:v>1982</c:v>
                </c:pt>
                <c:pt idx="183">
                  <c:v>1983</c:v>
                </c:pt>
                <c:pt idx="184">
                  <c:v>1984</c:v>
                </c:pt>
                <c:pt idx="185">
                  <c:v>1985</c:v>
                </c:pt>
                <c:pt idx="186">
                  <c:v>1986</c:v>
                </c:pt>
                <c:pt idx="187">
                  <c:v>1987</c:v>
                </c:pt>
                <c:pt idx="188">
                  <c:v>1988</c:v>
                </c:pt>
                <c:pt idx="189">
                  <c:v>1989</c:v>
                </c:pt>
                <c:pt idx="190">
                  <c:v>1990</c:v>
                </c:pt>
                <c:pt idx="191">
                  <c:v>1991</c:v>
                </c:pt>
                <c:pt idx="192">
                  <c:v>1992</c:v>
                </c:pt>
                <c:pt idx="193">
                  <c:v>1993</c:v>
                </c:pt>
                <c:pt idx="194">
                  <c:v>1994</c:v>
                </c:pt>
                <c:pt idx="195">
                  <c:v>1995</c:v>
                </c:pt>
                <c:pt idx="196">
                  <c:v>1996</c:v>
                </c:pt>
                <c:pt idx="197">
                  <c:v>1997</c:v>
                </c:pt>
                <c:pt idx="198">
                  <c:v>1998</c:v>
                </c:pt>
                <c:pt idx="199">
                  <c:v>1999</c:v>
                </c:pt>
                <c:pt idx="200">
                  <c:v>2000</c:v>
                </c:pt>
                <c:pt idx="201">
                  <c:v>2001</c:v>
                </c:pt>
                <c:pt idx="202">
                  <c:v>2002</c:v>
                </c:pt>
                <c:pt idx="203">
                  <c:v>2003</c:v>
                </c:pt>
                <c:pt idx="204">
                  <c:v>2004</c:v>
                </c:pt>
                <c:pt idx="205">
                  <c:v>2005</c:v>
                </c:pt>
                <c:pt idx="206">
                  <c:v>2006</c:v>
                </c:pt>
                <c:pt idx="207">
                  <c:v>2007</c:v>
                </c:pt>
                <c:pt idx="208">
                  <c:v>2008</c:v>
                </c:pt>
              </c:numCache>
            </c:numRef>
          </c:cat>
          <c:val>
            <c:numRef>
              <c:f>DATALRprices!$F$18:$F$248</c:f>
              <c:numCache>
                <c:formatCode>0.000</c:formatCode>
                <c:ptCount val="231"/>
                <c:pt idx="0">
                  <c:v>94.263379505250199</c:v>
                </c:pt>
                <c:pt idx="1">
                  <c:v>94.263379505250199</c:v>
                </c:pt>
                <c:pt idx="2">
                  <c:v>94.547590699738393</c:v>
                </c:pt>
                <c:pt idx="3">
                  <c:v>94.547590699738393</c:v>
                </c:pt>
                <c:pt idx="4">
                  <c:v>94.737064829397184</c:v>
                </c:pt>
                <c:pt idx="5">
                  <c:v>94.737064829397184</c:v>
                </c:pt>
                <c:pt idx="6" formatCode="0.00">
                  <c:v>94.2912433478471</c:v>
                </c:pt>
                <c:pt idx="7" formatCode="0.00">
                  <c:v>94.2912433478471</c:v>
                </c:pt>
                <c:pt idx="8" formatCode="0.00">
                  <c:v>94.2912433478471</c:v>
                </c:pt>
                <c:pt idx="9" formatCode="0.00">
                  <c:v>94.2912433478471</c:v>
                </c:pt>
                <c:pt idx="10" formatCode="0.00">
                  <c:v>94.2912433478471</c:v>
                </c:pt>
                <c:pt idx="11" formatCode="0.00">
                  <c:v>93.807450411223982</c:v>
                </c:pt>
                <c:pt idx="12" formatCode="0.00">
                  <c:v>93.807450411223982</c:v>
                </c:pt>
                <c:pt idx="13" formatCode="0.00">
                  <c:v>93.807450411223982</c:v>
                </c:pt>
                <c:pt idx="14" formatCode="0.00">
                  <c:v>93.807450411223982</c:v>
                </c:pt>
                <c:pt idx="15" formatCode="0.00">
                  <c:v>93.807450411223982</c:v>
                </c:pt>
                <c:pt idx="16" formatCode="0.00">
                  <c:v>93.807450411223982</c:v>
                </c:pt>
                <c:pt idx="17" formatCode="0.00">
                  <c:v>93.807450411223982</c:v>
                </c:pt>
                <c:pt idx="18" formatCode="0.00">
                  <c:v>93.807450411223982</c:v>
                </c:pt>
                <c:pt idx="19" formatCode="0.00">
                  <c:v>93.807450411223982</c:v>
                </c:pt>
                <c:pt idx="20" formatCode="0.00">
                  <c:v>93.807450411223982</c:v>
                </c:pt>
                <c:pt idx="21" formatCode="0.00">
                  <c:v>93.807450411223982</c:v>
                </c:pt>
                <c:pt idx="22" formatCode="0.00">
                  <c:v>93.807450411223982</c:v>
                </c:pt>
                <c:pt idx="23" formatCode="0.00">
                  <c:v>93.807450411223982</c:v>
                </c:pt>
                <c:pt idx="24" formatCode="0.00">
                  <c:v>93.807450411223982</c:v>
                </c:pt>
                <c:pt idx="25" formatCode="0.00">
                  <c:v>93.807450411223982</c:v>
                </c:pt>
                <c:pt idx="26" formatCode="0.00">
                  <c:v>93.807450411223982</c:v>
                </c:pt>
                <c:pt idx="27" formatCode="0.00">
                  <c:v>93.807450411223982</c:v>
                </c:pt>
                <c:pt idx="28" formatCode="0.00">
                  <c:v>93.807450411223982</c:v>
                </c:pt>
                <c:pt idx="29" formatCode="0.00">
                  <c:v>93.807450411223982</c:v>
                </c:pt>
                <c:pt idx="30" formatCode="0.00">
                  <c:v>93.807450411223982</c:v>
                </c:pt>
                <c:pt idx="31" formatCode="0.00">
                  <c:v>93.807450411223982</c:v>
                </c:pt>
                <c:pt idx="32" formatCode="0.00">
                  <c:v>93.807450411223982</c:v>
                </c:pt>
                <c:pt idx="33" formatCode="0.00">
                  <c:v>93.807450411223982</c:v>
                </c:pt>
                <c:pt idx="34" formatCode="0.00">
                  <c:v>97.242380261248186</c:v>
                </c:pt>
                <c:pt idx="35" formatCode="0.00">
                  <c:v>104.69279148524431</c:v>
                </c:pt>
                <c:pt idx="36" formatCode="0.00">
                  <c:v>101.35462022254474</c:v>
                </c:pt>
                <c:pt idx="37" formatCode="0.00">
                  <c:v>94.146105466860178</c:v>
                </c:pt>
                <c:pt idx="38" formatCode="0.00">
                  <c:v>93.807450411223982</c:v>
                </c:pt>
                <c:pt idx="39" formatCode="0.00">
                  <c:v>93.807450411223982</c:v>
                </c:pt>
                <c:pt idx="40" formatCode="0.00">
                  <c:v>93.807450411223982</c:v>
                </c:pt>
                <c:pt idx="41" formatCode="0.00">
                  <c:v>93.807450411223982</c:v>
                </c:pt>
                <c:pt idx="42" formatCode="0.00">
                  <c:v>93.807450411223982</c:v>
                </c:pt>
                <c:pt idx="43" formatCode="0.00">
                  <c:v>93.807450411223982</c:v>
                </c:pt>
                <c:pt idx="44" formatCode="0.00">
                  <c:v>93.807450411223982</c:v>
                </c:pt>
                <c:pt idx="45" formatCode="0.00">
                  <c:v>93.807450411223982</c:v>
                </c:pt>
                <c:pt idx="46" formatCode="0.00">
                  <c:v>93.807450411223982</c:v>
                </c:pt>
                <c:pt idx="47" formatCode="0.00">
                  <c:v>93.807450411223982</c:v>
                </c:pt>
                <c:pt idx="48" formatCode="0.00">
                  <c:v>93.807450411223982</c:v>
                </c:pt>
                <c:pt idx="49" formatCode="0.00">
                  <c:v>93.807450411223982</c:v>
                </c:pt>
                <c:pt idx="50" formatCode="0.00">
                  <c:v>93.807450411223982</c:v>
                </c:pt>
                <c:pt idx="51" formatCode="0.00">
                  <c:v>93.807450411223982</c:v>
                </c:pt>
                <c:pt idx="52" formatCode="0.00">
                  <c:v>93.807450411223982</c:v>
                </c:pt>
                <c:pt idx="53" formatCode="0.00">
                  <c:v>93.807450411223982</c:v>
                </c:pt>
                <c:pt idx="54" formatCode="0.00">
                  <c:v>96.468311562651195</c:v>
                </c:pt>
                <c:pt idx="55" formatCode="0.00">
                  <c:v>100.09675858732462</c:v>
                </c:pt>
                <c:pt idx="56" formatCode="0.00">
                  <c:v>100.09675858732462</c:v>
                </c:pt>
                <c:pt idx="57" formatCode="0.00">
                  <c:v>104.69279148524431</c:v>
                </c:pt>
                <c:pt idx="58" formatCode="0.00">
                  <c:v>100.91920657958393</c:v>
                </c:pt>
                <c:pt idx="59" formatCode="0.00">
                  <c:v>99.999999999999986</c:v>
                </c:pt>
                <c:pt idx="60" formatCode="0.00">
                  <c:v>99.999999999999986</c:v>
                </c:pt>
                <c:pt idx="61" formatCode="0.00">
                  <c:v>99.999999999999986</c:v>
                </c:pt>
                <c:pt idx="62" formatCode="0.00">
                  <c:v>99.999999999999986</c:v>
                </c:pt>
                <c:pt idx="63" formatCode="0.00">
                  <c:v>99.999999999999986</c:v>
                </c:pt>
                <c:pt idx="64" formatCode="0.00">
                  <c:v>99.999999999999986</c:v>
                </c:pt>
                <c:pt idx="65" formatCode="0.00">
                  <c:v>99.999999999999986</c:v>
                </c:pt>
                <c:pt idx="66" formatCode="0.00">
                  <c:v>99.999999999999986</c:v>
                </c:pt>
                <c:pt idx="67" formatCode="0.00">
                  <c:v>99.999999999999986</c:v>
                </c:pt>
                <c:pt idx="68" formatCode="0.00">
                  <c:v>99.999999999999986</c:v>
                </c:pt>
                <c:pt idx="69" formatCode="0.00">
                  <c:v>99.999999999999986</c:v>
                </c:pt>
                <c:pt idx="70" formatCode="0.00">
                  <c:v>99.999999999999986</c:v>
                </c:pt>
                <c:pt idx="71" formatCode="0.00">
                  <c:v>99.999999999999986</c:v>
                </c:pt>
                <c:pt idx="72" formatCode="0.00">
                  <c:v>99.999999999999986</c:v>
                </c:pt>
                <c:pt idx="73" formatCode="0.00">
                  <c:v>99.999999999999986</c:v>
                </c:pt>
                <c:pt idx="74" formatCode="0.00">
                  <c:v>99.999999999999986</c:v>
                </c:pt>
                <c:pt idx="75" formatCode="0.00">
                  <c:v>99.999999999999986</c:v>
                </c:pt>
                <c:pt idx="76" formatCode="0.00">
                  <c:v>99.999999999999986</c:v>
                </c:pt>
                <c:pt idx="77" formatCode="0.00">
                  <c:v>100.14513788098692</c:v>
                </c:pt>
                <c:pt idx="78" formatCode="0.00">
                  <c:v>99.999999999999986</c:v>
                </c:pt>
                <c:pt idx="79" formatCode="0.00">
                  <c:v>99.999999999999986</c:v>
                </c:pt>
                <c:pt idx="80" formatCode="0.00">
                  <c:v>99.999999999999986</c:v>
                </c:pt>
                <c:pt idx="81" formatCode="0.00">
                  <c:v>99.999999999999986</c:v>
                </c:pt>
                <c:pt idx="82" formatCode="0.00">
                  <c:v>113.30430575713594</c:v>
                </c:pt>
                <c:pt idx="83" formatCode="0.00">
                  <c:v>145.23463957426222</c:v>
                </c:pt>
                <c:pt idx="84" formatCode="0.00">
                  <c:v>203.33817126269955</c:v>
                </c:pt>
                <c:pt idx="85" formatCode="0.00">
                  <c:v>157.32946298984035</c:v>
                </c:pt>
                <c:pt idx="86" formatCode="0.00">
                  <c:v>140.92888243831638</c:v>
                </c:pt>
                <c:pt idx="87" formatCode="0.00">
                  <c:v>138.2196419932269</c:v>
                </c:pt>
                <c:pt idx="88" formatCode="0.00">
                  <c:v>139.71940009675856</c:v>
                </c:pt>
                <c:pt idx="89" formatCode="0.00">
                  <c:v>132.99467827769715</c:v>
                </c:pt>
                <c:pt idx="90" formatCode="0.00">
                  <c:v>114.90082244799225</c:v>
                </c:pt>
                <c:pt idx="91" formatCode="0.00">
                  <c:v>111.70778906627962</c:v>
                </c:pt>
                <c:pt idx="92" formatCode="0.00">
                  <c:v>112.43347847121431</c:v>
                </c:pt>
                <c:pt idx="93" formatCode="0.00">
                  <c:v>113.78809869375907</c:v>
                </c:pt>
                <c:pt idx="94" formatCode="0.00">
                  <c:v>111.2239961296565</c:v>
                </c:pt>
                <c:pt idx="95" formatCode="0.00">
                  <c:v>114.90082244799225</c:v>
                </c:pt>
                <c:pt idx="96" formatCode="0.00">
                  <c:v>111.51427189163037</c:v>
                </c:pt>
                <c:pt idx="97" formatCode="0.00">
                  <c:v>104.78955007256893</c:v>
                </c:pt>
                <c:pt idx="98" formatCode="0.00">
                  <c:v>100.8224479922593</c:v>
                </c:pt>
                <c:pt idx="99" formatCode="0.00">
                  <c:v>99.999999999999986</c:v>
                </c:pt>
                <c:pt idx="100" formatCode="0.00">
                  <c:v>99.999999999999986</c:v>
                </c:pt>
                <c:pt idx="101" formatCode="0.00">
                  <c:v>99.999999999999986</c:v>
                </c:pt>
                <c:pt idx="102" formatCode="0.00">
                  <c:v>99.999999999999986</c:v>
                </c:pt>
                <c:pt idx="103" formatCode="0.00">
                  <c:v>99.999999999999986</c:v>
                </c:pt>
                <c:pt idx="104" formatCode="0.00">
                  <c:v>99.999999999999986</c:v>
                </c:pt>
                <c:pt idx="105" formatCode="0.00">
                  <c:v>99.999999999999986</c:v>
                </c:pt>
                <c:pt idx="106" formatCode="0.00">
                  <c:v>99.999999999999986</c:v>
                </c:pt>
                <c:pt idx="107" formatCode="0.00">
                  <c:v>99.999999999999986</c:v>
                </c:pt>
                <c:pt idx="108" formatCode="0.00">
                  <c:v>99.999999999999986</c:v>
                </c:pt>
                <c:pt idx="109" formatCode="0.00">
                  <c:v>99.999999999999986</c:v>
                </c:pt>
                <c:pt idx="110" formatCode="0.00">
                  <c:v>99.999999999999986</c:v>
                </c:pt>
                <c:pt idx="111" formatCode="0.00">
                  <c:v>99.999999999999986</c:v>
                </c:pt>
                <c:pt idx="112" formatCode="0.00">
                  <c:v>99.999999999999986</c:v>
                </c:pt>
                <c:pt idx="113" formatCode="0.00">
                  <c:v>99.999999999999986</c:v>
                </c:pt>
                <c:pt idx="114" formatCode="0.00">
                  <c:v>99.999999999999986</c:v>
                </c:pt>
                <c:pt idx="115" formatCode="0.00">
                  <c:v>99.999999999999986</c:v>
                </c:pt>
                <c:pt idx="116" formatCode="0.00">
                  <c:v>99.999999999999986</c:v>
                </c:pt>
                <c:pt idx="117" formatCode="0.00">
                  <c:v>99.999999999999986</c:v>
                </c:pt>
                <c:pt idx="118" formatCode="0.00">
                  <c:v>99.999999999999986</c:v>
                </c:pt>
                <c:pt idx="119" formatCode="0.00">
                  <c:v>99.999999999999986</c:v>
                </c:pt>
                <c:pt idx="120" formatCode="0.00">
                  <c:v>99.999999999999986</c:v>
                </c:pt>
                <c:pt idx="121" formatCode="0.00">
                  <c:v>99.999999999999986</c:v>
                </c:pt>
                <c:pt idx="122" formatCode="0.00">
                  <c:v>99.999999999999986</c:v>
                </c:pt>
                <c:pt idx="123" formatCode="0.00">
                  <c:v>99.999999999999986</c:v>
                </c:pt>
                <c:pt idx="124" formatCode="0.00">
                  <c:v>99.999999999999986</c:v>
                </c:pt>
                <c:pt idx="125" formatCode="0.00">
                  <c:v>99.999999999999986</c:v>
                </c:pt>
                <c:pt idx="126" formatCode="0.00">
                  <c:v>99.999999999999986</c:v>
                </c:pt>
                <c:pt idx="127" formatCode="0.00">
                  <c:v>99.999999999999986</c:v>
                </c:pt>
                <c:pt idx="128" formatCode="0.00">
                  <c:v>99.999999999999986</c:v>
                </c:pt>
                <c:pt idx="129" formatCode="0.00">
                  <c:v>99.999999999999986</c:v>
                </c:pt>
                <c:pt idx="130" formatCode="0.00">
                  <c:v>99.999999999999986</c:v>
                </c:pt>
                <c:pt idx="131" formatCode="0.00">
                  <c:v>99.999999999999986</c:v>
                </c:pt>
                <c:pt idx="132" formatCode="0.00">
                  <c:v>99.999999999999986</c:v>
                </c:pt>
                <c:pt idx="133" formatCode="0.00">
                  <c:v>99.999999999999986</c:v>
                </c:pt>
                <c:pt idx="134" formatCode="0.00">
                  <c:v>99.999999999999986</c:v>
                </c:pt>
                <c:pt idx="135" formatCode="0.00">
                  <c:v>99.999999999999986</c:v>
                </c:pt>
                <c:pt idx="136" formatCode="0.00">
                  <c:v>99.999999999999986</c:v>
                </c:pt>
                <c:pt idx="137" formatCode="0.00">
                  <c:v>99.999999999999986</c:v>
                </c:pt>
                <c:pt idx="138" formatCode="0.00">
                  <c:v>99.999999999999986</c:v>
                </c:pt>
                <c:pt idx="139" formatCode="0.00">
                  <c:v>99.999999999999986</c:v>
                </c:pt>
                <c:pt idx="140" formatCode="0.00">
                  <c:v>99.999999999999986</c:v>
                </c:pt>
                <c:pt idx="141" formatCode="0.00">
                  <c:v>99.999999999999986</c:v>
                </c:pt>
                <c:pt idx="142" formatCode="0.00">
                  <c:v>99.999999999999986</c:v>
                </c:pt>
                <c:pt idx="143" formatCode="0.00">
                  <c:v>99.999999999999986</c:v>
                </c:pt>
                <c:pt idx="144" formatCode="0.00">
                  <c:v>99.999999999999986</c:v>
                </c:pt>
                <c:pt idx="145" formatCode="0.00">
                  <c:v>99.999999999999986</c:v>
                </c:pt>
                <c:pt idx="146" formatCode="0.00">
                  <c:v>99.999999999999986</c:v>
                </c:pt>
                <c:pt idx="147" formatCode="0.00">
                  <c:v>99.999999999999986</c:v>
                </c:pt>
                <c:pt idx="148" formatCode="0.00">
                  <c:v>99.999999999999986</c:v>
                </c:pt>
                <c:pt idx="149" formatCode="0.00">
                  <c:v>99.999999999999986</c:v>
                </c:pt>
                <c:pt idx="150" formatCode="0.00">
                  <c:v>99.999999999999986</c:v>
                </c:pt>
                <c:pt idx="151" formatCode="0.00">
                  <c:v>99.999999999999986</c:v>
                </c:pt>
                <c:pt idx="152" formatCode="0.00">
                  <c:v>99.999999999999986</c:v>
                </c:pt>
                <c:pt idx="153" formatCode="0.00">
                  <c:v>118.23899371069182</c:v>
                </c:pt>
                <c:pt idx="154" formatCode="0.00">
                  <c:v>169.03725205611997</c:v>
                </c:pt>
                <c:pt idx="155" formatCode="0.00">
                  <c:v>169.32752781809384</c:v>
                </c:pt>
                <c:pt idx="156" formatCode="0.00">
                  <c:v>169.32752781809384</c:v>
                </c:pt>
                <c:pt idx="157" formatCode="0.00">
                  <c:v>169.32752781809384</c:v>
                </c:pt>
                <c:pt idx="158" formatCode="0.00">
                  <c:v>169.32752781809384</c:v>
                </c:pt>
                <c:pt idx="159" formatCode="0.00">
                  <c:v>169.32752781809384</c:v>
                </c:pt>
                <c:pt idx="160" formatCode="0.00">
                  <c:v>169.32752781809384</c:v>
                </c:pt>
                <c:pt idx="161" formatCode="0.00">
                  <c:v>169.32752781809384</c:v>
                </c:pt>
                <c:pt idx="162" formatCode="0.00">
                  <c:v>169.32752781809384</c:v>
                </c:pt>
                <c:pt idx="163" formatCode="0.00">
                  <c:v>169.32752781809384</c:v>
                </c:pt>
                <c:pt idx="164" formatCode="0.00">
                  <c:v>169.32752781809384</c:v>
                </c:pt>
                <c:pt idx="165" formatCode="0.00">
                  <c:v>169.32752781809384</c:v>
                </c:pt>
                <c:pt idx="166" formatCode="0.00">
                  <c:v>169.32752781809384</c:v>
                </c:pt>
                <c:pt idx="167" formatCode="0.00">
                  <c:v>169.32752781809384</c:v>
                </c:pt>
                <c:pt idx="168" formatCode="0.00">
                  <c:v>169.32752781809384</c:v>
                </c:pt>
                <c:pt idx="169" formatCode="0.00">
                  <c:v>169.32752781809384</c:v>
                </c:pt>
                <c:pt idx="170" formatCode="0.00">
                  <c:v>169.32752781809384</c:v>
                </c:pt>
                <c:pt idx="171" formatCode="0.00">
                  <c:v>169.32752781809384</c:v>
                </c:pt>
                <c:pt idx="172" formatCode="0.00">
                  <c:v>169.32752781809384</c:v>
                </c:pt>
                <c:pt idx="173" formatCode="0.00">
                  <c:v>169.32752781809384</c:v>
                </c:pt>
                <c:pt idx="174" formatCode="0.00">
                  <c:v>169.32752781809384</c:v>
                </c:pt>
                <c:pt idx="175" formatCode="0.00">
                  <c:v>169.32752781809384</c:v>
                </c:pt>
                <c:pt idx="176" formatCode="0.00">
                  <c:v>169.32752781809384</c:v>
                </c:pt>
                <c:pt idx="177" formatCode="0.00">
                  <c:v>169.32752781809384</c:v>
                </c:pt>
                <c:pt idx="178" formatCode="0.00">
                  <c:v>169.32752781809384</c:v>
                </c:pt>
                <c:pt idx="179" formatCode="0.00">
                  <c:v>169.32752781809384</c:v>
                </c:pt>
                <c:pt idx="180" formatCode="0.00">
                  <c:v>169.32752781809384</c:v>
                </c:pt>
                <c:pt idx="181" formatCode="0.00">
                  <c:v>169.32752781809384</c:v>
                </c:pt>
                <c:pt idx="182" formatCode="0.00">
                  <c:v>169.32752781809384</c:v>
                </c:pt>
                <c:pt idx="183" formatCode="0.00">
                  <c:v>169.32752781809384</c:v>
                </c:pt>
                <c:pt idx="184" formatCode="0.00">
                  <c:v>169.32752781809384</c:v>
                </c:pt>
                <c:pt idx="185" formatCode="0.00">
                  <c:v>169.32752781809384</c:v>
                </c:pt>
                <c:pt idx="186" formatCode="0.00">
                  <c:v>169.32752781809384</c:v>
                </c:pt>
                <c:pt idx="187" formatCode="0.00">
                  <c:v>169.32752781809384</c:v>
                </c:pt>
                <c:pt idx="188" formatCode="0.00">
                  <c:v>189.93710691823898</c:v>
                </c:pt>
                <c:pt idx="189" formatCode="0.00">
                  <c:v>200.8224479922593</c:v>
                </c:pt>
                <c:pt idx="190" formatCode="0.00">
                  <c:v>176.1490082244799</c:v>
                </c:pt>
                <c:pt idx="191" formatCode="0.00">
                  <c:v>199.56458635703916</c:v>
                </c:pt>
                <c:pt idx="192" formatCode="0.00">
                  <c:v>283.50266086115141</c:v>
                </c:pt>
                <c:pt idx="193" formatCode="0.00">
                  <c:v>473.19787131107881</c:v>
                </c:pt>
                <c:pt idx="194" formatCode="0.00">
                  <c:v>772.8108369617803</c:v>
                </c:pt>
                <c:pt idx="195" formatCode="0.00">
                  <c:v>781.27721335268495</c:v>
                </c:pt>
                <c:pt idx="196" formatCode="0.00">
                  <c:v>606.28930817610058</c:v>
                </c:pt>
                <c:pt idx="197" formatCode="0.00">
                  <c:v>717.51330430575706</c:v>
                </c:pt>
                <c:pt idx="198" formatCode="0.00">
                  <c:v>936.3812288340589</c:v>
                </c:pt>
                <c:pt idx="199" formatCode="0.00">
                  <c:v>1487.6632801161102</c:v>
                </c:pt>
                <c:pt idx="200" formatCode="0.00">
                  <c:v>2963.5220125786159</c:v>
                </c:pt>
                <c:pt idx="201" formatCode="0.00">
                  <c:v>2223.705853894533</c:v>
                </c:pt>
                <c:pt idx="202" formatCode="0.00">
                  <c:v>1818.6260280599902</c:v>
                </c:pt>
                <c:pt idx="203" formatCode="0.00">
                  <c:v>2051.2820512820513</c:v>
                </c:pt>
                <c:pt idx="204" formatCode="0.00">
                  <c:v>1744.8476052249637</c:v>
                </c:pt>
                <c:pt idx="205" formatCode="0.00">
                  <c:v>1536.81664247702</c:v>
                </c:pt>
                <c:pt idx="206" formatCode="0.00">
                  <c:v>1781.5191098209964</c:v>
                </c:pt>
                <c:pt idx="207" formatCode="0.00">
                  <c:v>2167.1504596032896</c:v>
                </c:pt>
                <c:pt idx="208" formatCode="0.00">
                  <c:v>2120.5128205128203</c:v>
                </c:pt>
                <c:pt idx="209" formatCode="0.00">
                  <c:v>1850.8950169327527</c:v>
                </c:pt>
                <c:pt idx="210" formatCode="0.00">
                  <c:v>1862.2641509433961</c:v>
                </c:pt>
                <c:pt idx="211" formatCode="0.00">
                  <c:v>1757.5713594581518</c:v>
                </c:pt>
                <c:pt idx="212" formatCode="0.00">
                  <c:v>1668.9404934687952</c:v>
                </c:pt>
                <c:pt idx="213" formatCode="0.00">
                  <c:v>1746.0570875665214</c:v>
                </c:pt>
                <c:pt idx="214" formatCode="0.00">
                  <c:v>1864.6347363328493</c:v>
                </c:pt>
                <c:pt idx="215" formatCode="0.00">
                  <c:v>1865.0217706821479</c:v>
                </c:pt>
                <c:pt idx="216" formatCode="0.00">
                  <c:v>1882.3899371069181</c:v>
                </c:pt>
                <c:pt idx="217" formatCode="0.00">
                  <c:v>1608.079342041606</c:v>
                </c:pt>
                <c:pt idx="218" formatCode="0.00">
                  <c:v>1428.350266086115</c:v>
                </c:pt>
                <c:pt idx="219" formatCode="0.00">
                  <c:v>1354.1848089017901</c:v>
                </c:pt>
                <c:pt idx="220" formatCode="0.00">
                  <c:v>1355.1040154813741</c:v>
                </c:pt>
                <c:pt idx="221" formatCode="0.00">
                  <c:v>1316.9811320754718</c:v>
                </c:pt>
                <c:pt idx="222" formatCode="0.00">
                  <c:v>1506.1925495887758</c:v>
                </c:pt>
                <c:pt idx="223" formatCode="0.00">
                  <c:v>1764.8766328011609</c:v>
                </c:pt>
                <c:pt idx="224" formatCode="0.00">
                  <c:v>1986.0667634252538</c:v>
                </c:pt>
                <c:pt idx="225" formatCode="0.00">
                  <c:v>2157.7164973391386</c:v>
                </c:pt>
                <c:pt idx="226" formatCode="0.00">
                  <c:v>2931.7851959361392</c:v>
                </c:pt>
                <c:pt idx="227" formatCode="0.00">
                  <c:v>3381.7126269956457</c:v>
                </c:pt>
                <c:pt idx="228" formatCode="0.00">
                  <c:v>4228.350266086115</c:v>
                </c:pt>
                <c:pt idx="229" formatCode="0.00">
                  <c:v>4716.9811320754716</c:v>
                </c:pt>
                <c:pt idx="230" formatCode="0.00">
                  <c:v>5950.6531204644407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DATALRprices!$J$17</c:f>
              <c:strCache>
                <c:ptCount val="1"/>
                <c:pt idx="0">
                  <c:v>USPPIGold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'[1]DATAUSLR '!$A$38:$A$246</c:f>
              <c:numCache>
                <c:formatCode>General</c:formatCode>
                <c:ptCount val="209"/>
                <c:pt idx="0">
                  <c:v>1800</c:v>
                </c:pt>
                <c:pt idx="1">
                  <c:v>1801</c:v>
                </c:pt>
                <c:pt idx="2">
                  <c:v>1802</c:v>
                </c:pt>
                <c:pt idx="3">
                  <c:v>1803</c:v>
                </c:pt>
                <c:pt idx="4">
                  <c:v>1804</c:v>
                </c:pt>
                <c:pt idx="5">
                  <c:v>1805</c:v>
                </c:pt>
                <c:pt idx="6">
                  <c:v>1806</c:v>
                </c:pt>
                <c:pt idx="7">
                  <c:v>1807</c:v>
                </c:pt>
                <c:pt idx="8">
                  <c:v>1808</c:v>
                </c:pt>
                <c:pt idx="9">
                  <c:v>1809</c:v>
                </c:pt>
                <c:pt idx="10">
                  <c:v>1810</c:v>
                </c:pt>
                <c:pt idx="11">
                  <c:v>1811</c:v>
                </c:pt>
                <c:pt idx="12">
                  <c:v>1812</c:v>
                </c:pt>
                <c:pt idx="13">
                  <c:v>1813</c:v>
                </c:pt>
                <c:pt idx="14">
                  <c:v>1814</c:v>
                </c:pt>
                <c:pt idx="15">
                  <c:v>1815</c:v>
                </c:pt>
                <c:pt idx="16">
                  <c:v>1816</c:v>
                </c:pt>
                <c:pt idx="17">
                  <c:v>1817</c:v>
                </c:pt>
                <c:pt idx="18">
                  <c:v>1818</c:v>
                </c:pt>
                <c:pt idx="19">
                  <c:v>1819</c:v>
                </c:pt>
                <c:pt idx="20">
                  <c:v>1820</c:v>
                </c:pt>
                <c:pt idx="21">
                  <c:v>1821</c:v>
                </c:pt>
                <c:pt idx="22">
                  <c:v>1822</c:v>
                </c:pt>
                <c:pt idx="23">
                  <c:v>1823</c:v>
                </c:pt>
                <c:pt idx="24">
                  <c:v>1824</c:v>
                </c:pt>
                <c:pt idx="25">
                  <c:v>1825</c:v>
                </c:pt>
                <c:pt idx="26">
                  <c:v>1826</c:v>
                </c:pt>
                <c:pt idx="27">
                  <c:v>1827</c:v>
                </c:pt>
                <c:pt idx="28">
                  <c:v>1828</c:v>
                </c:pt>
                <c:pt idx="29">
                  <c:v>1829</c:v>
                </c:pt>
                <c:pt idx="30">
                  <c:v>1830</c:v>
                </c:pt>
                <c:pt idx="31">
                  <c:v>1831</c:v>
                </c:pt>
                <c:pt idx="32">
                  <c:v>1832</c:v>
                </c:pt>
                <c:pt idx="33">
                  <c:v>1833</c:v>
                </c:pt>
                <c:pt idx="34">
                  <c:v>1834</c:v>
                </c:pt>
                <c:pt idx="35">
                  <c:v>1835</c:v>
                </c:pt>
                <c:pt idx="36">
                  <c:v>1836</c:v>
                </c:pt>
                <c:pt idx="37">
                  <c:v>1837</c:v>
                </c:pt>
                <c:pt idx="38">
                  <c:v>1838</c:v>
                </c:pt>
                <c:pt idx="39">
                  <c:v>1839</c:v>
                </c:pt>
                <c:pt idx="40">
                  <c:v>1840</c:v>
                </c:pt>
                <c:pt idx="41">
                  <c:v>1841</c:v>
                </c:pt>
                <c:pt idx="42">
                  <c:v>1842</c:v>
                </c:pt>
                <c:pt idx="43">
                  <c:v>1843</c:v>
                </c:pt>
                <c:pt idx="44">
                  <c:v>1844</c:v>
                </c:pt>
                <c:pt idx="45">
                  <c:v>1845</c:v>
                </c:pt>
                <c:pt idx="46">
                  <c:v>1846</c:v>
                </c:pt>
                <c:pt idx="47">
                  <c:v>1847</c:v>
                </c:pt>
                <c:pt idx="48">
                  <c:v>1848</c:v>
                </c:pt>
                <c:pt idx="49">
                  <c:v>1849</c:v>
                </c:pt>
                <c:pt idx="50">
                  <c:v>1850</c:v>
                </c:pt>
                <c:pt idx="51">
                  <c:v>1851</c:v>
                </c:pt>
                <c:pt idx="52">
                  <c:v>1852</c:v>
                </c:pt>
                <c:pt idx="53">
                  <c:v>1853</c:v>
                </c:pt>
                <c:pt idx="54">
                  <c:v>1854</c:v>
                </c:pt>
                <c:pt idx="55">
                  <c:v>1855</c:v>
                </c:pt>
                <c:pt idx="56">
                  <c:v>1856</c:v>
                </c:pt>
                <c:pt idx="57">
                  <c:v>1857</c:v>
                </c:pt>
                <c:pt idx="58">
                  <c:v>1858</c:v>
                </c:pt>
                <c:pt idx="59">
                  <c:v>1859</c:v>
                </c:pt>
                <c:pt idx="60">
                  <c:v>1860</c:v>
                </c:pt>
                <c:pt idx="61">
                  <c:v>1861</c:v>
                </c:pt>
                <c:pt idx="62">
                  <c:v>1862</c:v>
                </c:pt>
                <c:pt idx="63">
                  <c:v>1863</c:v>
                </c:pt>
                <c:pt idx="64">
                  <c:v>1864</c:v>
                </c:pt>
                <c:pt idx="65">
                  <c:v>1865</c:v>
                </c:pt>
                <c:pt idx="66">
                  <c:v>1866</c:v>
                </c:pt>
                <c:pt idx="67">
                  <c:v>1867</c:v>
                </c:pt>
                <c:pt idx="68">
                  <c:v>1868</c:v>
                </c:pt>
                <c:pt idx="69">
                  <c:v>1869</c:v>
                </c:pt>
                <c:pt idx="70">
                  <c:v>1870</c:v>
                </c:pt>
                <c:pt idx="71">
                  <c:v>1871</c:v>
                </c:pt>
                <c:pt idx="72">
                  <c:v>1872</c:v>
                </c:pt>
                <c:pt idx="73">
                  <c:v>1873</c:v>
                </c:pt>
                <c:pt idx="74">
                  <c:v>1874</c:v>
                </c:pt>
                <c:pt idx="75">
                  <c:v>1875</c:v>
                </c:pt>
                <c:pt idx="76">
                  <c:v>1876</c:v>
                </c:pt>
                <c:pt idx="77">
                  <c:v>1877</c:v>
                </c:pt>
                <c:pt idx="78">
                  <c:v>1878</c:v>
                </c:pt>
                <c:pt idx="79">
                  <c:v>1879</c:v>
                </c:pt>
                <c:pt idx="80">
                  <c:v>1880</c:v>
                </c:pt>
                <c:pt idx="81">
                  <c:v>1881</c:v>
                </c:pt>
                <c:pt idx="82">
                  <c:v>1882</c:v>
                </c:pt>
                <c:pt idx="83">
                  <c:v>1883</c:v>
                </c:pt>
                <c:pt idx="84">
                  <c:v>1884</c:v>
                </c:pt>
                <c:pt idx="85">
                  <c:v>1885</c:v>
                </c:pt>
                <c:pt idx="86">
                  <c:v>1886</c:v>
                </c:pt>
                <c:pt idx="87">
                  <c:v>1887</c:v>
                </c:pt>
                <c:pt idx="88">
                  <c:v>1888</c:v>
                </c:pt>
                <c:pt idx="89">
                  <c:v>1889</c:v>
                </c:pt>
                <c:pt idx="90">
                  <c:v>1890</c:v>
                </c:pt>
                <c:pt idx="91">
                  <c:v>1891</c:v>
                </c:pt>
                <c:pt idx="92">
                  <c:v>1892</c:v>
                </c:pt>
                <c:pt idx="93">
                  <c:v>1893</c:v>
                </c:pt>
                <c:pt idx="94">
                  <c:v>1894</c:v>
                </c:pt>
                <c:pt idx="95">
                  <c:v>1895</c:v>
                </c:pt>
                <c:pt idx="96">
                  <c:v>1896</c:v>
                </c:pt>
                <c:pt idx="97">
                  <c:v>1897</c:v>
                </c:pt>
                <c:pt idx="98">
                  <c:v>1898</c:v>
                </c:pt>
                <c:pt idx="99">
                  <c:v>1899</c:v>
                </c:pt>
                <c:pt idx="100">
                  <c:v>1900</c:v>
                </c:pt>
                <c:pt idx="101">
                  <c:v>1901</c:v>
                </c:pt>
                <c:pt idx="102">
                  <c:v>1902</c:v>
                </c:pt>
                <c:pt idx="103">
                  <c:v>1903</c:v>
                </c:pt>
                <c:pt idx="104">
                  <c:v>1904</c:v>
                </c:pt>
                <c:pt idx="105">
                  <c:v>1905</c:v>
                </c:pt>
                <c:pt idx="106">
                  <c:v>1906</c:v>
                </c:pt>
                <c:pt idx="107">
                  <c:v>1907</c:v>
                </c:pt>
                <c:pt idx="108">
                  <c:v>1908</c:v>
                </c:pt>
                <c:pt idx="109">
                  <c:v>1909</c:v>
                </c:pt>
                <c:pt idx="110">
                  <c:v>1910</c:v>
                </c:pt>
                <c:pt idx="111">
                  <c:v>1911</c:v>
                </c:pt>
                <c:pt idx="112">
                  <c:v>1912</c:v>
                </c:pt>
                <c:pt idx="113">
                  <c:v>1913</c:v>
                </c:pt>
                <c:pt idx="114">
                  <c:v>1914</c:v>
                </c:pt>
                <c:pt idx="115">
                  <c:v>1915</c:v>
                </c:pt>
                <c:pt idx="116">
                  <c:v>1916</c:v>
                </c:pt>
                <c:pt idx="117">
                  <c:v>1917</c:v>
                </c:pt>
                <c:pt idx="118">
                  <c:v>1918</c:v>
                </c:pt>
                <c:pt idx="119">
                  <c:v>1919</c:v>
                </c:pt>
                <c:pt idx="120">
                  <c:v>1920</c:v>
                </c:pt>
                <c:pt idx="121">
                  <c:v>1921</c:v>
                </c:pt>
                <c:pt idx="122">
                  <c:v>1922</c:v>
                </c:pt>
                <c:pt idx="123">
                  <c:v>1923</c:v>
                </c:pt>
                <c:pt idx="124">
                  <c:v>1924</c:v>
                </c:pt>
                <c:pt idx="125">
                  <c:v>1925</c:v>
                </c:pt>
                <c:pt idx="126">
                  <c:v>1926</c:v>
                </c:pt>
                <c:pt idx="127">
                  <c:v>1927</c:v>
                </c:pt>
                <c:pt idx="128">
                  <c:v>1928</c:v>
                </c:pt>
                <c:pt idx="129">
                  <c:v>1929</c:v>
                </c:pt>
                <c:pt idx="130">
                  <c:v>1930</c:v>
                </c:pt>
                <c:pt idx="131">
                  <c:v>1931</c:v>
                </c:pt>
                <c:pt idx="132">
                  <c:v>1932</c:v>
                </c:pt>
                <c:pt idx="133">
                  <c:v>1933</c:v>
                </c:pt>
                <c:pt idx="134">
                  <c:v>1934</c:v>
                </c:pt>
                <c:pt idx="135">
                  <c:v>1935</c:v>
                </c:pt>
                <c:pt idx="136">
                  <c:v>1936</c:v>
                </c:pt>
                <c:pt idx="137">
                  <c:v>1937</c:v>
                </c:pt>
                <c:pt idx="138">
                  <c:v>1938</c:v>
                </c:pt>
                <c:pt idx="139">
                  <c:v>1939</c:v>
                </c:pt>
                <c:pt idx="140">
                  <c:v>1940</c:v>
                </c:pt>
                <c:pt idx="141">
                  <c:v>1941</c:v>
                </c:pt>
                <c:pt idx="142">
                  <c:v>1942</c:v>
                </c:pt>
                <c:pt idx="143">
                  <c:v>1943</c:v>
                </c:pt>
                <c:pt idx="144">
                  <c:v>1944</c:v>
                </c:pt>
                <c:pt idx="145">
                  <c:v>1945</c:v>
                </c:pt>
                <c:pt idx="146">
                  <c:v>1946</c:v>
                </c:pt>
                <c:pt idx="147">
                  <c:v>1947</c:v>
                </c:pt>
                <c:pt idx="148">
                  <c:v>1948</c:v>
                </c:pt>
                <c:pt idx="149">
                  <c:v>1949</c:v>
                </c:pt>
                <c:pt idx="150">
                  <c:v>1950</c:v>
                </c:pt>
                <c:pt idx="151">
                  <c:v>1951</c:v>
                </c:pt>
                <c:pt idx="152">
                  <c:v>1952</c:v>
                </c:pt>
                <c:pt idx="153">
                  <c:v>1953</c:v>
                </c:pt>
                <c:pt idx="154">
                  <c:v>1954</c:v>
                </c:pt>
                <c:pt idx="155">
                  <c:v>1955</c:v>
                </c:pt>
                <c:pt idx="156">
                  <c:v>1956</c:v>
                </c:pt>
                <c:pt idx="157">
                  <c:v>1957</c:v>
                </c:pt>
                <c:pt idx="158">
                  <c:v>1958</c:v>
                </c:pt>
                <c:pt idx="159">
                  <c:v>1959</c:v>
                </c:pt>
                <c:pt idx="160">
                  <c:v>1960</c:v>
                </c:pt>
                <c:pt idx="161">
                  <c:v>1961</c:v>
                </c:pt>
                <c:pt idx="162">
                  <c:v>1962</c:v>
                </c:pt>
                <c:pt idx="163">
                  <c:v>1963</c:v>
                </c:pt>
                <c:pt idx="164">
                  <c:v>1964</c:v>
                </c:pt>
                <c:pt idx="165">
                  <c:v>1965</c:v>
                </c:pt>
                <c:pt idx="166">
                  <c:v>1966</c:v>
                </c:pt>
                <c:pt idx="167">
                  <c:v>1967</c:v>
                </c:pt>
                <c:pt idx="168">
                  <c:v>1968</c:v>
                </c:pt>
                <c:pt idx="169">
                  <c:v>1969</c:v>
                </c:pt>
                <c:pt idx="170">
                  <c:v>1970</c:v>
                </c:pt>
                <c:pt idx="171">
                  <c:v>1971</c:v>
                </c:pt>
                <c:pt idx="172">
                  <c:v>1972</c:v>
                </c:pt>
                <c:pt idx="173">
                  <c:v>1973</c:v>
                </c:pt>
                <c:pt idx="174">
                  <c:v>1974</c:v>
                </c:pt>
                <c:pt idx="175">
                  <c:v>1975</c:v>
                </c:pt>
                <c:pt idx="176">
                  <c:v>1976</c:v>
                </c:pt>
                <c:pt idx="177">
                  <c:v>1977</c:v>
                </c:pt>
                <c:pt idx="178">
                  <c:v>1978</c:v>
                </c:pt>
                <c:pt idx="179">
                  <c:v>1979</c:v>
                </c:pt>
                <c:pt idx="180">
                  <c:v>1980</c:v>
                </c:pt>
                <c:pt idx="181">
                  <c:v>1981</c:v>
                </c:pt>
                <c:pt idx="182">
                  <c:v>1982</c:v>
                </c:pt>
                <c:pt idx="183">
                  <c:v>1983</c:v>
                </c:pt>
                <c:pt idx="184">
                  <c:v>1984</c:v>
                </c:pt>
                <c:pt idx="185">
                  <c:v>1985</c:v>
                </c:pt>
                <c:pt idx="186">
                  <c:v>1986</c:v>
                </c:pt>
                <c:pt idx="187">
                  <c:v>1987</c:v>
                </c:pt>
                <c:pt idx="188">
                  <c:v>1988</c:v>
                </c:pt>
                <c:pt idx="189">
                  <c:v>1989</c:v>
                </c:pt>
                <c:pt idx="190">
                  <c:v>1990</c:v>
                </c:pt>
                <c:pt idx="191">
                  <c:v>1991</c:v>
                </c:pt>
                <c:pt idx="192">
                  <c:v>1992</c:v>
                </c:pt>
                <c:pt idx="193">
                  <c:v>1993</c:v>
                </c:pt>
                <c:pt idx="194">
                  <c:v>1994</c:v>
                </c:pt>
                <c:pt idx="195">
                  <c:v>1995</c:v>
                </c:pt>
                <c:pt idx="196">
                  <c:v>1996</c:v>
                </c:pt>
                <c:pt idx="197">
                  <c:v>1997</c:v>
                </c:pt>
                <c:pt idx="198">
                  <c:v>1998</c:v>
                </c:pt>
                <c:pt idx="199">
                  <c:v>1999</c:v>
                </c:pt>
                <c:pt idx="200">
                  <c:v>2000</c:v>
                </c:pt>
                <c:pt idx="201">
                  <c:v>2001</c:v>
                </c:pt>
                <c:pt idx="202">
                  <c:v>2002</c:v>
                </c:pt>
                <c:pt idx="203">
                  <c:v>2003</c:v>
                </c:pt>
                <c:pt idx="204">
                  <c:v>2004</c:v>
                </c:pt>
                <c:pt idx="205">
                  <c:v>2005</c:v>
                </c:pt>
                <c:pt idx="206">
                  <c:v>2006</c:v>
                </c:pt>
                <c:pt idx="207">
                  <c:v>2007</c:v>
                </c:pt>
                <c:pt idx="208">
                  <c:v>2008</c:v>
                </c:pt>
              </c:numCache>
            </c:numRef>
          </c:cat>
          <c:val>
            <c:numRef>
              <c:f>DATALRprices!$J$18:$J$248</c:f>
              <c:numCache>
                <c:formatCode>0.00</c:formatCode>
                <c:ptCount val="231"/>
                <c:pt idx="0">
                  <c:v>122.05002671490398</c:v>
                </c:pt>
                <c:pt idx="1">
                  <c:v>98.887247922294463</c:v>
                </c:pt>
                <c:pt idx="2">
                  <c:v>107.47197289718756</c:v>
                </c:pt>
                <c:pt idx="3">
                  <c:v>94.149001050428751</c:v>
                </c:pt>
                <c:pt idx="4">
                  <c:v>90.415016140843818</c:v>
                </c:pt>
                <c:pt idx="5">
                  <c:v>85.982907506488743</c:v>
                </c:pt>
                <c:pt idx="6">
                  <c:v>81.847320560909637</c:v>
                </c:pt>
                <c:pt idx="7">
                  <c:v>80.333278722459724</c:v>
                </c:pt>
                <c:pt idx="8">
                  <c:v>76.770827337871708</c:v>
                </c:pt>
                <c:pt idx="9">
                  <c:v>76.058337060954102</c:v>
                </c:pt>
                <c:pt idx="10">
                  <c:v>78.908298168624526</c:v>
                </c:pt>
                <c:pt idx="11">
                  <c:v>81.463746147388562</c:v>
                </c:pt>
                <c:pt idx="12">
                  <c:v>82.985596350141961</c:v>
                </c:pt>
                <c:pt idx="13">
                  <c:v>85.85025555532485</c:v>
                </c:pt>
                <c:pt idx="14">
                  <c:v>95.249918572331239</c:v>
                </c:pt>
                <c:pt idx="15">
                  <c:v>108.94657039711193</c:v>
                </c:pt>
                <c:pt idx="16">
                  <c:v>114.67588880747773</c:v>
                </c:pt>
                <c:pt idx="17">
                  <c:v>110.37889999970339</c:v>
                </c:pt>
                <c:pt idx="18">
                  <c:v>106.70855539306281</c:v>
                </c:pt>
                <c:pt idx="19">
                  <c:v>106.70855539306281</c:v>
                </c:pt>
                <c:pt idx="20">
                  <c:v>108.94657039711193</c:v>
                </c:pt>
                <c:pt idx="21">
                  <c:v>120.03310985043839</c:v>
                </c:pt>
                <c:pt idx="22">
                  <c:v>98.926044352759163</c:v>
                </c:pt>
                <c:pt idx="23">
                  <c:v>99.672253739040755</c:v>
                </c:pt>
                <c:pt idx="24">
                  <c:v>106.60134089736979</c:v>
                </c:pt>
                <c:pt idx="25">
                  <c:v>119.2869004641568</c:v>
                </c:pt>
                <c:pt idx="26">
                  <c:v>113.31722537390409</c:v>
                </c:pt>
                <c:pt idx="27">
                  <c:v>109.90598246518826</c:v>
                </c:pt>
                <c:pt idx="28">
                  <c:v>97.327024239298623</c:v>
                </c:pt>
                <c:pt idx="29">
                  <c:v>109.90598246518826</c:v>
                </c:pt>
                <c:pt idx="30">
                  <c:v>110.65219185146985</c:v>
                </c:pt>
                <c:pt idx="31">
                  <c:v>106.60134089736979</c:v>
                </c:pt>
                <c:pt idx="32">
                  <c:v>110.65219185146985</c:v>
                </c:pt>
                <c:pt idx="33">
                  <c:v>136.9827230531202</c:v>
                </c:pt>
                <c:pt idx="34">
                  <c:v>148.49492537313432</c:v>
                </c:pt>
                <c:pt idx="35">
                  <c:v>128.7576709796673</c:v>
                </c:pt>
                <c:pt idx="36">
                  <c:v>118.1001909307876</c:v>
                </c:pt>
                <c:pt idx="37">
                  <c:v>127.1428057553957</c:v>
                </c:pt>
                <c:pt idx="38">
                  <c:v>124.29716348633318</c:v>
                </c:pt>
                <c:pt idx="39">
                  <c:v>105.64192882929346</c:v>
                </c:pt>
                <c:pt idx="40">
                  <c:v>89.651727694687992</c:v>
                </c:pt>
                <c:pt idx="41">
                  <c:v>89.651727694687992</c:v>
                </c:pt>
                <c:pt idx="42">
                  <c:v>89.651727694687992</c:v>
                </c:pt>
                <c:pt idx="43">
                  <c:v>86.986694172253749</c:v>
                </c:pt>
                <c:pt idx="44">
                  <c:v>82.935843218153707</c:v>
                </c:pt>
                <c:pt idx="45">
                  <c:v>86.986694172253749</c:v>
                </c:pt>
                <c:pt idx="46">
                  <c:v>83.682052604435285</c:v>
                </c:pt>
                <c:pt idx="47">
                  <c:v>82.935843218153707</c:v>
                </c:pt>
                <c:pt idx="48">
                  <c:v>81.976431150077374</c:v>
                </c:pt>
                <c:pt idx="49">
                  <c:v>81.230221763795782</c:v>
                </c:pt>
                <c:pt idx="50">
                  <c:v>76.966168127900985</c:v>
                </c:pt>
                <c:pt idx="51">
                  <c:v>79.311397627643132</c:v>
                </c:pt>
                <c:pt idx="52">
                  <c:v>80.27080969571945</c:v>
                </c:pt>
                <c:pt idx="53">
                  <c:v>80.27080969571945</c:v>
                </c:pt>
                <c:pt idx="54">
                  <c:v>73.91028084252757</c:v>
                </c:pt>
                <c:pt idx="55">
                  <c:v>79.323247945867593</c:v>
                </c:pt>
                <c:pt idx="56">
                  <c:v>90.312614789753511</c:v>
                </c:pt>
                <c:pt idx="57">
                  <c:v>87.207532347504625</c:v>
                </c:pt>
                <c:pt idx="58">
                  <c:v>86.405752636625124</c:v>
                </c:pt>
                <c:pt idx="59">
                  <c:v>88.800000000000011</c:v>
                </c:pt>
                <c:pt idx="60">
                  <c:v>75.300000000000011</c:v>
                </c:pt>
                <c:pt idx="61">
                  <c:v>72.90000000000002</c:v>
                </c:pt>
                <c:pt idx="62">
                  <c:v>65.000000000000014</c:v>
                </c:pt>
                <c:pt idx="63">
                  <c:v>59.400000000000006</c:v>
                </c:pt>
                <c:pt idx="64">
                  <c:v>61.000000000000007</c:v>
                </c:pt>
                <c:pt idx="65">
                  <c:v>65.90000000000002</c:v>
                </c:pt>
                <c:pt idx="66">
                  <c:v>65.90000000000002</c:v>
                </c:pt>
                <c:pt idx="67">
                  <c:v>71.300000000000011</c:v>
                </c:pt>
                <c:pt idx="68">
                  <c:v>65.000000000000014</c:v>
                </c:pt>
                <c:pt idx="69">
                  <c:v>65.000000000000014</c:v>
                </c:pt>
                <c:pt idx="70">
                  <c:v>66.599999999999994</c:v>
                </c:pt>
                <c:pt idx="71">
                  <c:v>65.90000000000002</c:v>
                </c:pt>
                <c:pt idx="72">
                  <c:v>69.7</c:v>
                </c:pt>
                <c:pt idx="73">
                  <c:v>76.90000000000002</c:v>
                </c:pt>
                <c:pt idx="74">
                  <c:v>85.700000000000017</c:v>
                </c:pt>
                <c:pt idx="75">
                  <c:v>87.200000000000017</c:v>
                </c:pt>
                <c:pt idx="76">
                  <c:v>83.200000000000017</c:v>
                </c:pt>
                <c:pt idx="77">
                  <c:v>87.972318840579717</c:v>
                </c:pt>
                <c:pt idx="78">
                  <c:v>73.800000000000011</c:v>
                </c:pt>
                <c:pt idx="79">
                  <c:v>76.300000000000011</c:v>
                </c:pt>
                <c:pt idx="80">
                  <c:v>73.800000000000011</c:v>
                </c:pt>
                <c:pt idx="81">
                  <c:v>70.599999999999994</c:v>
                </c:pt>
                <c:pt idx="82">
                  <c:v>72.812766865926562</c:v>
                </c:pt>
                <c:pt idx="83">
                  <c:v>72.572218520986013</c:v>
                </c:pt>
                <c:pt idx="84">
                  <c:v>75.293290506780878</c:v>
                </c:pt>
                <c:pt idx="85">
                  <c:v>93.180258302583027</c:v>
                </c:pt>
                <c:pt idx="86">
                  <c:v>97.850772399588067</c:v>
                </c:pt>
                <c:pt idx="87">
                  <c:v>92.967973398669926</c:v>
                </c:pt>
                <c:pt idx="88">
                  <c:v>89.679743767313042</c:v>
                </c:pt>
                <c:pt idx="89">
                  <c:v>90.003601309567117</c:v>
                </c:pt>
                <c:pt idx="90">
                  <c:v>93.123789473684212</c:v>
                </c:pt>
                <c:pt idx="91">
                  <c:v>92.294369857080994</c:v>
                </c:pt>
                <c:pt idx="92">
                  <c:v>95.878915662650613</c:v>
                </c:pt>
                <c:pt idx="93">
                  <c:v>92.628316326530609</c:v>
                </c:pt>
                <c:pt idx="94">
                  <c:v>89.908655937364074</c:v>
                </c:pt>
                <c:pt idx="95">
                  <c:v>81.374526315789481</c:v>
                </c:pt>
                <c:pt idx="96">
                  <c:v>78.196268980477228</c:v>
                </c:pt>
                <c:pt idx="97">
                  <c:v>80.256094182825493</c:v>
                </c:pt>
                <c:pt idx="98">
                  <c:v>71.611036468330141</c:v>
                </c:pt>
                <c:pt idx="99">
                  <c:v>71.300000000000011</c:v>
                </c:pt>
                <c:pt idx="100">
                  <c:v>79.40000000000002</c:v>
                </c:pt>
                <c:pt idx="101">
                  <c:v>81.600000000000009</c:v>
                </c:pt>
                <c:pt idx="102">
                  <c:v>85.700000000000017</c:v>
                </c:pt>
                <c:pt idx="103">
                  <c:v>80.000000000000014</c:v>
                </c:pt>
                <c:pt idx="104">
                  <c:v>73.800000000000011</c:v>
                </c:pt>
                <c:pt idx="105">
                  <c:v>67.500000000000014</c:v>
                </c:pt>
                <c:pt idx="106">
                  <c:v>65.000000000000014</c:v>
                </c:pt>
                <c:pt idx="107">
                  <c:v>67.500000000000014</c:v>
                </c:pt>
                <c:pt idx="108">
                  <c:v>68.2</c:v>
                </c:pt>
                <c:pt idx="109">
                  <c:v>64.099999999999994</c:v>
                </c:pt>
                <c:pt idx="110">
                  <c:v>65.000000000000014</c:v>
                </c:pt>
                <c:pt idx="111">
                  <c:v>64.599999999999994</c:v>
                </c:pt>
                <c:pt idx="112">
                  <c:v>60.300000000000011</c:v>
                </c:pt>
                <c:pt idx="113">
                  <c:v>61.900000000000006</c:v>
                </c:pt>
                <c:pt idx="114">
                  <c:v>55.400000000000006</c:v>
                </c:pt>
                <c:pt idx="115">
                  <c:v>56.500000000000007</c:v>
                </c:pt>
                <c:pt idx="116">
                  <c:v>53.800000000000004</c:v>
                </c:pt>
                <c:pt idx="117">
                  <c:v>53.800000000000004</c:v>
                </c:pt>
                <c:pt idx="118">
                  <c:v>56.100000000000009</c:v>
                </c:pt>
                <c:pt idx="119">
                  <c:v>60.300000000000011</c:v>
                </c:pt>
                <c:pt idx="120">
                  <c:v>64.800000000000011</c:v>
                </c:pt>
                <c:pt idx="121">
                  <c:v>63.900000000000006</c:v>
                </c:pt>
                <c:pt idx="122">
                  <c:v>68.2</c:v>
                </c:pt>
                <c:pt idx="123">
                  <c:v>69.099999999999994</c:v>
                </c:pt>
                <c:pt idx="124">
                  <c:v>69.099999999999994</c:v>
                </c:pt>
                <c:pt idx="125">
                  <c:v>69.500000000000014</c:v>
                </c:pt>
                <c:pt idx="126">
                  <c:v>71.500000000000014</c:v>
                </c:pt>
                <c:pt idx="127">
                  <c:v>75.300000000000011</c:v>
                </c:pt>
                <c:pt idx="128">
                  <c:v>72.90000000000002</c:v>
                </c:pt>
                <c:pt idx="129">
                  <c:v>78.300000000000011</c:v>
                </c:pt>
                <c:pt idx="130">
                  <c:v>81.40000000000002</c:v>
                </c:pt>
                <c:pt idx="131">
                  <c:v>75.100000000000009</c:v>
                </c:pt>
                <c:pt idx="132">
                  <c:v>80.000000000000014</c:v>
                </c:pt>
                <c:pt idx="133">
                  <c:v>80.700000000000017</c:v>
                </c:pt>
                <c:pt idx="134">
                  <c:v>78.700000000000017</c:v>
                </c:pt>
                <c:pt idx="135">
                  <c:v>80.500000000000014</c:v>
                </c:pt>
                <c:pt idx="136">
                  <c:v>98.90000000000002</c:v>
                </c:pt>
                <c:pt idx="137">
                  <c:v>135.9</c:v>
                </c:pt>
                <c:pt idx="138">
                  <c:v>152.00000000000003</c:v>
                </c:pt>
                <c:pt idx="139">
                  <c:v>160.30000000000004</c:v>
                </c:pt>
                <c:pt idx="140">
                  <c:v>178.70000000000002</c:v>
                </c:pt>
                <c:pt idx="141">
                  <c:v>113.00000000000001</c:v>
                </c:pt>
                <c:pt idx="142">
                  <c:v>111.90000000000002</c:v>
                </c:pt>
                <c:pt idx="143">
                  <c:v>116.40000000000002</c:v>
                </c:pt>
                <c:pt idx="144">
                  <c:v>113.50000000000001</c:v>
                </c:pt>
                <c:pt idx="145">
                  <c:v>119.70000000000002</c:v>
                </c:pt>
                <c:pt idx="146">
                  <c:v>115.70000000000002</c:v>
                </c:pt>
                <c:pt idx="147">
                  <c:v>110.50000000000001</c:v>
                </c:pt>
                <c:pt idx="148">
                  <c:v>112.10000000000002</c:v>
                </c:pt>
                <c:pt idx="149">
                  <c:v>110.10000000000002</c:v>
                </c:pt>
                <c:pt idx="150">
                  <c:v>100.00000000000001</c:v>
                </c:pt>
                <c:pt idx="151">
                  <c:v>84.300000000000011</c:v>
                </c:pt>
                <c:pt idx="152">
                  <c:v>75.300000000000011</c:v>
                </c:pt>
                <c:pt idx="153">
                  <c:v>64.445744680851064</c:v>
                </c:pt>
                <c:pt idx="154">
                  <c:v>51.172152261018894</c:v>
                </c:pt>
                <c:pt idx="155">
                  <c:v>54.686914285714288</c:v>
                </c:pt>
                <c:pt idx="156">
                  <c:v>55.218428571428575</c:v>
                </c:pt>
                <c:pt idx="157">
                  <c:v>58.93902857142858</c:v>
                </c:pt>
                <c:pt idx="158">
                  <c:v>53.62388571428572</c:v>
                </c:pt>
                <c:pt idx="159">
                  <c:v>52.67897142857143</c:v>
                </c:pt>
                <c:pt idx="160">
                  <c:v>53.62388571428572</c:v>
                </c:pt>
                <c:pt idx="161">
                  <c:v>59.706771428571436</c:v>
                </c:pt>
                <c:pt idx="162">
                  <c:v>67.384200000000007</c:v>
                </c:pt>
                <c:pt idx="163">
                  <c:v>70.986685714285727</c:v>
                </c:pt>
                <c:pt idx="164">
                  <c:v>70.986685714285727</c:v>
                </c:pt>
                <c:pt idx="165">
                  <c:v>72.285942857142857</c:v>
                </c:pt>
                <c:pt idx="166">
                  <c:v>82.502828571428566</c:v>
                </c:pt>
                <c:pt idx="167">
                  <c:v>101.28300000000002</c:v>
                </c:pt>
                <c:pt idx="168">
                  <c:v>109.6691142857143</c:v>
                </c:pt>
                <c:pt idx="169">
                  <c:v>104.23585714285716</c:v>
                </c:pt>
                <c:pt idx="170">
                  <c:v>108.31080000000001</c:v>
                </c:pt>
                <c:pt idx="171">
                  <c:v>120.65374285714287</c:v>
                </c:pt>
                <c:pt idx="172">
                  <c:v>117.34654285714286</c:v>
                </c:pt>
                <c:pt idx="173">
                  <c:v>115.75200000000001</c:v>
                </c:pt>
                <c:pt idx="174">
                  <c:v>115.98822857142858</c:v>
                </c:pt>
                <c:pt idx="175">
                  <c:v>116.28351428571429</c:v>
                </c:pt>
                <c:pt idx="176">
                  <c:v>120.12222857142858</c:v>
                </c:pt>
                <c:pt idx="177">
                  <c:v>123.54754285714287</c:v>
                </c:pt>
                <c:pt idx="178">
                  <c:v>125.26020000000001</c:v>
                </c:pt>
                <c:pt idx="179">
                  <c:v>125.55548571428572</c:v>
                </c:pt>
                <c:pt idx="180">
                  <c:v>125.55548571428572</c:v>
                </c:pt>
                <c:pt idx="181">
                  <c:v>125.55548571428572</c:v>
                </c:pt>
                <c:pt idx="182">
                  <c:v>125.55548571428572</c:v>
                </c:pt>
                <c:pt idx="183">
                  <c:v>125.14208571428573</c:v>
                </c:pt>
                <c:pt idx="184">
                  <c:v>125.3783142857143</c:v>
                </c:pt>
                <c:pt idx="185">
                  <c:v>127.91777142857144</c:v>
                </c:pt>
                <c:pt idx="186">
                  <c:v>132.16988571428573</c:v>
                </c:pt>
                <c:pt idx="187">
                  <c:v>132.4061142857143</c:v>
                </c:pt>
                <c:pt idx="188">
                  <c:v>120.98741721854306</c:v>
                </c:pt>
                <c:pt idx="189">
                  <c:v>118.91100939532643</c:v>
                </c:pt>
                <c:pt idx="190">
                  <c:v>140.50604229607254</c:v>
                </c:pt>
                <c:pt idx="191">
                  <c:v>127.97861818181819</c:v>
                </c:pt>
                <c:pt idx="192">
                  <c:v>94.17901023890785</c:v>
                </c:pt>
                <c:pt idx="193">
                  <c:v>63.821081688988862</c:v>
                </c:pt>
                <c:pt idx="194">
                  <c:v>46.453799924877927</c:v>
                </c:pt>
                <c:pt idx="195">
                  <c:v>50.199851383986633</c:v>
                </c:pt>
                <c:pt idx="196">
                  <c:v>67.657468879668059</c:v>
                </c:pt>
                <c:pt idx="197">
                  <c:v>60.725232226345916</c:v>
                </c:pt>
                <c:pt idx="198">
                  <c:v>50.116291023815954</c:v>
                </c:pt>
                <c:pt idx="199">
                  <c:v>35.51603985469643</c:v>
                </c:pt>
                <c:pt idx="200">
                  <c:v>20.343357211729504</c:v>
                </c:pt>
                <c:pt idx="201">
                  <c:v>29.587153313323846</c:v>
                </c:pt>
                <c:pt idx="202">
                  <c:v>36.915694510399447</c:v>
                </c:pt>
                <c:pt idx="203">
                  <c:v>33.15419680851064</c:v>
                </c:pt>
                <c:pt idx="204">
                  <c:v>39.90025768360843</c:v>
                </c:pt>
                <c:pt idx="205">
                  <c:v>45.082925274045181</c:v>
                </c:pt>
                <c:pt idx="206">
                  <c:v>37.759973606482369</c:v>
                </c:pt>
                <c:pt idx="207">
                  <c:v>31.846264376960768</c:v>
                </c:pt>
                <c:pt idx="208">
                  <c:v>33.8447451696725</c:v>
                </c:pt>
                <c:pt idx="209">
                  <c:v>40.697292403313227</c:v>
                </c:pt>
                <c:pt idx="210">
                  <c:v>41.926912049773073</c:v>
                </c:pt>
                <c:pt idx="211">
                  <c:v>44.500757556679105</c:v>
                </c:pt>
                <c:pt idx="212">
                  <c:v>47.145604150592185</c:v>
                </c:pt>
                <c:pt idx="213">
                  <c:v>45.717014497042634</c:v>
                </c:pt>
                <c:pt idx="214">
                  <c:v>43.349806400754304</c:v>
                </c:pt>
                <c:pt idx="215">
                  <c:v>44.888696415266153</c:v>
                </c:pt>
                <c:pt idx="216">
                  <c:v>45.544480273939783</c:v>
                </c:pt>
                <c:pt idx="217">
                  <c:v>53.271833842967069</c:v>
                </c:pt>
                <c:pt idx="218">
                  <c:v>58.470944085878912</c:v>
                </c:pt>
                <c:pt idx="219">
                  <c:v>62.218599899511752</c:v>
                </c:pt>
                <c:pt idx="220">
                  <c:v>65.743487204417846</c:v>
                </c:pt>
                <c:pt idx="221">
                  <c:v>68.411231528941684</c:v>
                </c:pt>
                <c:pt idx="222">
                  <c:v>58.435483590990195</c:v>
                </c:pt>
                <c:pt idx="223">
                  <c:v>52.533189739641664</c:v>
                </c:pt>
                <c:pt idx="224">
                  <c:v>49.589612655251983</c:v>
                </c:pt>
                <c:pt idx="225">
                  <c:v>48.97391145883028</c:v>
                </c:pt>
                <c:pt idx="226">
                  <c:v>37.715155045291773</c:v>
                </c:pt>
                <c:pt idx="227">
                  <c:v>34.26561556022282</c:v>
                </c:pt>
                <c:pt idx="228">
                  <c:v>30.103834850771708</c:v>
                </c:pt>
                <c:pt idx="229">
                  <c:v>24.608508936170217</c:v>
                </c:pt>
                <c:pt idx="230">
                  <c:v>20.838032278152568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87424"/>
        <c:axId val="44889216"/>
      </c:lineChart>
      <c:catAx>
        <c:axId val="448874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44889216"/>
        <c:crossesAt val="0"/>
        <c:auto val="1"/>
        <c:lblAlgn val="ctr"/>
        <c:lblOffset val="100"/>
        <c:tickLblSkip val="10"/>
        <c:tickMarkSkip val="5"/>
        <c:noMultiLvlLbl val="0"/>
      </c:catAx>
      <c:valAx>
        <c:axId val="44889216"/>
        <c:scaling>
          <c:logBase val="10"/>
          <c:orientation val="minMax"/>
          <c:max val="100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/>
        <c:numFmt formatCode="#,##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4488742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284697508896793E-2"/>
          <c:y val="3.487966341733869E-2"/>
          <c:w val="0.91814946619217075"/>
          <c:h val="0.85517258915779248"/>
        </c:manualLayout>
      </c:layout>
      <c:lineChart>
        <c:grouping val="standard"/>
        <c:varyColors val="0"/>
        <c:ser>
          <c:idx val="1"/>
          <c:order val="0"/>
          <c:tx>
            <c:strRef>
              <c:f>DATALRprices!$W$17</c:f>
              <c:strCache>
                <c:ptCount val="1"/>
                <c:pt idx="0">
                  <c:v>UKGoldWaveDetrended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'[1]DATAUSLR '!$A$18:$A$248</c:f>
              <c:numCache>
                <c:formatCode>General</c:formatCode>
                <c:ptCount val="231"/>
                <c:pt idx="0">
                  <c:v>1780</c:v>
                </c:pt>
                <c:pt idx="1">
                  <c:v>1781</c:v>
                </c:pt>
                <c:pt idx="2">
                  <c:v>1782</c:v>
                </c:pt>
                <c:pt idx="3">
                  <c:v>1783</c:v>
                </c:pt>
                <c:pt idx="4">
                  <c:v>1784</c:v>
                </c:pt>
                <c:pt idx="5">
                  <c:v>1785</c:v>
                </c:pt>
                <c:pt idx="6">
                  <c:v>1786</c:v>
                </c:pt>
                <c:pt idx="7">
                  <c:v>1787</c:v>
                </c:pt>
                <c:pt idx="8">
                  <c:v>1788</c:v>
                </c:pt>
                <c:pt idx="9">
                  <c:v>1789</c:v>
                </c:pt>
                <c:pt idx="10">
                  <c:v>1790</c:v>
                </c:pt>
                <c:pt idx="11">
                  <c:v>1791</c:v>
                </c:pt>
                <c:pt idx="12">
                  <c:v>1792</c:v>
                </c:pt>
                <c:pt idx="13">
                  <c:v>1793</c:v>
                </c:pt>
                <c:pt idx="14">
                  <c:v>1794</c:v>
                </c:pt>
                <c:pt idx="15">
                  <c:v>1795</c:v>
                </c:pt>
                <c:pt idx="16">
                  <c:v>1796</c:v>
                </c:pt>
                <c:pt idx="17">
                  <c:v>1797</c:v>
                </c:pt>
                <c:pt idx="18">
                  <c:v>1798</c:v>
                </c:pt>
                <c:pt idx="19">
                  <c:v>1799</c:v>
                </c:pt>
                <c:pt idx="20">
                  <c:v>1800</c:v>
                </c:pt>
                <c:pt idx="21">
                  <c:v>1801</c:v>
                </c:pt>
                <c:pt idx="22">
                  <c:v>1802</c:v>
                </c:pt>
                <c:pt idx="23">
                  <c:v>1803</c:v>
                </c:pt>
                <c:pt idx="24">
                  <c:v>1804</c:v>
                </c:pt>
                <c:pt idx="25">
                  <c:v>1805</c:v>
                </c:pt>
                <c:pt idx="26">
                  <c:v>1806</c:v>
                </c:pt>
                <c:pt idx="27">
                  <c:v>1807</c:v>
                </c:pt>
                <c:pt idx="28">
                  <c:v>1808</c:v>
                </c:pt>
                <c:pt idx="29">
                  <c:v>1809</c:v>
                </c:pt>
                <c:pt idx="30">
                  <c:v>1810</c:v>
                </c:pt>
                <c:pt idx="31">
                  <c:v>1811</c:v>
                </c:pt>
                <c:pt idx="32">
                  <c:v>1812</c:v>
                </c:pt>
                <c:pt idx="33">
                  <c:v>1813</c:v>
                </c:pt>
                <c:pt idx="34">
                  <c:v>1814</c:v>
                </c:pt>
                <c:pt idx="35">
                  <c:v>1815</c:v>
                </c:pt>
                <c:pt idx="36">
                  <c:v>1816</c:v>
                </c:pt>
                <c:pt idx="37">
                  <c:v>1817</c:v>
                </c:pt>
                <c:pt idx="38">
                  <c:v>1818</c:v>
                </c:pt>
                <c:pt idx="39">
                  <c:v>1819</c:v>
                </c:pt>
                <c:pt idx="40">
                  <c:v>1820</c:v>
                </c:pt>
                <c:pt idx="41">
                  <c:v>1821</c:v>
                </c:pt>
                <c:pt idx="42">
                  <c:v>1822</c:v>
                </c:pt>
                <c:pt idx="43">
                  <c:v>1823</c:v>
                </c:pt>
                <c:pt idx="44">
                  <c:v>1824</c:v>
                </c:pt>
                <c:pt idx="45">
                  <c:v>1825</c:v>
                </c:pt>
                <c:pt idx="46">
                  <c:v>1826</c:v>
                </c:pt>
                <c:pt idx="47">
                  <c:v>1827</c:v>
                </c:pt>
                <c:pt idx="48">
                  <c:v>1828</c:v>
                </c:pt>
                <c:pt idx="49">
                  <c:v>1829</c:v>
                </c:pt>
                <c:pt idx="50">
                  <c:v>1830</c:v>
                </c:pt>
                <c:pt idx="51">
                  <c:v>1831</c:v>
                </c:pt>
                <c:pt idx="52">
                  <c:v>1832</c:v>
                </c:pt>
                <c:pt idx="53">
                  <c:v>1833</c:v>
                </c:pt>
                <c:pt idx="54">
                  <c:v>1834</c:v>
                </c:pt>
                <c:pt idx="55">
                  <c:v>1835</c:v>
                </c:pt>
                <c:pt idx="56">
                  <c:v>1836</c:v>
                </c:pt>
                <c:pt idx="57">
                  <c:v>1837</c:v>
                </c:pt>
                <c:pt idx="58">
                  <c:v>1838</c:v>
                </c:pt>
                <c:pt idx="59">
                  <c:v>1839</c:v>
                </c:pt>
                <c:pt idx="60">
                  <c:v>1840</c:v>
                </c:pt>
                <c:pt idx="61">
                  <c:v>1841</c:v>
                </c:pt>
                <c:pt idx="62">
                  <c:v>1842</c:v>
                </c:pt>
                <c:pt idx="63">
                  <c:v>1843</c:v>
                </c:pt>
                <c:pt idx="64">
                  <c:v>1844</c:v>
                </c:pt>
                <c:pt idx="65">
                  <c:v>1845</c:v>
                </c:pt>
                <c:pt idx="66">
                  <c:v>1846</c:v>
                </c:pt>
                <c:pt idx="67">
                  <c:v>1847</c:v>
                </c:pt>
                <c:pt idx="68">
                  <c:v>1848</c:v>
                </c:pt>
                <c:pt idx="69">
                  <c:v>1849</c:v>
                </c:pt>
                <c:pt idx="70">
                  <c:v>1850</c:v>
                </c:pt>
                <c:pt idx="71">
                  <c:v>1851</c:v>
                </c:pt>
                <c:pt idx="72">
                  <c:v>1852</c:v>
                </c:pt>
                <c:pt idx="73">
                  <c:v>1853</c:v>
                </c:pt>
                <c:pt idx="74">
                  <c:v>1854</c:v>
                </c:pt>
                <c:pt idx="75">
                  <c:v>1855</c:v>
                </c:pt>
                <c:pt idx="76">
                  <c:v>1856</c:v>
                </c:pt>
                <c:pt idx="77">
                  <c:v>1857</c:v>
                </c:pt>
                <c:pt idx="78">
                  <c:v>1858</c:v>
                </c:pt>
                <c:pt idx="79">
                  <c:v>1859</c:v>
                </c:pt>
                <c:pt idx="80">
                  <c:v>1860</c:v>
                </c:pt>
                <c:pt idx="81">
                  <c:v>1861</c:v>
                </c:pt>
                <c:pt idx="82">
                  <c:v>1862</c:v>
                </c:pt>
                <c:pt idx="83">
                  <c:v>1863</c:v>
                </c:pt>
                <c:pt idx="84">
                  <c:v>1864</c:v>
                </c:pt>
                <c:pt idx="85">
                  <c:v>1865</c:v>
                </c:pt>
                <c:pt idx="86">
                  <c:v>1866</c:v>
                </c:pt>
                <c:pt idx="87">
                  <c:v>1867</c:v>
                </c:pt>
                <c:pt idx="88">
                  <c:v>1868</c:v>
                </c:pt>
                <c:pt idx="89">
                  <c:v>1869</c:v>
                </c:pt>
                <c:pt idx="90">
                  <c:v>1870</c:v>
                </c:pt>
                <c:pt idx="91">
                  <c:v>1871</c:v>
                </c:pt>
                <c:pt idx="92">
                  <c:v>1872</c:v>
                </c:pt>
                <c:pt idx="93">
                  <c:v>1873</c:v>
                </c:pt>
                <c:pt idx="94">
                  <c:v>1874</c:v>
                </c:pt>
                <c:pt idx="95">
                  <c:v>1875</c:v>
                </c:pt>
                <c:pt idx="96">
                  <c:v>1876</c:v>
                </c:pt>
                <c:pt idx="97">
                  <c:v>1877</c:v>
                </c:pt>
                <c:pt idx="98">
                  <c:v>1878</c:v>
                </c:pt>
                <c:pt idx="99">
                  <c:v>1879</c:v>
                </c:pt>
                <c:pt idx="100">
                  <c:v>1880</c:v>
                </c:pt>
                <c:pt idx="101">
                  <c:v>1881</c:v>
                </c:pt>
                <c:pt idx="102">
                  <c:v>1882</c:v>
                </c:pt>
                <c:pt idx="103">
                  <c:v>1883</c:v>
                </c:pt>
                <c:pt idx="104">
                  <c:v>1884</c:v>
                </c:pt>
                <c:pt idx="105">
                  <c:v>1885</c:v>
                </c:pt>
                <c:pt idx="106">
                  <c:v>1886</c:v>
                </c:pt>
                <c:pt idx="107">
                  <c:v>1887</c:v>
                </c:pt>
                <c:pt idx="108">
                  <c:v>1888</c:v>
                </c:pt>
                <c:pt idx="109">
                  <c:v>1889</c:v>
                </c:pt>
                <c:pt idx="110">
                  <c:v>1890</c:v>
                </c:pt>
                <c:pt idx="111">
                  <c:v>1891</c:v>
                </c:pt>
                <c:pt idx="112">
                  <c:v>1892</c:v>
                </c:pt>
                <c:pt idx="113">
                  <c:v>1893</c:v>
                </c:pt>
                <c:pt idx="114">
                  <c:v>1894</c:v>
                </c:pt>
                <c:pt idx="115">
                  <c:v>1895</c:v>
                </c:pt>
                <c:pt idx="116">
                  <c:v>1896</c:v>
                </c:pt>
                <c:pt idx="117">
                  <c:v>1897</c:v>
                </c:pt>
                <c:pt idx="118">
                  <c:v>1898</c:v>
                </c:pt>
                <c:pt idx="119">
                  <c:v>1899</c:v>
                </c:pt>
                <c:pt idx="120">
                  <c:v>1900</c:v>
                </c:pt>
                <c:pt idx="121">
                  <c:v>1901</c:v>
                </c:pt>
                <c:pt idx="122">
                  <c:v>1902</c:v>
                </c:pt>
                <c:pt idx="123">
                  <c:v>1903</c:v>
                </c:pt>
                <c:pt idx="124">
                  <c:v>1904</c:v>
                </c:pt>
                <c:pt idx="125">
                  <c:v>1905</c:v>
                </c:pt>
                <c:pt idx="126">
                  <c:v>1906</c:v>
                </c:pt>
                <c:pt idx="127">
                  <c:v>1907</c:v>
                </c:pt>
                <c:pt idx="128">
                  <c:v>1908</c:v>
                </c:pt>
                <c:pt idx="129">
                  <c:v>1909</c:v>
                </c:pt>
                <c:pt idx="130">
                  <c:v>1910</c:v>
                </c:pt>
                <c:pt idx="131">
                  <c:v>1911</c:v>
                </c:pt>
                <c:pt idx="132">
                  <c:v>1912</c:v>
                </c:pt>
                <c:pt idx="133">
                  <c:v>1913</c:v>
                </c:pt>
                <c:pt idx="134">
                  <c:v>1914</c:v>
                </c:pt>
                <c:pt idx="135">
                  <c:v>1915</c:v>
                </c:pt>
                <c:pt idx="136">
                  <c:v>1916</c:v>
                </c:pt>
                <c:pt idx="137">
                  <c:v>1917</c:v>
                </c:pt>
                <c:pt idx="138">
                  <c:v>1918</c:v>
                </c:pt>
                <c:pt idx="139">
                  <c:v>1919</c:v>
                </c:pt>
                <c:pt idx="140">
                  <c:v>1920</c:v>
                </c:pt>
                <c:pt idx="141">
                  <c:v>1921</c:v>
                </c:pt>
                <c:pt idx="142">
                  <c:v>1922</c:v>
                </c:pt>
                <c:pt idx="143">
                  <c:v>1923</c:v>
                </c:pt>
                <c:pt idx="144">
                  <c:v>1924</c:v>
                </c:pt>
                <c:pt idx="145">
                  <c:v>1925</c:v>
                </c:pt>
                <c:pt idx="146">
                  <c:v>1926</c:v>
                </c:pt>
                <c:pt idx="147">
                  <c:v>1927</c:v>
                </c:pt>
                <c:pt idx="148">
                  <c:v>1928</c:v>
                </c:pt>
                <c:pt idx="149">
                  <c:v>1929</c:v>
                </c:pt>
                <c:pt idx="150">
                  <c:v>1930</c:v>
                </c:pt>
                <c:pt idx="151">
                  <c:v>1931</c:v>
                </c:pt>
                <c:pt idx="152">
                  <c:v>1932</c:v>
                </c:pt>
                <c:pt idx="153">
                  <c:v>1933</c:v>
                </c:pt>
                <c:pt idx="154">
                  <c:v>1934</c:v>
                </c:pt>
                <c:pt idx="155">
                  <c:v>1935</c:v>
                </c:pt>
                <c:pt idx="156">
                  <c:v>1936</c:v>
                </c:pt>
                <c:pt idx="157">
                  <c:v>1937</c:v>
                </c:pt>
                <c:pt idx="158">
                  <c:v>1938</c:v>
                </c:pt>
                <c:pt idx="159">
                  <c:v>1939</c:v>
                </c:pt>
                <c:pt idx="160">
                  <c:v>1940</c:v>
                </c:pt>
                <c:pt idx="161">
                  <c:v>1941</c:v>
                </c:pt>
                <c:pt idx="162">
                  <c:v>1942</c:v>
                </c:pt>
                <c:pt idx="163">
                  <c:v>1943</c:v>
                </c:pt>
                <c:pt idx="164">
                  <c:v>1944</c:v>
                </c:pt>
                <c:pt idx="165">
                  <c:v>1945</c:v>
                </c:pt>
                <c:pt idx="166">
                  <c:v>1946</c:v>
                </c:pt>
                <c:pt idx="167">
                  <c:v>1947</c:v>
                </c:pt>
                <c:pt idx="168">
                  <c:v>1948</c:v>
                </c:pt>
                <c:pt idx="169">
                  <c:v>1949</c:v>
                </c:pt>
                <c:pt idx="170">
                  <c:v>1950</c:v>
                </c:pt>
                <c:pt idx="171">
                  <c:v>1951</c:v>
                </c:pt>
                <c:pt idx="172">
                  <c:v>1952</c:v>
                </c:pt>
                <c:pt idx="173">
                  <c:v>1953</c:v>
                </c:pt>
                <c:pt idx="174">
                  <c:v>1954</c:v>
                </c:pt>
                <c:pt idx="175">
                  <c:v>1955</c:v>
                </c:pt>
                <c:pt idx="176">
                  <c:v>1956</c:v>
                </c:pt>
                <c:pt idx="177">
                  <c:v>1957</c:v>
                </c:pt>
                <c:pt idx="178">
                  <c:v>1958</c:v>
                </c:pt>
                <c:pt idx="179">
                  <c:v>1959</c:v>
                </c:pt>
                <c:pt idx="180">
                  <c:v>1960</c:v>
                </c:pt>
                <c:pt idx="181">
                  <c:v>1961</c:v>
                </c:pt>
                <c:pt idx="182">
                  <c:v>1962</c:v>
                </c:pt>
                <c:pt idx="183">
                  <c:v>1963</c:v>
                </c:pt>
                <c:pt idx="184">
                  <c:v>1964</c:v>
                </c:pt>
                <c:pt idx="185">
                  <c:v>1965</c:v>
                </c:pt>
                <c:pt idx="186">
                  <c:v>1966</c:v>
                </c:pt>
                <c:pt idx="187">
                  <c:v>1967</c:v>
                </c:pt>
                <c:pt idx="188">
                  <c:v>1968</c:v>
                </c:pt>
                <c:pt idx="189">
                  <c:v>1969</c:v>
                </c:pt>
                <c:pt idx="190">
                  <c:v>1970</c:v>
                </c:pt>
                <c:pt idx="191">
                  <c:v>1971</c:v>
                </c:pt>
                <c:pt idx="192">
                  <c:v>1972</c:v>
                </c:pt>
                <c:pt idx="193">
                  <c:v>1973</c:v>
                </c:pt>
                <c:pt idx="194">
                  <c:v>1974</c:v>
                </c:pt>
                <c:pt idx="195">
                  <c:v>1975</c:v>
                </c:pt>
                <c:pt idx="196">
                  <c:v>1976</c:v>
                </c:pt>
                <c:pt idx="197">
                  <c:v>1977</c:v>
                </c:pt>
                <c:pt idx="198">
                  <c:v>1978</c:v>
                </c:pt>
                <c:pt idx="199">
                  <c:v>1979</c:v>
                </c:pt>
                <c:pt idx="200">
                  <c:v>1980</c:v>
                </c:pt>
                <c:pt idx="201">
                  <c:v>1981</c:v>
                </c:pt>
                <c:pt idx="202">
                  <c:v>1982</c:v>
                </c:pt>
                <c:pt idx="203">
                  <c:v>1983</c:v>
                </c:pt>
                <c:pt idx="204">
                  <c:v>1984</c:v>
                </c:pt>
                <c:pt idx="205">
                  <c:v>1985</c:v>
                </c:pt>
                <c:pt idx="206">
                  <c:v>1986</c:v>
                </c:pt>
                <c:pt idx="207">
                  <c:v>1987</c:v>
                </c:pt>
                <c:pt idx="208">
                  <c:v>1988</c:v>
                </c:pt>
                <c:pt idx="209">
                  <c:v>1989</c:v>
                </c:pt>
                <c:pt idx="210">
                  <c:v>1990</c:v>
                </c:pt>
                <c:pt idx="211">
                  <c:v>1991</c:v>
                </c:pt>
                <c:pt idx="212">
                  <c:v>1992</c:v>
                </c:pt>
                <c:pt idx="213">
                  <c:v>1993</c:v>
                </c:pt>
                <c:pt idx="214">
                  <c:v>1994</c:v>
                </c:pt>
                <c:pt idx="215">
                  <c:v>1995</c:v>
                </c:pt>
                <c:pt idx="216">
                  <c:v>1996</c:v>
                </c:pt>
                <c:pt idx="217">
                  <c:v>1997</c:v>
                </c:pt>
                <c:pt idx="218">
                  <c:v>1998</c:v>
                </c:pt>
                <c:pt idx="219">
                  <c:v>1999</c:v>
                </c:pt>
                <c:pt idx="220">
                  <c:v>2000</c:v>
                </c:pt>
                <c:pt idx="221">
                  <c:v>2001</c:v>
                </c:pt>
                <c:pt idx="222">
                  <c:v>2002</c:v>
                </c:pt>
                <c:pt idx="223">
                  <c:v>2003</c:v>
                </c:pt>
                <c:pt idx="224">
                  <c:v>2004</c:v>
                </c:pt>
                <c:pt idx="225">
                  <c:v>2005</c:v>
                </c:pt>
                <c:pt idx="226">
                  <c:v>2006</c:v>
                </c:pt>
                <c:pt idx="227">
                  <c:v>2007</c:v>
                </c:pt>
                <c:pt idx="228">
                  <c:v>2008</c:v>
                </c:pt>
                <c:pt idx="229">
                  <c:v>2009</c:v>
                </c:pt>
                <c:pt idx="230">
                  <c:v>2010</c:v>
                </c:pt>
              </c:numCache>
            </c:numRef>
          </c:cat>
          <c:val>
            <c:numRef>
              <c:f>DATALRprices!$W$18:$W$248</c:f>
              <c:numCache>
                <c:formatCode>0.00</c:formatCode>
                <c:ptCount val="231"/>
                <c:pt idx="0">
                  <c:v>-8.3010437546170497</c:v>
                </c:pt>
                <c:pt idx="1">
                  <c:v>-8.7173852871185407</c:v>
                </c:pt>
                <c:pt idx="2">
                  <c:v>-2.3042849803747898</c:v>
                </c:pt>
                <c:pt idx="3">
                  <c:v>-6.6637673734385796</c:v>
                </c:pt>
                <c:pt idx="4">
                  <c:v>-13.717837844839799</c:v>
                </c:pt>
                <c:pt idx="5">
                  <c:v>-15.998482612585001</c:v>
                </c:pt>
                <c:pt idx="6">
                  <c:v>-15.6676687341582</c:v>
                </c:pt>
                <c:pt idx="7">
                  <c:v>-11.667344106520099</c:v>
                </c:pt>
                <c:pt idx="8">
                  <c:v>-18.129437466108399</c:v>
                </c:pt>
                <c:pt idx="9">
                  <c:v>-13.265858388837801</c:v>
                </c:pt>
                <c:pt idx="10">
                  <c:v>-14.5584972901001</c:v>
                </c:pt>
                <c:pt idx="11">
                  <c:v>-15.1792254247638</c:v>
                </c:pt>
                <c:pt idx="12">
                  <c:v>-17.8398948871748</c:v>
                </c:pt>
                <c:pt idx="13">
                  <c:v>-9.48233861115569</c:v>
                </c:pt>
                <c:pt idx="14">
                  <c:v>-8.2883703700061204</c:v>
                </c:pt>
                <c:pt idx="15">
                  <c:v>8.7502152234972694</c:v>
                </c:pt>
                <c:pt idx="16">
                  <c:v>9.3616427171008603</c:v>
                </c:pt>
                <c:pt idx="17">
                  <c:v>-2.0158441809259702</c:v>
                </c:pt>
                <c:pt idx="18">
                  <c:v>-1.2239826017908</c:v>
                </c:pt>
                <c:pt idx="19">
                  <c:v>16.585509483821699</c:v>
                </c:pt>
                <c:pt idx="20">
                  <c:v>43.930933265750198</c:v>
                </c:pt>
                <c:pt idx="21">
                  <c:v>42.490609094355897</c:v>
                </c:pt>
                <c:pt idx="22">
                  <c:v>10.622876480523299</c:v>
                </c:pt>
                <c:pt idx="23">
                  <c:v>10.896094095660001</c:v>
                </c:pt>
                <c:pt idx="24">
                  <c:v>10.8286397716964</c:v>
                </c:pt>
                <c:pt idx="25">
                  <c:v>23.108910501086001</c:v>
                </c:pt>
                <c:pt idx="26">
                  <c:v>19.2753224368054</c:v>
                </c:pt>
                <c:pt idx="27">
                  <c:v>14.186310892353999</c:v>
                </c:pt>
                <c:pt idx="28">
                  <c:v>26.1703303417545</c:v>
                </c:pt>
                <c:pt idx="29">
                  <c:v>34.705854419552402</c:v>
                </c:pt>
                <c:pt idx="30">
                  <c:v>31.481375920816198</c:v>
                </c:pt>
                <c:pt idx="31">
                  <c:v>8.0854068011375499</c:v>
                </c:pt>
                <c:pt idx="32">
                  <c:v>16.646478176631099</c:v>
                </c:pt>
                <c:pt idx="33">
                  <c:v>14.3131403239344</c:v>
                </c:pt>
                <c:pt idx="34">
                  <c:v>15.2239626802081</c:v>
                </c:pt>
                <c:pt idx="35">
                  <c:v>-0.50246615686407103</c:v>
                </c:pt>
                <c:pt idx="36">
                  <c:v>5.1024615709244898</c:v>
                </c:pt>
                <c:pt idx="37">
                  <c:v>20.747372782303401</c:v>
                </c:pt>
                <c:pt idx="38">
                  <c:v>24.160913556525401</c:v>
                </c:pt>
                <c:pt idx="39">
                  <c:v>15.9917491333663</c:v>
                </c:pt>
                <c:pt idx="40">
                  <c:v>6.1185639131246798</c:v>
                </c:pt>
                <c:pt idx="41">
                  <c:v>-10.5199385433777</c:v>
                </c:pt>
                <c:pt idx="42">
                  <c:v>-22.615035514795998</c:v>
                </c:pt>
                <c:pt idx="43">
                  <c:v>-11.527985119262601</c:v>
                </c:pt>
                <c:pt idx="44">
                  <c:v>-6.3800263143865603</c:v>
                </c:pt>
                <c:pt idx="45">
                  <c:v>5.8376211027458096</c:v>
                </c:pt>
                <c:pt idx="46">
                  <c:v>-7.5762435044286596</c:v>
                </c:pt>
                <c:pt idx="47">
                  <c:v>-7.7928016119501597</c:v>
                </c:pt>
                <c:pt idx="48">
                  <c:v>-10.513215535335799</c:v>
                </c:pt>
                <c:pt idx="49">
                  <c:v>-10.848628429579801</c:v>
                </c:pt>
                <c:pt idx="50">
                  <c:v>-11.720164289153301</c:v>
                </c:pt>
                <c:pt idx="51">
                  <c:v>-10.6189279480043</c:v>
                </c:pt>
                <c:pt idx="52">
                  <c:v>-13.9360050795581</c:v>
                </c:pt>
                <c:pt idx="53">
                  <c:v>-16.472462196716599</c:v>
                </c:pt>
                <c:pt idx="54">
                  <c:v>-18.209346651859001</c:v>
                </c:pt>
                <c:pt idx="55">
                  <c:v>-19.727686636841199</c:v>
                </c:pt>
                <c:pt idx="56">
                  <c:v>-7.6184911829964701</c:v>
                </c:pt>
                <c:pt idx="57">
                  <c:v>-7.92275016113474</c:v>
                </c:pt>
                <c:pt idx="58">
                  <c:v>-3.51143428154296</c:v>
                </c:pt>
                <c:pt idx="59">
                  <c:v>3.8445049060147398</c:v>
                </c:pt>
                <c:pt idx="60">
                  <c:v>2.7141350122974202</c:v>
                </c:pt>
                <c:pt idx="61">
                  <c:v>-1.88345719141284</c:v>
                </c:pt>
                <c:pt idx="62">
                  <c:v>-10.889165773311101</c:v>
                </c:pt>
                <c:pt idx="63">
                  <c:v>-20.103865641069198</c:v>
                </c:pt>
                <c:pt idx="64">
                  <c:v>-17.9784125418361</c:v>
                </c:pt>
                <c:pt idx="65">
                  <c:v>-14.9636430622379</c:v>
                </c:pt>
                <c:pt idx="66">
                  <c:v>-11.440374628377199</c:v>
                </c:pt>
                <c:pt idx="67">
                  <c:v>0.90059449416590498</c:v>
                </c:pt>
                <c:pt idx="68">
                  <c:v>-14.731514799665399</c:v>
                </c:pt>
                <c:pt idx="69">
                  <c:v>-22.747462454404999</c:v>
                </c:pt>
                <c:pt idx="70">
                  <c:v>-22.547989254063701</c:v>
                </c:pt>
                <c:pt idx="71">
                  <c:v>-24.063816822129301</c:v>
                </c:pt>
                <c:pt idx="72">
                  <c:v>-20.365647621566701</c:v>
                </c:pt>
                <c:pt idx="73">
                  <c:v>-2.2441649548177498</c:v>
                </c:pt>
                <c:pt idx="74">
                  <c:v>5.6499670361989303</c:v>
                </c:pt>
                <c:pt idx="75">
                  <c:v>5.1161033700874503</c:v>
                </c:pt>
                <c:pt idx="76">
                  <c:v>5.6736182259751002</c:v>
                </c:pt>
                <c:pt idx="77">
                  <c:v>10.3319049435121</c:v>
                </c:pt>
                <c:pt idx="78">
                  <c:v>-3.56962397712832</c:v>
                </c:pt>
                <c:pt idx="79">
                  <c:v>6.8463124750252305E-2</c:v>
                </c:pt>
                <c:pt idx="80">
                  <c:v>5.7956170703670002</c:v>
                </c:pt>
                <c:pt idx="81">
                  <c:v>5.2013078414642901</c:v>
                </c:pt>
                <c:pt idx="82">
                  <c:v>8.8050245803073999</c:v>
                </c:pt>
                <c:pt idx="83">
                  <c:v>11.3862755896848</c:v>
                </c:pt>
                <c:pt idx="84">
                  <c:v>13.8645883329076</c:v>
                </c:pt>
                <c:pt idx="85">
                  <c:v>10.2095094338104</c:v>
                </c:pt>
                <c:pt idx="86">
                  <c:v>11.7506046767506</c:v>
                </c:pt>
                <c:pt idx="87">
                  <c:v>10.0674590066084</c:v>
                </c:pt>
                <c:pt idx="88">
                  <c:v>9.4796765287872695</c:v>
                </c:pt>
                <c:pt idx="89">
                  <c:v>8.7768805092138003</c:v>
                </c:pt>
                <c:pt idx="90">
                  <c:v>7.1487133743373104</c:v>
                </c:pt>
                <c:pt idx="91">
                  <c:v>11.6248367111302</c:v>
                </c:pt>
                <c:pt idx="92">
                  <c:v>21.304931267088101</c:v>
                </c:pt>
                <c:pt idx="93">
                  <c:v>23.638696950229399</c:v>
                </c:pt>
                <c:pt idx="94">
                  <c:v>14.735852829095499</c:v>
                </c:pt>
                <c:pt idx="95">
                  <c:v>8.81613713275107</c:v>
                </c:pt>
                <c:pt idx="96">
                  <c:v>7.9993072507836196</c:v>
                </c:pt>
                <c:pt idx="97">
                  <c:v>7.2651397333035996</c:v>
                </c:pt>
                <c:pt idx="98">
                  <c:v>0.29343029094471301</c:v>
                </c:pt>
                <c:pt idx="99">
                  <c:v>-3.58600620513658</c:v>
                </c:pt>
                <c:pt idx="100">
                  <c:v>1.7366642767392899</c:v>
                </c:pt>
                <c:pt idx="101">
                  <c:v>-1.16870507122495</c:v>
                </c:pt>
                <c:pt idx="102">
                  <c:v>-2.00224189630379</c:v>
                </c:pt>
                <c:pt idx="103">
                  <c:v>-3.9440546852485898</c:v>
                </c:pt>
                <c:pt idx="104">
                  <c:v>-9.9242327642877193</c:v>
                </c:pt>
                <c:pt idx="105">
                  <c:v>-14.0028462991264</c:v>
                </c:pt>
                <c:pt idx="106">
                  <c:v>-17.009946294947099</c:v>
                </c:pt>
                <c:pt idx="107">
                  <c:v>-17.925564596409099</c:v>
                </c:pt>
                <c:pt idx="108">
                  <c:v>-15.7597138876488</c:v>
                </c:pt>
                <c:pt idx="109">
                  <c:v>-13.702387692279199</c:v>
                </c:pt>
                <c:pt idx="110">
                  <c:v>-13.6735603733906</c:v>
                </c:pt>
                <c:pt idx="111">
                  <c:v>-13.8431871335506</c:v>
                </c:pt>
                <c:pt idx="112">
                  <c:v>-17.951204014803199</c:v>
                </c:pt>
                <c:pt idx="113">
                  <c:v>-17.977527898669599</c:v>
                </c:pt>
                <c:pt idx="114">
                  <c:v>-23.072056506148101</c:v>
                </c:pt>
                <c:pt idx="115">
                  <c:v>-24.134668397713799</c:v>
                </c:pt>
                <c:pt idx="116">
                  <c:v>-25.3652229733189</c:v>
                </c:pt>
                <c:pt idx="117">
                  <c:v>-24.4635604723927</c:v>
                </c:pt>
                <c:pt idx="118">
                  <c:v>-22.479501973841199</c:v>
                </c:pt>
                <c:pt idx="119">
                  <c:v>-18.342849396047701</c:v>
                </c:pt>
                <c:pt idx="120">
                  <c:v>-11.463385496872201</c:v>
                </c:pt>
                <c:pt idx="121">
                  <c:v>-16.730873873651699</c:v>
                </c:pt>
                <c:pt idx="122">
                  <c:v>-17.8450589632006</c:v>
                </c:pt>
                <c:pt idx="123">
                  <c:v>-15.215666041809699</c:v>
                </c:pt>
                <c:pt idx="124">
                  <c:v>-17.3324012252472</c:v>
                </c:pt>
                <c:pt idx="125">
                  <c:v>-15.384951468758199</c:v>
                </c:pt>
                <c:pt idx="126">
                  <c:v>-10.612984567064499</c:v>
                </c:pt>
                <c:pt idx="127">
                  <c:v>-7.7761491543655303</c:v>
                </c:pt>
                <c:pt idx="128">
                  <c:v>-15.254074704337</c:v>
                </c:pt>
                <c:pt idx="129">
                  <c:v>-14.3663715301319</c:v>
                </c:pt>
                <c:pt idx="130">
                  <c:v>-10.5626307843803</c:v>
                </c:pt>
                <c:pt idx="131">
                  <c:v>-8.7824244591891691</c:v>
                </c:pt>
                <c:pt idx="132">
                  <c:v>-3.9953053861424102</c:v>
                </c:pt>
                <c:pt idx="133">
                  <c:v>-4.3408072363010897</c:v>
                </c:pt>
                <c:pt idx="134">
                  <c:v>-4.6984445202028304</c:v>
                </c:pt>
                <c:pt idx="135">
                  <c:v>18.682287412137001</c:v>
                </c:pt>
                <c:pt idx="136">
                  <c:v>47.271912371226897</c:v>
                </c:pt>
                <c:pt idx="137">
                  <c:v>91.290973328097905</c:v>
                </c:pt>
                <c:pt idx="138">
                  <c:v>104.32003241430399</c:v>
                </c:pt>
                <c:pt idx="139">
                  <c:v>106.139670921923</c:v>
                </c:pt>
                <c:pt idx="140">
                  <c:v>99.790489303553699</c:v>
                </c:pt>
                <c:pt idx="141">
                  <c:v>31.6331071723205</c:v>
                </c:pt>
                <c:pt idx="142">
                  <c:v>27.208163301869</c:v>
                </c:pt>
                <c:pt idx="143">
                  <c:v>29.146315626368601</c:v>
                </c:pt>
                <c:pt idx="144">
                  <c:v>33.228241240511601</c:v>
                </c:pt>
                <c:pt idx="145">
                  <c:v>42.454636399513099</c:v>
                </c:pt>
                <c:pt idx="146">
                  <c:v>32.3562165191113</c:v>
                </c:pt>
                <c:pt idx="147">
                  <c:v>27.793716175567599</c:v>
                </c:pt>
                <c:pt idx="148">
                  <c:v>25.227889105666399</c:v>
                </c:pt>
                <c:pt idx="149">
                  <c:v>19.8595082067148</c:v>
                </c:pt>
                <c:pt idx="150">
                  <c:v>0.58936553654302803</c:v>
                </c:pt>
                <c:pt idx="151">
                  <c:v>-21.311727686495701</c:v>
                </c:pt>
                <c:pt idx="152">
                  <c:v>-40.922941083524201</c:v>
                </c:pt>
                <c:pt idx="153">
                  <c:v>-45.383425115144199</c:v>
                </c:pt>
                <c:pt idx="154">
                  <c:v>-49.092311081432896</c:v>
                </c:pt>
                <c:pt idx="155">
                  <c:v>-49.988711121945101</c:v>
                </c:pt>
                <c:pt idx="156">
                  <c:v>-46.561718215711799</c:v>
                </c:pt>
                <c:pt idx="157">
                  <c:v>-39.170406181242001</c:v>
                </c:pt>
                <c:pt idx="158">
                  <c:v>-47.223829676521497</c:v>
                </c:pt>
                <c:pt idx="159">
                  <c:v>-49.221024199012597</c:v>
                </c:pt>
                <c:pt idx="160">
                  <c:v>-37.071006085654901</c:v>
                </c:pt>
                <c:pt idx="161">
                  <c:v>-30.482772512865001</c:v>
                </c:pt>
                <c:pt idx="162">
                  <c:v>-25.965301496536</c:v>
                </c:pt>
                <c:pt idx="163">
                  <c:v>-25.1275518920393</c:v>
                </c:pt>
                <c:pt idx="164">
                  <c:v>-23.178463394221399</c:v>
                </c:pt>
                <c:pt idx="165">
                  <c:v>-21.376956537407299</c:v>
                </c:pt>
                <c:pt idx="166">
                  <c:v>-24.4919326953985</c:v>
                </c:pt>
                <c:pt idx="167">
                  <c:v>-17.052274081473001</c:v>
                </c:pt>
                <c:pt idx="168">
                  <c:v>-4.5468437483871202</c:v>
                </c:pt>
                <c:pt idx="169">
                  <c:v>0.13551441162769601</c:v>
                </c:pt>
                <c:pt idx="170">
                  <c:v>-22.7740243331383</c:v>
                </c:pt>
                <c:pt idx="171">
                  <c:v>17.295734446128002</c:v>
                </c:pt>
                <c:pt idx="172">
                  <c:v>19.786004338763899</c:v>
                </c:pt>
                <c:pt idx="173">
                  <c:v>20.598018094628699</c:v>
                </c:pt>
                <c:pt idx="174">
                  <c:v>20.2330276241055</c:v>
                </c:pt>
                <c:pt idx="175">
                  <c:v>22.862303998099399</c:v>
                </c:pt>
                <c:pt idx="176">
                  <c:v>28.867137448039099</c:v>
                </c:pt>
                <c:pt idx="177">
                  <c:v>32.798837365876899</c:v>
                </c:pt>
                <c:pt idx="178">
                  <c:v>34.008732304086799</c:v>
                </c:pt>
                <c:pt idx="179">
                  <c:v>34.468169975667003</c:v>
                </c:pt>
                <c:pt idx="180">
                  <c:v>35.5685172541382</c:v>
                </c:pt>
                <c:pt idx="181">
                  <c:v>39.4111601735436</c:v>
                </c:pt>
                <c:pt idx="182">
                  <c:v>43.497503928450897</c:v>
                </c:pt>
                <c:pt idx="183">
                  <c:v>45.108972873948701</c:v>
                </c:pt>
                <c:pt idx="184">
                  <c:v>49.7670105256515</c:v>
                </c:pt>
                <c:pt idx="185">
                  <c:v>57.623079559693203</c:v>
                </c:pt>
                <c:pt idx="186">
                  <c:v>61.618661812734203</c:v>
                </c:pt>
                <c:pt idx="187">
                  <c:v>61.425258281955202</c:v>
                </c:pt>
                <c:pt idx="188">
                  <c:v>31.9343891250616</c:v>
                </c:pt>
                <c:pt idx="189">
                  <c:v>29.157593660280799</c:v>
                </c:pt>
                <c:pt idx="190">
                  <c:v>61.026430366364799</c:v>
                </c:pt>
                <c:pt idx="191">
                  <c:v>57.382476882586801</c:v>
                </c:pt>
                <c:pt idx="192">
                  <c:v>17.6673300087432</c:v>
                </c:pt>
                <c:pt idx="193">
                  <c:v>-28.317394294845101</c:v>
                </c:pt>
                <c:pt idx="194">
                  <c:v>-49.800060907336302</c:v>
                </c:pt>
                <c:pt idx="195">
                  <c:v>-39.879015547363402</c:v>
                </c:pt>
                <c:pt idx="196">
                  <c:v>-28.682584773037899</c:v>
                </c:pt>
                <c:pt idx="197">
                  <c:v>-30.1790759819478</c:v>
                </c:pt>
                <c:pt idx="198">
                  <c:v>-35.276777411157397</c:v>
                </c:pt>
                <c:pt idx="199">
                  <c:v>-50.113958137210098</c:v>
                </c:pt>
                <c:pt idx="200">
                  <c:v>-68.9188680761238</c:v>
                </c:pt>
                <c:pt idx="201">
                  <c:v>-59.209737983394703</c:v>
                </c:pt>
                <c:pt idx="202">
                  <c:v>-52.204779453995798</c:v>
                </c:pt>
                <c:pt idx="203">
                  <c:v>-60.212184922377197</c:v>
                </c:pt>
                <c:pt idx="204">
                  <c:v>-55.640127662465098</c:v>
                </c:pt>
                <c:pt idx="205">
                  <c:v>-47.216761787664403</c:v>
                </c:pt>
                <c:pt idx="206">
                  <c:v>-46.430222250855202</c:v>
                </c:pt>
                <c:pt idx="207">
                  <c:v>-47.538624844396097</c:v>
                </c:pt>
                <c:pt idx="208">
                  <c:v>-39.140066200121296</c:v>
                </c:pt>
                <c:pt idx="209">
                  <c:v>-31.932623789342902</c:v>
                </c:pt>
                <c:pt idx="210">
                  <c:v>-21.664355922849602</c:v>
                </c:pt>
                <c:pt idx="211">
                  <c:v>-12.553301750907201</c:v>
                </c:pt>
                <c:pt idx="212">
                  <c:v>-4.28748126325877</c:v>
                </c:pt>
                <c:pt idx="213">
                  <c:v>-15.364895289123799</c:v>
                </c:pt>
                <c:pt idx="214">
                  <c:v>-14.8335254971994</c:v>
                </c:pt>
                <c:pt idx="215">
                  <c:v>-7.8213343956590498</c:v>
                </c:pt>
                <c:pt idx="216">
                  <c:v>-5.4162653321543504</c:v>
                </c:pt>
                <c:pt idx="217">
                  <c:v>14.383757506189101</c:v>
                </c:pt>
                <c:pt idx="218">
                  <c:v>29.860829092764099</c:v>
                </c:pt>
                <c:pt idx="219">
                  <c:v>36.617063561491001</c:v>
                </c:pt>
                <c:pt idx="220">
                  <c:v>34.894594206810297</c:v>
                </c:pt>
                <c:pt idx="221">
                  <c:v>35.185573483685197</c:v>
                </c:pt>
                <c:pt idx="222">
                  <c:v>29.262173007605298</c:v>
                </c:pt>
                <c:pt idx="223">
                  <c:v>27.096583554579201</c:v>
                </c:pt>
                <c:pt idx="224">
                  <c:v>31.381015061140701</c:v>
                </c:pt>
                <c:pt idx="225">
                  <c:v>29.2076966243465</c:v>
                </c:pt>
                <c:pt idx="226">
                  <c:v>12.498876501776101</c:v>
                </c:pt>
                <c:pt idx="227">
                  <c:v>14.0168221115309</c:v>
                </c:pt>
                <c:pt idx="228">
                  <c:v>4.2338200322378698</c:v>
                </c:pt>
                <c:pt idx="229">
                  <c:v>-3.2978239969552301</c:v>
                </c:pt>
                <c:pt idx="230">
                  <c:v>-6.5657850763777796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DATALRprices!$V$17</c:f>
              <c:strCache>
                <c:ptCount val="1"/>
                <c:pt idx="0">
                  <c:v>USGoldWaveDetrended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'[1]DATAUSLR '!$A$18:$A$248</c:f>
              <c:numCache>
                <c:formatCode>General</c:formatCode>
                <c:ptCount val="231"/>
                <c:pt idx="0">
                  <c:v>1780</c:v>
                </c:pt>
                <c:pt idx="1">
                  <c:v>1781</c:v>
                </c:pt>
                <c:pt idx="2">
                  <c:v>1782</c:v>
                </c:pt>
                <c:pt idx="3">
                  <c:v>1783</c:v>
                </c:pt>
                <c:pt idx="4">
                  <c:v>1784</c:v>
                </c:pt>
                <c:pt idx="5">
                  <c:v>1785</c:v>
                </c:pt>
                <c:pt idx="6">
                  <c:v>1786</c:v>
                </c:pt>
                <c:pt idx="7">
                  <c:v>1787</c:v>
                </c:pt>
                <c:pt idx="8">
                  <c:v>1788</c:v>
                </c:pt>
                <c:pt idx="9">
                  <c:v>1789</c:v>
                </c:pt>
                <c:pt idx="10">
                  <c:v>1790</c:v>
                </c:pt>
                <c:pt idx="11">
                  <c:v>1791</c:v>
                </c:pt>
                <c:pt idx="12">
                  <c:v>1792</c:v>
                </c:pt>
                <c:pt idx="13">
                  <c:v>1793</c:v>
                </c:pt>
                <c:pt idx="14">
                  <c:v>1794</c:v>
                </c:pt>
                <c:pt idx="15">
                  <c:v>1795</c:v>
                </c:pt>
                <c:pt idx="16">
                  <c:v>1796</c:v>
                </c:pt>
                <c:pt idx="17">
                  <c:v>1797</c:v>
                </c:pt>
                <c:pt idx="18">
                  <c:v>1798</c:v>
                </c:pt>
                <c:pt idx="19">
                  <c:v>1799</c:v>
                </c:pt>
                <c:pt idx="20">
                  <c:v>1800</c:v>
                </c:pt>
                <c:pt idx="21">
                  <c:v>1801</c:v>
                </c:pt>
                <c:pt idx="22">
                  <c:v>1802</c:v>
                </c:pt>
                <c:pt idx="23">
                  <c:v>1803</c:v>
                </c:pt>
                <c:pt idx="24">
                  <c:v>1804</c:v>
                </c:pt>
                <c:pt idx="25">
                  <c:v>1805</c:v>
                </c:pt>
                <c:pt idx="26">
                  <c:v>1806</c:v>
                </c:pt>
                <c:pt idx="27">
                  <c:v>1807</c:v>
                </c:pt>
                <c:pt idx="28">
                  <c:v>1808</c:v>
                </c:pt>
                <c:pt idx="29">
                  <c:v>1809</c:v>
                </c:pt>
                <c:pt idx="30">
                  <c:v>1810</c:v>
                </c:pt>
                <c:pt idx="31">
                  <c:v>1811</c:v>
                </c:pt>
                <c:pt idx="32">
                  <c:v>1812</c:v>
                </c:pt>
                <c:pt idx="33">
                  <c:v>1813</c:v>
                </c:pt>
                <c:pt idx="34">
                  <c:v>1814</c:v>
                </c:pt>
                <c:pt idx="35">
                  <c:v>1815</c:v>
                </c:pt>
                <c:pt idx="36">
                  <c:v>1816</c:v>
                </c:pt>
                <c:pt idx="37">
                  <c:v>1817</c:v>
                </c:pt>
                <c:pt idx="38">
                  <c:v>1818</c:v>
                </c:pt>
                <c:pt idx="39">
                  <c:v>1819</c:v>
                </c:pt>
                <c:pt idx="40">
                  <c:v>1820</c:v>
                </c:pt>
                <c:pt idx="41">
                  <c:v>1821</c:v>
                </c:pt>
                <c:pt idx="42">
                  <c:v>1822</c:v>
                </c:pt>
                <c:pt idx="43">
                  <c:v>1823</c:v>
                </c:pt>
                <c:pt idx="44">
                  <c:v>1824</c:v>
                </c:pt>
                <c:pt idx="45">
                  <c:v>1825</c:v>
                </c:pt>
                <c:pt idx="46">
                  <c:v>1826</c:v>
                </c:pt>
                <c:pt idx="47">
                  <c:v>1827</c:v>
                </c:pt>
                <c:pt idx="48">
                  <c:v>1828</c:v>
                </c:pt>
                <c:pt idx="49">
                  <c:v>1829</c:v>
                </c:pt>
                <c:pt idx="50">
                  <c:v>1830</c:v>
                </c:pt>
                <c:pt idx="51">
                  <c:v>1831</c:v>
                </c:pt>
                <c:pt idx="52">
                  <c:v>1832</c:v>
                </c:pt>
                <c:pt idx="53">
                  <c:v>1833</c:v>
                </c:pt>
                <c:pt idx="54">
                  <c:v>1834</c:v>
                </c:pt>
                <c:pt idx="55">
                  <c:v>1835</c:v>
                </c:pt>
                <c:pt idx="56">
                  <c:v>1836</c:v>
                </c:pt>
                <c:pt idx="57">
                  <c:v>1837</c:v>
                </c:pt>
                <c:pt idx="58">
                  <c:v>1838</c:v>
                </c:pt>
                <c:pt idx="59">
                  <c:v>1839</c:v>
                </c:pt>
                <c:pt idx="60">
                  <c:v>1840</c:v>
                </c:pt>
                <c:pt idx="61">
                  <c:v>1841</c:v>
                </c:pt>
                <c:pt idx="62">
                  <c:v>1842</c:v>
                </c:pt>
                <c:pt idx="63">
                  <c:v>1843</c:v>
                </c:pt>
                <c:pt idx="64">
                  <c:v>1844</c:v>
                </c:pt>
                <c:pt idx="65">
                  <c:v>1845</c:v>
                </c:pt>
                <c:pt idx="66">
                  <c:v>1846</c:v>
                </c:pt>
                <c:pt idx="67">
                  <c:v>1847</c:v>
                </c:pt>
                <c:pt idx="68">
                  <c:v>1848</c:v>
                </c:pt>
                <c:pt idx="69">
                  <c:v>1849</c:v>
                </c:pt>
                <c:pt idx="70">
                  <c:v>1850</c:v>
                </c:pt>
                <c:pt idx="71">
                  <c:v>1851</c:v>
                </c:pt>
                <c:pt idx="72">
                  <c:v>1852</c:v>
                </c:pt>
                <c:pt idx="73">
                  <c:v>1853</c:v>
                </c:pt>
                <c:pt idx="74">
                  <c:v>1854</c:v>
                </c:pt>
                <c:pt idx="75">
                  <c:v>1855</c:v>
                </c:pt>
                <c:pt idx="76">
                  <c:v>1856</c:v>
                </c:pt>
                <c:pt idx="77">
                  <c:v>1857</c:v>
                </c:pt>
                <c:pt idx="78">
                  <c:v>1858</c:v>
                </c:pt>
                <c:pt idx="79">
                  <c:v>1859</c:v>
                </c:pt>
                <c:pt idx="80">
                  <c:v>1860</c:v>
                </c:pt>
                <c:pt idx="81">
                  <c:v>1861</c:v>
                </c:pt>
                <c:pt idx="82">
                  <c:v>1862</c:v>
                </c:pt>
                <c:pt idx="83">
                  <c:v>1863</c:v>
                </c:pt>
                <c:pt idx="84">
                  <c:v>1864</c:v>
                </c:pt>
                <c:pt idx="85">
                  <c:v>1865</c:v>
                </c:pt>
                <c:pt idx="86">
                  <c:v>1866</c:v>
                </c:pt>
                <c:pt idx="87">
                  <c:v>1867</c:v>
                </c:pt>
                <c:pt idx="88">
                  <c:v>1868</c:v>
                </c:pt>
                <c:pt idx="89">
                  <c:v>1869</c:v>
                </c:pt>
                <c:pt idx="90">
                  <c:v>1870</c:v>
                </c:pt>
                <c:pt idx="91">
                  <c:v>1871</c:v>
                </c:pt>
                <c:pt idx="92">
                  <c:v>1872</c:v>
                </c:pt>
                <c:pt idx="93">
                  <c:v>1873</c:v>
                </c:pt>
                <c:pt idx="94">
                  <c:v>1874</c:v>
                </c:pt>
                <c:pt idx="95">
                  <c:v>1875</c:v>
                </c:pt>
                <c:pt idx="96">
                  <c:v>1876</c:v>
                </c:pt>
                <c:pt idx="97">
                  <c:v>1877</c:v>
                </c:pt>
                <c:pt idx="98">
                  <c:v>1878</c:v>
                </c:pt>
                <c:pt idx="99">
                  <c:v>1879</c:v>
                </c:pt>
                <c:pt idx="100">
                  <c:v>1880</c:v>
                </c:pt>
                <c:pt idx="101">
                  <c:v>1881</c:v>
                </c:pt>
                <c:pt idx="102">
                  <c:v>1882</c:v>
                </c:pt>
                <c:pt idx="103">
                  <c:v>1883</c:v>
                </c:pt>
                <c:pt idx="104">
                  <c:v>1884</c:v>
                </c:pt>
                <c:pt idx="105">
                  <c:v>1885</c:v>
                </c:pt>
                <c:pt idx="106">
                  <c:v>1886</c:v>
                </c:pt>
                <c:pt idx="107">
                  <c:v>1887</c:v>
                </c:pt>
                <c:pt idx="108">
                  <c:v>1888</c:v>
                </c:pt>
                <c:pt idx="109">
                  <c:v>1889</c:v>
                </c:pt>
                <c:pt idx="110">
                  <c:v>1890</c:v>
                </c:pt>
                <c:pt idx="111">
                  <c:v>1891</c:v>
                </c:pt>
                <c:pt idx="112">
                  <c:v>1892</c:v>
                </c:pt>
                <c:pt idx="113">
                  <c:v>1893</c:v>
                </c:pt>
                <c:pt idx="114">
                  <c:v>1894</c:v>
                </c:pt>
                <c:pt idx="115">
                  <c:v>1895</c:v>
                </c:pt>
                <c:pt idx="116">
                  <c:v>1896</c:v>
                </c:pt>
                <c:pt idx="117">
                  <c:v>1897</c:v>
                </c:pt>
                <c:pt idx="118">
                  <c:v>1898</c:v>
                </c:pt>
                <c:pt idx="119">
                  <c:v>1899</c:v>
                </c:pt>
                <c:pt idx="120">
                  <c:v>1900</c:v>
                </c:pt>
                <c:pt idx="121">
                  <c:v>1901</c:v>
                </c:pt>
                <c:pt idx="122">
                  <c:v>1902</c:v>
                </c:pt>
                <c:pt idx="123">
                  <c:v>1903</c:v>
                </c:pt>
                <c:pt idx="124">
                  <c:v>1904</c:v>
                </c:pt>
                <c:pt idx="125">
                  <c:v>1905</c:v>
                </c:pt>
                <c:pt idx="126">
                  <c:v>1906</c:v>
                </c:pt>
                <c:pt idx="127">
                  <c:v>1907</c:v>
                </c:pt>
                <c:pt idx="128">
                  <c:v>1908</c:v>
                </c:pt>
                <c:pt idx="129">
                  <c:v>1909</c:v>
                </c:pt>
                <c:pt idx="130">
                  <c:v>1910</c:v>
                </c:pt>
                <c:pt idx="131">
                  <c:v>1911</c:v>
                </c:pt>
                <c:pt idx="132">
                  <c:v>1912</c:v>
                </c:pt>
                <c:pt idx="133">
                  <c:v>1913</c:v>
                </c:pt>
                <c:pt idx="134">
                  <c:v>1914</c:v>
                </c:pt>
                <c:pt idx="135">
                  <c:v>1915</c:v>
                </c:pt>
                <c:pt idx="136">
                  <c:v>1916</c:v>
                </c:pt>
                <c:pt idx="137">
                  <c:v>1917</c:v>
                </c:pt>
                <c:pt idx="138">
                  <c:v>1918</c:v>
                </c:pt>
                <c:pt idx="139">
                  <c:v>1919</c:v>
                </c:pt>
                <c:pt idx="140">
                  <c:v>1920</c:v>
                </c:pt>
                <c:pt idx="141">
                  <c:v>1921</c:v>
                </c:pt>
                <c:pt idx="142">
                  <c:v>1922</c:v>
                </c:pt>
                <c:pt idx="143">
                  <c:v>1923</c:v>
                </c:pt>
                <c:pt idx="144">
                  <c:v>1924</c:v>
                </c:pt>
                <c:pt idx="145">
                  <c:v>1925</c:v>
                </c:pt>
                <c:pt idx="146">
                  <c:v>1926</c:v>
                </c:pt>
                <c:pt idx="147">
                  <c:v>1927</c:v>
                </c:pt>
                <c:pt idx="148">
                  <c:v>1928</c:v>
                </c:pt>
                <c:pt idx="149">
                  <c:v>1929</c:v>
                </c:pt>
                <c:pt idx="150">
                  <c:v>1930</c:v>
                </c:pt>
                <c:pt idx="151">
                  <c:v>1931</c:v>
                </c:pt>
                <c:pt idx="152">
                  <c:v>1932</c:v>
                </c:pt>
                <c:pt idx="153">
                  <c:v>1933</c:v>
                </c:pt>
                <c:pt idx="154">
                  <c:v>1934</c:v>
                </c:pt>
                <c:pt idx="155">
                  <c:v>1935</c:v>
                </c:pt>
                <c:pt idx="156">
                  <c:v>1936</c:v>
                </c:pt>
                <c:pt idx="157">
                  <c:v>1937</c:v>
                </c:pt>
                <c:pt idx="158">
                  <c:v>1938</c:v>
                </c:pt>
                <c:pt idx="159">
                  <c:v>1939</c:v>
                </c:pt>
                <c:pt idx="160">
                  <c:v>1940</c:v>
                </c:pt>
                <c:pt idx="161">
                  <c:v>1941</c:v>
                </c:pt>
                <c:pt idx="162">
                  <c:v>1942</c:v>
                </c:pt>
                <c:pt idx="163">
                  <c:v>1943</c:v>
                </c:pt>
                <c:pt idx="164">
                  <c:v>1944</c:v>
                </c:pt>
                <c:pt idx="165">
                  <c:v>1945</c:v>
                </c:pt>
                <c:pt idx="166">
                  <c:v>1946</c:v>
                </c:pt>
                <c:pt idx="167">
                  <c:v>1947</c:v>
                </c:pt>
                <c:pt idx="168">
                  <c:v>1948</c:v>
                </c:pt>
                <c:pt idx="169">
                  <c:v>1949</c:v>
                </c:pt>
                <c:pt idx="170">
                  <c:v>1950</c:v>
                </c:pt>
                <c:pt idx="171">
                  <c:v>1951</c:v>
                </c:pt>
                <c:pt idx="172">
                  <c:v>1952</c:v>
                </c:pt>
                <c:pt idx="173">
                  <c:v>1953</c:v>
                </c:pt>
                <c:pt idx="174">
                  <c:v>1954</c:v>
                </c:pt>
                <c:pt idx="175">
                  <c:v>1955</c:v>
                </c:pt>
                <c:pt idx="176">
                  <c:v>1956</c:v>
                </c:pt>
                <c:pt idx="177">
                  <c:v>1957</c:v>
                </c:pt>
                <c:pt idx="178">
                  <c:v>1958</c:v>
                </c:pt>
                <c:pt idx="179">
                  <c:v>1959</c:v>
                </c:pt>
                <c:pt idx="180">
                  <c:v>1960</c:v>
                </c:pt>
                <c:pt idx="181">
                  <c:v>1961</c:v>
                </c:pt>
                <c:pt idx="182">
                  <c:v>1962</c:v>
                </c:pt>
                <c:pt idx="183">
                  <c:v>1963</c:v>
                </c:pt>
                <c:pt idx="184">
                  <c:v>1964</c:v>
                </c:pt>
                <c:pt idx="185">
                  <c:v>1965</c:v>
                </c:pt>
                <c:pt idx="186">
                  <c:v>1966</c:v>
                </c:pt>
                <c:pt idx="187">
                  <c:v>1967</c:v>
                </c:pt>
                <c:pt idx="188">
                  <c:v>1968</c:v>
                </c:pt>
                <c:pt idx="189">
                  <c:v>1969</c:v>
                </c:pt>
                <c:pt idx="190">
                  <c:v>1970</c:v>
                </c:pt>
                <c:pt idx="191">
                  <c:v>1971</c:v>
                </c:pt>
                <c:pt idx="192">
                  <c:v>1972</c:v>
                </c:pt>
                <c:pt idx="193">
                  <c:v>1973</c:v>
                </c:pt>
                <c:pt idx="194">
                  <c:v>1974</c:v>
                </c:pt>
                <c:pt idx="195">
                  <c:v>1975</c:v>
                </c:pt>
                <c:pt idx="196">
                  <c:v>1976</c:v>
                </c:pt>
                <c:pt idx="197">
                  <c:v>1977</c:v>
                </c:pt>
                <c:pt idx="198">
                  <c:v>1978</c:v>
                </c:pt>
                <c:pt idx="199">
                  <c:v>1979</c:v>
                </c:pt>
                <c:pt idx="200">
                  <c:v>1980</c:v>
                </c:pt>
                <c:pt idx="201">
                  <c:v>1981</c:v>
                </c:pt>
                <c:pt idx="202">
                  <c:v>1982</c:v>
                </c:pt>
                <c:pt idx="203">
                  <c:v>1983</c:v>
                </c:pt>
                <c:pt idx="204">
                  <c:v>1984</c:v>
                </c:pt>
                <c:pt idx="205">
                  <c:v>1985</c:v>
                </c:pt>
                <c:pt idx="206">
                  <c:v>1986</c:v>
                </c:pt>
                <c:pt idx="207">
                  <c:v>1987</c:v>
                </c:pt>
                <c:pt idx="208">
                  <c:v>1988</c:v>
                </c:pt>
                <c:pt idx="209">
                  <c:v>1989</c:v>
                </c:pt>
                <c:pt idx="210">
                  <c:v>1990</c:v>
                </c:pt>
                <c:pt idx="211">
                  <c:v>1991</c:v>
                </c:pt>
                <c:pt idx="212">
                  <c:v>1992</c:v>
                </c:pt>
                <c:pt idx="213">
                  <c:v>1993</c:v>
                </c:pt>
                <c:pt idx="214">
                  <c:v>1994</c:v>
                </c:pt>
                <c:pt idx="215">
                  <c:v>1995</c:v>
                </c:pt>
                <c:pt idx="216">
                  <c:v>1996</c:v>
                </c:pt>
                <c:pt idx="217">
                  <c:v>1997</c:v>
                </c:pt>
                <c:pt idx="218">
                  <c:v>1998</c:v>
                </c:pt>
                <c:pt idx="219">
                  <c:v>1999</c:v>
                </c:pt>
                <c:pt idx="220">
                  <c:v>2000</c:v>
                </c:pt>
                <c:pt idx="221">
                  <c:v>2001</c:v>
                </c:pt>
                <c:pt idx="222">
                  <c:v>2002</c:v>
                </c:pt>
                <c:pt idx="223">
                  <c:v>2003</c:v>
                </c:pt>
                <c:pt idx="224">
                  <c:v>2004</c:v>
                </c:pt>
                <c:pt idx="225">
                  <c:v>2005</c:v>
                </c:pt>
                <c:pt idx="226">
                  <c:v>2006</c:v>
                </c:pt>
                <c:pt idx="227">
                  <c:v>2007</c:v>
                </c:pt>
                <c:pt idx="228">
                  <c:v>2008</c:v>
                </c:pt>
                <c:pt idx="229">
                  <c:v>2009</c:v>
                </c:pt>
                <c:pt idx="230">
                  <c:v>2010</c:v>
                </c:pt>
              </c:numCache>
            </c:numRef>
          </c:cat>
          <c:val>
            <c:numRef>
              <c:f>DATALRprices!$V$18:$V$248</c:f>
              <c:numCache>
                <c:formatCode>0.00</c:formatCode>
                <c:ptCount val="231"/>
                <c:pt idx="0">
                  <c:v>2.25701128332362</c:v>
                </c:pt>
                <c:pt idx="1">
                  <c:v>-19.486565026089298</c:v>
                </c:pt>
                <c:pt idx="2">
                  <c:v>-9.5206024905569802</c:v>
                </c:pt>
                <c:pt idx="3">
                  <c:v>-21.484818816041798</c:v>
                </c:pt>
                <c:pt idx="4">
                  <c:v>-23.888931708506298</c:v>
                </c:pt>
                <c:pt idx="5">
                  <c:v>-27.032658873912599</c:v>
                </c:pt>
                <c:pt idx="6">
                  <c:v>-29.895718018223398</c:v>
                </c:pt>
                <c:pt idx="7">
                  <c:v>-30.177826847400699</c:v>
                </c:pt>
                <c:pt idx="8">
                  <c:v>-32.5287030674071</c:v>
                </c:pt>
                <c:pt idx="9">
                  <c:v>-32.058064384204897</c:v>
                </c:pt>
                <c:pt idx="10">
                  <c:v>-28.055628503756601</c:v>
                </c:pt>
                <c:pt idx="11">
                  <c:v>-24.381113132024399</c:v>
                </c:pt>
                <c:pt idx="12">
                  <c:v>-21.754235974970801</c:v>
                </c:pt>
                <c:pt idx="13">
                  <c:v>-17.8247147385581</c:v>
                </c:pt>
                <c:pt idx="14">
                  <c:v>-7.3822671287487296</c:v>
                </c:pt>
                <c:pt idx="15">
                  <c:v>7.3333891484949696</c:v>
                </c:pt>
                <c:pt idx="16">
                  <c:v>14.0525363872106</c:v>
                </c:pt>
                <c:pt idx="17">
                  <c:v>10.7154568814358</c:v>
                </c:pt>
                <c:pt idx="18">
                  <c:v>7.9824329252082098</c:v>
                </c:pt>
                <c:pt idx="19">
                  <c:v>8.8937468125654302</c:v>
                </c:pt>
                <c:pt idx="20">
                  <c:v>12.019680837545099</c:v>
                </c:pt>
                <c:pt idx="21">
                  <c:v>23.9605172941848</c:v>
                </c:pt>
                <c:pt idx="22">
                  <c:v>3.69653847652229</c:v>
                </c:pt>
                <c:pt idx="23">
                  <c:v>5.2480266785950098</c:v>
                </c:pt>
                <c:pt idx="24">
                  <c:v>12.965264194440699</c:v>
                </c:pt>
                <c:pt idx="25">
                  <c:v>26.418533318097001</c:v>
                </c:pt>
                <c:pt idx="26">
                  <c:v>21.188116343601401</c:v>
                </c:pt>
                <c:pt idx="27">
                  <c:v>18.494295564991699</c:v>
                </c:pt>
                <c:pt idx="28">
                  <c:v>6.6073532763053899</c:v>
                </c:pt>
                <c:pt idx="29">
                  <c:v>19.857571771580201</c:v>
                </c:pt>
                <c:pt idx="30">
                  <c:v>21.245233344853698</c:v>
                </c:pt>
                <c:pt idx="31">
                  <c:v>17.820620290163401</c:v>
                </c:pt>
                <c:pt idx="32">
                  <c:v>22.4740149015472</c:v>
                </c:pt>
                <c:pt idx="33">
                  <c:v>49.3856994730425</c:v>
                </c:pt>
                <c:pt idx="34">
                  <c:v>61.455956298686999</c:v>
                </c:pt>
                <c:pt idx="35">
                  <c:v>42.265067672518299</c:v>
                </c:pt>
                <c:pt idx="36">
                  <c:v>32.123315888574098</c:v>
                </c:pt>
                <c:pt idx="37">
                  <c:v>41.660983240891902</c:v>
                </c:pt>
                <c:pt idx="38">
                  <c:v>39.298352023509402</c:v>
                </c:pt>
                <c:pt idx="39">
                  <c:v>21.0957045304642</c:v>
                </c:pt>
                <c:pt idx="40">
                  <c:v>5.5433230557940396</c:v>
                </c:pt>
                <c:pt idx="41">
                  <c:v>5.96148989353639</c:v>
                </c:pt>
                <c:pt idx="42">
                  <c:v>6.3604873377289302</c:v>
                </c:pt>
                <c:pt idx="43">
                  <c:v>4.0805976824092403</c:v>
                </c:pt>
                <c:pt idx="44">
                  <c:v>0.392103221615068</c:v>
                </c:pt>
                <c:pt idx="45">
                  <c:v>4.7852862493839101</c:v>
                </c:pt>
                <c:pt idx="46">
                  <c:v>1.80042905975352</c:v>
                </c:pt>
                <c:pt idx="47">
                  <c:v>1.3678139467613799</c:v>
                </c:pt>
                <c:pt idx="48">
                  <c:v>0.69772320444522296</c:v>
                </c:pt>
                <c:pt idx="49">
                  <c:v>0.22043912684258901</c:v>
                </c:pt>
                <c:pt idx="50">
                  <c:v>-3.7837559920088402</c:v>
                </c:pt>
                <c:pt idx="51">
                  <c:v>-1.20457985807143</c:v>
                </c:pt>
                <c:pt idx="52">
                  <c:v>-2.1750177307588998E-2</c:v>
                </c:pt>
                <c:pt idx="53">
                  <c:v>0.185015344320313</c:v>
                </c:pt>
                <c:pt idx="54">
                  <c:v>-5.98400099915008</c:v>
                </c:pt>
                <c:pt idx="55">
                  <c:v>-0.39851691368117997</c:v>
                </c:pt>
                <c:pt idx="56">
                  <c:v>10.7517498947647</c:v>
                </c:pt>
                <c:pt idx="57">
                  <c:v>7.7970817202251297</c:v>
                </c:pt>
                <c:pt idx="58">
                  <c:v>7.1277608567377397</c:v>
                </c:pt>
                <c:pt idx="59">
                  <c:v>9.6340695983401794</c:v>
                </c:pt>
                <c:pt idx="60">
                  <c:v>-3.7637097609299301</c:v>
                </c:pt>
                <c:pt idx="61">
                  <c:v>-6.0752949270349603</c:v>
                </c:pt>
                <c:pt idx="62">
                  <c:v>-13.900403605937299</c:v>
                </c:pt>
                <c:pt idx="63">
                  <c:v>-19.438753503599401</c:v>
                </c:pt>
                <c:pt idx="64">
                  <c:v>-17.790062325983499</c:v>
                </c:pt>
                <c:pt idx="65">
                  <c:v>-12.854047779051999</c:v>
                </c:pt>
                <c:pt idx="66">
                  <c:v>-12.8304275687674</c:v>
                </c:pt>
                <c:pt idx="67">
                  <c:v>-7.4189194010919</c:v>
                </c:pt>
                <c:pt idx="68">
                  <c:v>-13.719240981987999</c:v>
                </c:pt>
                <c:pt idx="69">
                  <c:v>-13.731110017418001</c:v>
                </c:pt>
                <c:pt idx="70">
                  <c:v>-12.154244213344301</c:v>
                </c:pt>
                <c:pt idx="71">
                  <c:v>-12.8883612757293</c:v>
                </c:pt>
                <c:pt idx="72">
                  <c:v>-9.1331789105353796</c:v>
                </c:pt>
                <c:pt idx="73">
                  <c:v>-1.98841482372489</c:v>
                </c:pt>
                <c:pt idx="74">
                  <c:v>6.7462132787398001</c:v>
                </c:pt>
                <c:pt idx="75">
                  <c:v>8.1709876908963093</c:v>
                </c:pt>
                <c:pt idx="76">
                  <c:v>4.0861907067822596</c:v>
                </c:pt>
                <c:pt idx="77">
                  <c:v>8.7621046204352595</c:v>
                </c:pt>
                <c:pt idx="78">
                  <c:v>-5.5109882741070404</c:v>
                </c:pt>
                <c:pt idx="79">
                  <c:v>-3.1228056828069999</c:v>
                </c:pt>
                <c:pt idx="80">
                  <c:v>-5.74306531162705</c:v>
                </c:pt>
                <c:pt idx="81">
                  <c:v>-9.0714848665295307</c:v>
                </c:pt>
                <c:pt idx="82">
                  <c:v>-6.9977820534767901</c:v>
                </c:pt>
                <c:pt idx="83">
                  <c:v>-7.3816745784312703</c:v>
                </c:pt>
                <c:pt idx="84">
                  <c:v>-4.8128801473552496</c:v>
                </c:pt>
                <c:pt idx="85">
                  <c:v>12.918883533788801</c:v>
                </c:pt>
                <c:pt idx="86">
                  <c:v>17.423898759038501</c:v>
                </c:pt>
                <c:pt idx="87">
                  <c:v>12.372447822431599</c:v>
                </c:pt>
                <c:pt idx="88">
                  <c:v>8.9048130180055693</c:v>
                </c:pt>
                <c:pt idx="89">
                  <c:v>9.0412766397981201</c:v>
                </c:pt>
                <c:pt idx="90">
                  <c:v>11.972120981846899</c:v>
                </c:pt>
                <c:pt idx="91">
                  <c:v>10.947628338189499</c:v>
                </c:pt>
                <c:pt idx="92">
                  <c:v>14.338081002863399</c:v>
                </c:pt>
                <c:pt idx="93">
                  <c:v>10.883761269906501</c:v>
                </c:pt>
                <c:pt idx="94">
                  <c:v>7.9549514333562898</c:v>
                </c:pt>
                <c:pt idx="95">
                  <c:v>-0.79806621274962397</c:v>
                </c:pt>
                <c:pt idx="96">
                  <c:v>-4.1850093743736103</c:v>
                </c:pt>
                <c:pt idx="97">
                  <c:v>-2.3455957574780202</c:v>
                </c:pt>
                <c:pt idx="98">
                  <c:v>-11.219543068025301</c:v>
                </c:pt>
                <c:pt idx="99">
                  <c:v>-11.7565690119776</c:v>
                </c:pt>
                <c:pt idx="100">
                  <c:v>-3.8863912952976101</c:v>
                </c:pt>
                <c:pt idx="101">
                  <c:v>-1.9187276239475399</c:v>
                </c:pt>
                <c:pt idx="102">
                  <c:v>1.9467042961102701</c:v>
                </c:pt>
                <c:pt idx="103">
                  <c:v>-3.9898132410866398</c:v>
                </c:pt>
                <c:pt idx="104">
                  <c:v>-10.4279979415006</c:v>
                </c:pt>
                <c:pt idx="105">
                  <c:v>-16.967567511094</c:v>
                </c:pt>
                <c:pt idx="106">
                  <c:v>-19.7082396558292</c:v>
                </c:pt>
                <c:pt idx="107">
                  <c:v>-17.4497320816685</c:v>
                </c:pt>
                <c:pt idx="108">
                  <c:v>-16.991762494574498</c:v>
                </c:pt>
                <c:pt idx="109">
                  <c:v>-21.334048600509401</c:v>
                </c:pt>
                <c:pt idx="110">
                  <c:v>-20.676308105435599</c:v>
                </c:pt>
                <c:pt idx="111">
                  <c:v>-21.318258715315501</c:v>
                </c:pt>
                <c:pt idx="112">
                  <c:v>-25.859618136111401</c:v>
                </c:pt>
                <c:pt idx="113">
                  <c:v>-24.5001040737857</c:v>
                </c:pt>
                <c:pt idx="114">
                  <c:v>-31.239434234300901</c:v>
                </c:pt>
                <c:pt idx="115">
                  <c:v>-30.3773263236193</c:v>
                </c:pt>
                <c:pt idx="116">
                  <c:v>-33.313498047703199</c:v>
                </c:pt>
                <c:pt idx="117">
                  <c:v>-33.5476671125151</c:v>
                </c:pt>
                <c:pt idx="118">
                  <c:v>-31.4795512240172</c:v>
                </c:pt>
                <c:pt idx="119">
                  <c:v>-27.5088680881721</c:v>
                </c:pt>
                <c:pt idx="120">
                  <c:v>-23.235335410942</c:v>
                </c:pt>
                <c:pt idx="121">
                  <c:v>-24.358670898289301</c:v>
                </c:pt>
                <c:pt idx="122">
                  <c:v>-20.278592256176399</c:v>
                </c:pt>
                <c:pt idx="123">
                  <c:v>-19.594817190565799</c:v>
                </c:pt>
                <c:pt idx="124">
                  <c:v>-19.807063407419701</c:v>
                </c:pt>
                <c:pt idx="125">
                  <c:v>-19.615048612700502</c:v>
                </c:pt>
                <c:pt idx="126">
                  <c:v>-17.818490512370701</c:v>
                </c:pt>
                <c:pt idx="127">
                  <c:v>-14.217106812392499</c:v>
                </c:pt>
                <c:pt idx="128">
                  <c:v>-16.810615218728401</c:v>
                </c:pt>
                <c:pt idx="129">
                  <c:v>-11.598733437340799</c:v>
                </c:pt>
                <c:pt idx="130">
                  <c:v>-8.68117917419187</c:v>
                </c:pt>
                <c:pt idx="131">
                  <c:v>-15.157670135244199</c:v>
                </c:pt>
                <c:pt idx="132">
                  <c:v>-10.427924026460101</c:v>
                </c:pt>
                <c:pt idx="133">
                  <c:v>-9.8916585538019195</c:v>
                </c:pt>
                <c:pt idx="134">
                  <c:v>-12.048591423232001</c:v>
                </c:pt>
                <c:pt idx="135">
                  <c:v>-10.3984403407129</c:v>
                </c:pt>
                <c:pt idx="136">
                  <c:v>7.8590769877932898</c:v>
                </c:pt>
                <c:pt idx="137">
                  <c:v>44.724242856323997</c:v>
                </c:pt>
                <c:pt idx="138">
                  <c:v>60.697339558916802</c:v>
                </c:pt>
                <c:pt idx="139">
                  <c:v>68.878649389609507</c:v>
                </c:pt>
                <c:pt idx="140">
                  <c:v>87.168454642439599</c:v>
                </c:pt>
                <c:pt idx="141">
                  <c:v>21.3670376114448</c:v>
                </c:pt>
                <c:pt idx="142">
                  <c:v>20.1746805906627</c:v>
                </c:pt>
                <c:pt idx="143">
                  <c:v>24.5916658741309</c:v>
                </c:pt>
                <c:pt idx="144">
                  <c:v>21.618275755887002</c:v>
                </c:pt>
                <c:pt idx="145">
                  <c:v>27.7547925299688</c:v>
                </c:pt>
                <c:pt idx="146">
                  <c:v>23.701498490413599</c:v>
                </c:pt>
                <c:pt idx="147">
                  <c:v>18.4586759312593</c:v>
                </c:pt>
                <c:pt idx="148">
                  <c:v>20.026607146543501</c:v>
                </c:pt>
                <c:pt idx="149">
                  <c:v>18.0055744303037</c:v>
                </c:pt>
                <c:pt idx="150">
                  <c:v>7.8958600765775797</c:v>
                </c:pt>
                <c:pt idx="151">
                  <c:v>-7.8022536205972104</c:v>
                </c:pt>
                <c:pt idx="152">
                  <c:v>-16.788484367183099</c:v>
                </c:pt>
                <c:pt idx="153">
                  <c:v>-27.612549869142299</c:v>
                </c:pt>
                <c:pt idx="154">
                  <c:v>-40.854167832437497</c:v>
                </c:pt>
                <c:pt idx="155">
                  <c:v>-37.283055963030797</c:v>
                </c:pt>
                <c:pt idx="156">
                  <c:v>-36.688931966884603</c:v>
                </c:pt>
                <c:pt idx="157">
                  <c:v>-32.891513549961402</c:v>
                </c:pt>
                <c:pt idx="158">
                  <c:v>-38.120518418223497</c:v>
                </c:pt>
                <c:pt idx="159">
                  <c:v>-38.955664277633304</c:v>
                </c:pt>
                <c:pt idx="160">
                  <c:v>-37.896668834153097</c:v>
                </c:pt>
                <c:pt idx="161">
                  <c:v>-31.673249793745399</c:v>
                </c:pt>
                <c:pt idx="162">
                  <c:v>-23.855124862372499</c:v>
                </c:pt>
                <c:pt idx="163">
                  <c:v>-20.082011745996802</c:v>
                </c:pt>
                <c:pt idx="164">
                  <c:v>-19.903628150580701</c:v>
                </c:pt>
                <c:pt idx="165">
                  <c:v>-18.409691782086401</c:v>
                </c:pt>
                <c:pt idx="166">
                  <c:v>-7.9899203464765103</c:v>
                </c:pt>
                <c:pt idx="167">
                  <c:v>11.015968450286699</c:v>
                </c:pt>
                <c:pt idx="168">
                  <c:v>19.648256902240899</c:v>
                </c:pt>
                <c:pt idx="169">
                  <c:v>14.4772273034236</c:v>
                </c:pt>
                <c:pt idx="170">
                  <c:v>18.823161947872499</c:v>
                </c:pt>
                <c:pt idx="171">
                  <c:v>31.4563431296252</c:v>
                </c:pt>
                <c:pt idx="172">
                  <c:v>28.467053142719401</c:v>
                </c:pt>
                <c:pt idx="173">
                  <c:v>27.195574281192599</c:v>
                </c:pt>
                <c:pt idx="174">
                  <c:v>27.782188839082501</c:v>
                </c:pt>
                <c:pt idx="175">
                  <c:v>28.437179110426701</c:v>
                </c:pt>
                <c:pt idx="176">
                  <c:v>32.660827389262899</c:v>
                </c:pt>
                <c:pt idx="177">
                  <c:v>36.4934159696286</c:v>
                </c:pt>
                <c:pt idx="178">
                  <c:v>38.625227145561603</c:v>
                </c:pt>
                <c:pt idx="179">
                  <c:v>39.366543211099199</c:v>
                </c:pt>
                <c:pt idx="180">
                  <c:v>39.827646460279396</c:v>
                </c:pt>
                <c:pt idx="181">
                  <c:v>40.308819187139598</c:v>
                </c:pt>
                <c:pt idx="182">
                  <c:v>40.810343685717598</c:v>
                </c:pt>
                <c:pt idx="183">
                  <c:v>40.9125022500507</c:v>
                </c:pt>
                <c:pt idx="184">
                  <c:v>41.695577174176897</c:v>
                </c:pt>
                <c:pt idx="185">
                  <c:v>44.7998507521337</c:v>
                </c:pt>
                <c:pt idx="186">
                  <c:v>49.635605277958497</c:v>
                </c:pt>
                <c:pt idx="187">
                  <c:v>50.483123045689297</c:v>
                </c:pt>
                <c:pt idx="188">
                  <c:v>39.692686349363498</c:v>
                </c:pt>
                <c:pt idx="189">
                  <c:v>38.264577483018698</c:v>
                </c:pt>
                <c:pt idx="190">
                  <c:v>60.539078740692602</c:v>
                </c:pt>
                <c:pt idx="191">
                  <c:v>48.706472416422798</c:v>
                </c:pt>
                <c:pt idx="192">
                  <c:v>15.627040804247001</c:v>
                </c:pt>
                <c:pt idx="193">
                  <c:v>-13.9889338017973</c:v>
                </c:pt>
                <c:pt idx="194">
                  <c:v>-30.5911691076724</c:v>
                </c:pt>
                <c:pt idx="195">
                  <c:v>-26.0493828193406</c:v>
                </c:pt>
                <c:pt idx="196">
                  <c:v>-7.7732926427644902</c:v>
                </c:pt>
                <c:pt idx="197">
                  <c:v>-13.862616283906201</c:v>
                </c:pt>
                <c:pt idx="198">
                  <c:v>-23.607071448728298</c:v>
                </c:pt>
                <c:pt idx="199">
                  <c:v>-37.3163758431932</c:v>
                </c:pt>
                <c:pt idx="200">
                  <c:v>-51.580247173262897</c:v>
                </c:pt>
                <c:pt idx="201">
                  <c:v>-41.388403144900202</c:v>
                </c:pt>
                <c:pt idx="202">
                  <c:v>-33.090561464067399</c:v>
                </c:pt>
                <c:pt idx="203">
                  <c:v>-35.866439836726698</c:v>
                </c:pt>
                <c:pt idx="204">
                  <c:v>-28.0957559688405</c:v>
                </c:pt>
                <c:pt idx="205">
                  <c:v>-21.8682275663712</c:v>
                </c:pt>
                <c:pt idx="206">
                  <c:v>-28.1135723352814</c:v>
                </c:pt>
                <c:pt idx="207">
                  <c:v>-32.921507981533097</c:v>
                </c:pt>
                <c:pt idx="208">
                  <c:v>-29.801752211088999</c:v>
                </c:pt>
                <c:pt idx="209">
                  <c:v>-21.7840227299112</c:v>
                </c:pt>
                <c:pt idx="210">
                  <c:v>-19.368037243962402</c:v>
                </c:pt>
                <c:pt idx="211">
                  <c:v>-15.583513459204701</c:v>
                </c:pt>
                <c:pt idx="212">
                  <c:v>-11.6901690816005</c:v>
                </c:pt>
                <c:pt idx="213">
                  <c:v>-11.8477218171123</c:v>
                </c:pt>
                <c:pt idx="214">
                  <c:v>-12.915889371702299</c:v>
                </c:pt>
                <c:pt idx="215">
                  <c:v>-10.0443894513331</c:v>
                </c:pt>
                <c:pt idx="216">
                  <c:v>-8.0329397619670395</c:v>
                </c:pt>
                <c:pt idx="217">
                  <c:v>1.0887419904336799</c:v>
                </c:pt>
                <c:pt idx="218">
                  <c:v>7.7109380999065102</c:v>
                </c:pt>
                <c:pt idx="219">
                  <c:v>12.9139308604892</c:v>
                </c:pt>
                <c:pt idx="220">
                  <c:v>17.9180025662193</c:v>
                </c:pt>
                <c:pt idx="221">
                  <c:v>22.103435511134599</c:v>
                </c:pt>
                <c:pt idx="222">
                  <c:v>13.6805119892724</c:v>
                </c:pt>
                <c:pt idx="223">
                  <c:v>9.3495142946706</c:v>
                </c:pt>
                <c:pt idx="224">
                  <c:v>8.0207247213668307</c:v>
                </c:pt>
                <c:pt idx="225">
                  <c:v>9.0444255633984803</c:v>
                </c:pt>
                <c:pt idx="226">
                  <c:v>-0.52910088519672605</c:v>
                </c:pt>
                <c:pt idx="227">
                  <c:v>-2.26957233038104</c:v>
                </c:pt>
                <c:pt idx="228">
                  <c:v>-4.69670647811677</c:v>
                </c:pt>
                <c:pt idx="229">
                  <c:v>-8.4102210343667103</c:v>
                </c:pt>
                <c:pt idx="230">
                  <c:v>-10.3698337050928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64480"/>
        <c:axId val="44970368"/>
      </c:lineChart>
      <c:catAx>
        <c:axId val="449644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44970368"/>
        <c:crossesAt val="-80"/>
        <c:auto val="1"/>
        <c:lblAlgn val="ctr"/>
        <c:lblOffset val="100"/>
        <c:tickLblSkip val="10"/>
        <c:tickMarkSkip val="10"/>
        <c:noMultiLvlLbl val="0"/>
      </c:catAx>
      <c:valAx>
        <c:axId val="44970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4496448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Global Crisis of</a:t>
            </a:r>
            <a:r>
              <a:rPr lang="en-US" baseline="0"/>
              <a:t> 2007 in Light of </a:t>
            </a:r>
            <a:r>
              <a:rPr lang="en-US"/>
              <a:t>Long Wage Pattern Projected</a:t>
            </a:r>
            <a:r>
              <a:rPr lang="en-US" baseline="0"/>
              <a:t> in 2003 (</a:t>
            </a:r>
            <a:r>
              <a:rPr lang="en-US"/>
              <a:t>Smoothed U.S. and UK WPI in Gold + Projected Average Wave
1890-2030)</a:t>
            </a:r>
          </a:p>
        </c:rich>
      </c:tx>
      <c:layout>
        <c:manualLayout>
          <c:xMode val="edge"/>
          <c:yMode val="edge"/>
          <c:x val="0.14872357198665673"/>
          <c:y val="1.95758213709524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032947462154933E-2"/>
          <c:y val="0.16162943495400786"/>
          <c:w val="0.88958147818343725"/>
          <c:h val="0.70433639947437587"/>
        </c:manualLayout>
      </c:layout>
      <c:lineChart>
        <c:grouping val="standard"/>
        <c:varyColors val="0"/>
        <c:ser>
          <c:idx val="1"/>
          <c:order val="0"/>
          <c:tx>
            <c:strRef>
              <c:f>DATALRprices!$AH$1</c:f>
              <c:strCache>
                <c:ptCount val="1"/>
                <c:pt idx="0">
                  <c:v>UKPPIGOLDHP100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'[1]DATAUSLR '!$A$128:$A$268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'[1]DATAUSLR '!$BZ$128:$BZ$268</c:f>
              <c:numCache>
                <c:formatCode>General</c:formatCode>
                <c:ptCount val="141"/>
                <c:pt idx="0">
                  <c:v>63.255016028183199</c:v>
                </c:pt>
                <c:pt idx="1">
                  <c:v>61.889095174872097</c:v>
                </c:pt>
                <c:pt idx="2">
                  <c:v>60.649633772223098</c:v>
                </c:pt>
                <c:pt idx="3">
                  <c:v>59.596600037069898</c:v>
                </c:pt>
                <c:pt idx="4">
                  <c:v>58.786465848523598</c:v>
                </c:pt>
                <c:pt idx="5">
                  <c:v>58.298737085324703</c:v>
                </c:pt>
                <c:pt idx="6">
                  <c:v>58.179054967728497</c:v>
                </c:pt>
                <c:pt idx="7">
                  <c:v>58.455073345137201</c:v>
                </c:pt>
                <c:pt idx="8">
                  <c:v>59.110655517275497</c:v>
                </c:pt>
                <c:pt idx="9">
                  <c:v>60.083114050416803</c:v>
                </c:pt>
                <c:pt idx="10">
                  <c:v>61.279654955661897</c:v>
                </c:pt>
                <c:pt idx="11">
                  <c:v>62.6096531036074</c:v>
                </c:pt>
                <c:pt idx="12">
                  <c:v>64.017686815293004</c:v>
                </c:pt>
                <c:pt idx="13">
                  <c:v>65.461237880722706</c:v>
                </c:pt>
                <c:pt idx="14">
                  <c:v>66.939611221747398</c:v>
                </c:pt>
                <c:pt idx="15">
                  <c:v>68.488499381410804</c:v>
                </c:pt>
                <c:pt idx="16">
                  <c:v>70.165198790539094</c:v>
                </c:pt>
                <c:pt idx="17">
                  <c:v>72.037120886144393</c:v>
                </c:pt>
                <c:pt idx="18">
                  <c:v>74.185025117333694</c:v>
                </c:pt>
                <c:pt idx="19">
                  <c:v>76.722299724352197</c:v>
                </c:pt>
                <c:pt idx="20">
                  <c:v>79.749482696271897</c:v>
                </c:pt>
                <c:pt idx="21">
                  <c:v>83.382889024921496</c:v>
                </c:pt>
                <c:pt idx="22">
                  <c:v>87.755338875166601</c:v>
                </c:pt>
                <c:pt idx="23">
                  <c:v>92.916823521623897</c:v>
                </c:pt>
                <c:pt idx="24">
                  <c:v>98.839780850158206</c:v>
                </c:pt>
                <c:pt idx="25">
                  <c:v>105.374480511418</c:v>
                </c:pt>
                <c:pt idx="26">
                  <c:v>112.169794347551</c:v>
                </c:pt>
                <c:pt idx="27">
                  <c:v>118.625849395589</c:v>
                </c:pt>
                <c:pt idx="28">
                  <c:v>124.010074749091</c:v>
                </c:pt>
                <c:pt idx="29">
                  <c:v>127.762641007657</c:v>
                </c:pt>
                <c:pt idx="30">
                  <c:v>129.60361802339801</c:v>
                </c:pt>
                <c:pt idx="31">
                  <c:v>129.57844923834901</c:v>
                </c:pt>
                <c:pt idx="32">
                  <c:v>128.22354191430901</c:v>
                </c:pt>
                <c:pt idx="33">
                  <c:v>125.909518820695</c:v>
                </c:pt>
                <c:pt idx="34">
                  <c:v>122.84376730778099</c:v>
                </c:pt>
                <c:pt idx="35">
                  <c:v>119.13857953763301</c:v>
                </c:pt>
                <c:pt idx="36">
                  <c:v>114.81280999924</c:v>
                </c:pt>
                <c:pt idx="37">
                  <c:v>109.890927386214</c:v>
                </c:pt>
                <c:pt idx="38">
                  <c:v>104.406272292175</c:v>
                </c:pt>
                <c:pt idx="39">
                  <c:v>98.398276036881796</c:v>
                </c:pt>
                <c:pt idx="40">
                  <c:v>91.983307217169596</c:v>
                </c:pt>
                <c:pt idx="41">
                  <c:v>85.394751669505894</c:v>
                </c:pt>
                <c:pt idx="42">
                  <c:v>78.946162158186297</c:v>
                </c:pt>
                <c:pt idx="43">
                  <c:v>72.940143930811402</c:v>
                </c:pt>
                <c:pt idx="44">
                  <c:v>67.642840613399798</c:v>
                </c:pt>
                <c:pt idx="45">
                  <c:v>63.352994392662097</c:v>
                </c:pt>
                <c:pt idx="46">
                  <c:v>60.203819049175003</c:v>
                </c:pt>
                <c:pt idx="47">
                  <c:v>58.241998419588498</c:v>
                </c:pt>
                <c:pt idx="48">
                  <c:v>57.464478150060799</c:v>
                </c:pt>
                <c:pt idx="49">
                  <c:v>57.875283902554202</c:v>
                </c:pt>
                <c:pt idx="50">
                  <c:v>59.440096557530502</c:v>
                </c:pt>
                <c:pt idx="51">
                  <c:v>62.072744156425998</c:v>
                </c:pt>
                <c:pt idx="52">
                  <c:v>65.628953775101394</c:v>
                </c:pt>
                <c:pt idx="53">
                  <c:v>69.940925047853497</c:v>
                </c:pt>
                <c:pt idx="54">
                  <c:v>74.858568071227793</c:v>
                </c:pt>
                <c:pt idx="55">
                  <c:v>80.242383691291394</c:v>
                </c:pt>
                <c:pt idx="56">
                  <c:v>85.914287073399294</c:v>
                </c:pt>
                <c:pt idx="57">
                  <c:v>91.616769545993193</c:v>
                </c:pt>
                <c:pt idx="58">
                  <c:v>97.058379566781198</c:v>
                </c:pt>
                <c:pt idx="59">
                  <c:v>102.044497898011</c:v>
                </c:pt>
                <c:pt idx="60">
                  <c:v>106.506821506264</c:v>
                </c:pt>
                <c:pt idx="61">
                  <c:v>110.399102379138</c:v>
                </c:pt>
                <c:pt idx="62">
                  <c:v>113.693324289172</c:v>
                </c:pt>
                <c:pt idx="63">
                  <c:v>116.464179985112</c:v>
                </c:pt>
                <c:pt idx="64">
                  <c:v>118.823128972812</c:v>
                </c:pt>
                <c:pt idx="65">
                  <c:v>120.874688958275</c:v>
                </c:pt>
                <c:pt idx="66">
                  <c:v>122.695246357776</c:v>
                </c:pt>
                <c:pt idx="67">
                  <c:v>124.315440698008</c:v>
                </c:pt>
                <c:pt idx="68">
                  <c:v>125.740359042085</c:v>
                </c:pt>
                <c:pt idx="69">
                  <c:v>126.967634046142</c:v>
                </c:pt>
                <c:pt idx="70">
                  <c:v>127.990294775891</c:v>
                </c:pt>
                <c:pt idx="71">
                  <c:v>128.78749395658599</c:v>
                </c:pt>
                <c:pt idx="72">
                  <c:v>129.31428136572001</c:v>
                </c:pt>
                <c:pt idx="73">
                  <c:v>129.49363184121901</c:v>
                </c:pt>
                <c:pt idx="74">
                  <c:v>129.211177407354</c:v>
                </c:pt>
                <c:pt idx="75">
                  <c:v>128.30921376998299</c:v>
                </c:pt>
                <c:pt idx="76">
                  <c:v>126.59192486089</c:v>
                </c:pt>
                <c:pt idx="77">
                  <c:v>123.85980247416001</c:v>
                </c:pt>
                <c:pt idx="78">
                  <c:v>119.969319155268</c:v>
                </c:pt>
                <c:pt idx="79">
                  <c:v>114.862649424949</c:v>
                </c:pt>
                <c:pt idx="80">
                  <c:v>108.49177461238401</c:v>
                </c:pt>
                <c:pt idx="81">
                  <c:v>100.854049552505</c:v>
                </c:pt>
                <c:pt idx="82">
                  <c:v>92.267411334120894</c:v>
                </c:pt>
                <c:pt idx="83">
                  <c:v>83.320856550513895</c:v>
                </c:pt>
                <c:pt idx="84">
                  <c:v>74.622807681626199</c:v>
                </c:pt>
                <c:pt idx="85">
                  <c:v>66.586678641894494</c:v>
                </c:pt>
                <c:pt idx="86">
                  <c:v>59.344255268939499</c:v>
                </c:pt>
                <c:pt idx="87">
                  <c:v>52.863356613962601</c:v>
                </c:pt>
                <c:pt idx="88">
                  <c:v>47.188259175476297</c:v>
                </c:pt>
                <c:pt idx="89">
                  <c:v>42.434605885853003</c:v>
                </c:pt>
                <c:pt idx="90">
                  <c:v>38.740257085710802</c:v>
                </c:pt>
                <c:pt idx="91">
                  <c:v>36.171627056809001</c:v>
                </c:pt>
                <c:pt idx="92">
                  <c:v>34.607427510049803</c:v>
                </c:pt>
                <c:pt idx="93">
                  <c:v>33.856353885767298</c:v>
                </c:pt>
                <c:pt idx="94">
                  <c:v>33.7451273491953</c:v>
                </c:pt>
                <c:pt idx="95">
                  <c:v>34.0886055267096</c:v>
                </c:pt>
                <c:pt idx="96">
                  <c:v>34.757194771194399</c:v>
                </c:pt>
                <c:pt idx="97">
                  <c:v>35.724715380266503</c:v>
                </c:pt>
                <c:pt idx="98">
                  <c:v>36.9896157038309</c:v>
                </c:pt>
                <c:pt idx="99">
                  <c:v>38.507896937990097</c:v>
                </c:pt>
                <c:pt idx="100">
                  <c:v>40.200064121807898</c:v>
                </c:pt>
                <c:pt idx="101">
                  <c:v>42.004243324968499</c:v>
                </c:pt>
                <c:pt idx="102">
                  <c:v>43.871159975937999</c:v>
                </c:pt>
                <c:pt idx="103">
                  <c:v>45.771097069932601</c:v>
                </c:pt>
                <c:pt idx="104">
                  <c:v>47.701326002409402</c:v>
                </c:pt>
                <c:pt idx="105">
                  <c:v>49.652707198126102</c:v>
                </c:pt>
                <c:pt idx="106">
                  <c:v>51.567387821815998</c:v>
                </c:pt>
                <c:pt idx="107">
                  <c:v>53.334687966231698</c:v>
                </c:pt>
                <c:pt idx="108">
                  <c:v>54.778153845907198</c:v>
                </c:pt>
                <c:pt idx="109">
                  <c:v>55.714784795714202</c:v>
                </c:pt>
                <c:pt idx="110">
                  <c:v>55.991698612065598</c:v>
                </c:pt>
                <c:pt idx="111">
                  <c:v>55.5144652434169</c:v>
                </c:pt>
                <c:pt idx="112">
                  <c:v>54.278437652103101</c:v>
                </c:pt>
                <c:pt idx="113">
                  <c:v>52.396324148024902</c:v>
                </c:pt>
                <c:pt idx="114">
                  <c:v>50.016548664562102</c:v>
                </c:pt>
                <c:pt idx="115">
                  <c:v>47.283571893614202</c:v>
                </c:pt>
                <c:pt idx="116">
                  <c:v>44.331289040435102</c:v>
                </c:pt>
                <c:pt idx="117">
                  <c:v>41.304659591342599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DATALRprices!$AG$1</c:f>
              <c:strCache>
                <c:ptCount val="1"/>
                <c:pt idx="0">
                  <c:v>USPPIGOLDHP100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'[1]DATAUSLR '!$A$128:$A$268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DATALRprices!$AG$128:$AG$268</c:f>
              <c:numCache>
                <c:formatCode>0.00</c:formatCode>
                <c:ptCount val="141"/>
                <c:pt idx="0">
                  <c:v>63.255016028183199</c:v>
                </c:pt>
                <c:pt idx="1">
                  <c:v>61.889095174872097</c:v>
                </c:pt>
                <c:pt idx="2">
                  <c:v>60.649633772223098</c:v>
                </c:pt>
                <c:pt idx="3">
                  <c:v>59.596600037069898</c:v>
                </c:pt>
                <c:pt idx="4">
                  <c:v>58.786465848523598</c:v>
                </c:pt>
                <c:pt idx="5">
                  <c:v>58.298737085324703</c:v>
                </c:pt>
                <c:pt idx="6">
                  <c:v>58.179054967728497</c:v>
                </c:pt>
                <c:pt idx="7">
                  <c:v>58.455073345137201</c:v>
                </c:pt>
                <c:pt idx="8">
                  <c:v>59.110655517275497</c:v>
                </c:pt>
                <c:pt idx="9">
                  <c:v>60.083114050416803</c:v>
                </c:pt>
                <c:pt idx="10">
                  <c:v>61.279654955661897</c:v>
                </c:pt>
                <c:pt idx="11">
                  <c:v>62.6096531036074</c:v>
                </c:pt>
                <c:pt idx="12">
                  <c:v>64.017686815293004</c:v>
                </c:pt>
                <c:pt idx="13">
                  <c:v>65.461237880722706</c:v>
                </c:pt>
                <c:pt idx="14">
                  <c:v>66.939611221747398</c:v>
                </c:pt>
                <c:pt idx="15">
                  <c:v>68.488499381410804</c:v>
                </c:pt>
                <c:pt idx="16">
                  <c:v>70.165198790539094</c:v>
                </c:pt>
                <c:pt idx="17">
                  <c:v>72.037120886144393</c:v>
                </c:pt>
                <c:pt idx="18">
                  <c:v>74.185025117333694</c:v>
                </c:pt>
                <c:pt idx="19">
                  <c:v>76.722299724352197</c:v>
                </c:pt>
                <c:pt idx="20">
                  <c:v>79.749482696271897</c:v>
                </c:pt>
                <c:pt idx="21">
                  <c:v>83.382889024921496</c:v>
                </c:pt>
                <c:pt idx="22">
                  <c:v>87.755338875166601</c:v>
                </c:pt>
                <c:pt idx="23">
                  <c:v>92.916823521623897</c:v>
                </c:pt>
                <c:pt idx="24">
                  <c:v>98.839780850158206</c:v>
                </c:pt>
                <c:pt idx="25">
                  <c:v>105.374480511418</c:v>
                </c:pt>
                <c:pt idx="26">
                  <c:v>112.169794347551</c:v>
                </c:pt>
                <c:pt idx="27">
                  <c:v>118.625849395589</c:v>
                </c:pt>
                <c:pt idx="28">
                  <c:v>124.010074749091</c:v>
                </c:pt>
                <c:pt idx="29">
                  <c:v>127.762641007657</c:v>
                </c:pt>
                <c:pt idx="30">
                  <c:v>129.60361802339801</c:v>
                </c:pt>
                <c:pt idx="31">
                  <c:v>129.57844923834901</c:v>
                </c:pt>
                <c:pt idx="32">
                  <c:v>128.22354191430901</c:v>
                </c:pt>
                <c:pt idx="33">
                  <c:v>125.909518820695</c:v>
                </c:pt>
                <c:pt idx="34">
                  <c:v>122.84376730778099</c:v>
                </c:pt>
                <c:pt idx="35">
                  <c:v>119.13857953763301</c:v>
                </c:pt>
                <c:pt idx="36">
                  <c:v>114.81280999924</c:v>
                </c:pt>
                <c:pt idx="37">
                  <c:v>109.890927386214</c:v>
                </c:pt>
                <c:pt idx="38">
                  <c:v>104.406272292175</c:v>
                </c:pt>
                <c:pt idx="39">
                  <c:v>98.398276036881796</c:v>
                </c:pt>
                <c:pt idx="40">
                  <c:v>91.983307217169596</c:v>
                </c:pt>
                <c:pt idx="41">
                  <c:v>85.394751669505894</c:v>
                </c:pt>
                <c:pt idx="42">
                  <c:v>78.946162158186297</c:v>
                </c:pt>
                <c:pt idx="43">
                  <c:v>72.940143930811402</c:v>
                </c:pt>
                <c:pt idx="44">
                  <c:v>67.642840613399798</c:v>
                </c:pt>
                <c:pt idx="45">
                  <c:v>63.352994392662097</c:v>
                </c:pt>
                <c:pt idx="46">
                  <c:v>60.203819049175003</c:v>
                </c:pt>
                <c:pt idx="47">
                  <c:v>58.241998419588498</c:v>
                </c:pt>
                <c:pt idx="48">
                  <c:v>57.464478150060799</c:v>
                </c:pt>
                <c:pt idx="49">
                  <c:v>57.875283902554202</c:v>
                </c:pt>
                <c:pt idx="50">
                  <c:v>59.440096557530502</c:v>
                </c:pt>
                <c:pt idx="51">
                  <c:v>62.072744156425998</c:v>
                </c:pt>
                <c:pt idx="52">
                  <c:v>65.628953775101394</c:v>
                </c:pt>
                <c:pt idx="53">
                  <c:v>69.940925047853497</c:v>
                </c:pt>
                <c:pt idx="54">
                  <c:v>74.858568071227793</c:v>
                </c:pt>
                <c:pt idx="55">
                  <c:v>80.242383691291394</c:v>
                </c:pt>
                <c:pt idx="56">
                  <c:v>85.914287073399294</c:v>
                </c:pt>
                <c:pt idx="57">
                  <c:v>91.616769545993193</c:v>
                </c:pt>
                <c:pt idx="58">
                  <c:v>97.058379566781198</c:v>
                </c:pt>
                <c:pt idx="59">
                  <c:v>102.044497898011</c:v>
                </c:pt>
                <c:pt idx="60">
                  <c:v>106.506821506264</c:v>
                </c:pt>
                <c:pt idx="61">
                  <c:v>110.399102379138</c:v>
                </c:pt>
                <c:pt idx="62">
                  <c:v>113.693324289172</c:v>
                </c:pt>
                <c:pt idx="63">
                  <c:v>116.464179985112</c:v>
                </c:pt>
                <c:pt idx="64">
                  <c:v>118.823128972812</c:v>
                </c:pt>
                <c:pt idx="65">
                  <c:v>120.874688958275</c:v>
                </c:pt>
                <c:pt idx="66">
                  <c:v>122.695246357776</c:v>
                </c:pt>
                <c:pt idx="67">
                  <c:v>124.315440698008</c:v>
                </c:pt>
                <c:pt idx="68">
                  <c:v>125.740359042085</c:v>
                </c:pt>
                <c:pt idx="69">
                  <c:v>126.967634046142</c:v>
                </c:pt>
                <c:pt idx="70">
                  <c:v>127.990294775891</c:v>
                </c:pt>
                <c:pt idx="71">
                  <c:v>128.78749395658599</c:v>
                </c:pt>
                <c:pt idx="72">
                  <c:v>129.31428136572001</c:v>
                </c:pt>
                <c:pt idx="73">
                  <c:v>129.49363184121901</c:v>
                </c:pt>
                <c:pt idx="74">
                  <c:v>129.211177407354</c:v>
                </c:pt>
                <c:pt idx="75">
                  <c:v>128.30921376998299</c:v>
                </c:pt>
                <c:pt idx="76">
                  <c:v>126.59192486089</c:v>
                </c:pt>
                <c:pt idx="77">
                  <c:v>123.85980247416001</c:v>
                </c:pt>
                <c:pt idx="78">
                  <c:v>119.969319155268</c:v>
                </c:pt>
                <c:pt idx="79">
                  <c:v>114.862649424949</c:v>
                </c:pt>
                <c:pt idx="80">
                  <c:v>108.49177461238401</c:v>
                </c:pt>
                <c:pt idx="81">
                  <c:v>100.854049552505</c:v>
                </c:pt>
                <c:pt idx="82">
                  <c:v>92.267411334120894</c:v>
                </c:pt>
                <c:pt idx="83">
                  <c:v>83.320856550513895</c:v>
                </c:pt>
                <c:pt idx="84">
                  <c:v>74.622807681626199</c:v>
                </c:pt>
                <c:pt idx="85">
                  <c:v>66.586678641894494</c:v>
                </c:pt>
                <c:pt idx="86">
                  <c:v>59.344255268939499</c:v>
                </c:pt>
                <c:pt idx="87">
                  <c:v>52.863356613962601</c:v>
                </c:pt>
                <c:pt idx="88">
                  <c:v>47.188259175476297</c:v>
                </c:pt>
                <c:pt idx="89">
                  <c:v>42.434605885853003</c:v>
                </c:pt>
                <c:pt idx="90">
                  <c:v>38.740257085710802</c:v>
                </c:pt>
                <c:pt idx="91">
                  <c:v>36.171627056809001</c:v>
                </c:pt>
                <c:pt idx="92">
                  <c:v>34.607427510049803</c:v>
                </c:pt>
                <c:pt idx="93">
                  <c:v>33.856353885767298</c:v>
                </c:pt>
                <c:pt idx="94">
                  <c:v>33.7451273491953</c:v>
                </c:pt>
                <c:pt idx="95">
                  <c:v>34.0886055267096</c:v>
                </c:pt>
                <c:pt idx="96">
                  <c:v>34.757194771194399</c:v>
                </c:pt>
                <c:pt idx="97">
                  <c:v>35.724715380266503</c:v>
                </c:pt>
                <c:pt idx="98">
                  <c:v>36.9896157038309</c:v>
                </c:pt>
                <c:pt idx="99">
                  <c:v>38.507896937990097</c:v>
                </c:pt>
                <c:pt idx="100">
                  <c:v>40.200064121807898</c:v>
                </c:pt>
                <c:pt idx="101">
                  <c:v>42.004243324968499</c:v>
                </c:pt>
                <c:pt idx="102">
                  <c:v>43.871159975937999</c:v>
                </c:pt>
                <c:pt idx="103">
                  <c:v>45.771097069932601</c:v>
                </c:pt>
                <c:pt idx="104">
                  <c:v>47.701326002409402</c:v>
                </c:pt>
                <c:pt idx="105">
                  <c:v>49.652707198126102</c:v>
                </c:pt>
                <c:pt idx="106">
                  <c:v>51.567387821815998</c:v>
                </c:pt>
                <c:pt idx="107">
                  <c:v>53.334687966231698</c:v>
                </c:pt>
                <c:pt idx="108">
                  <c:v>54.778153845907198</c:v>
                </c:pt>
                <c:pt idx="109">
                  <c:v>55.714784795714202</c:v>
                </c:pt>
                <c:pt idx="110">
                  <c:v>55.991698612065598</c:v>
                </c:pt>
                <c:pt idx="111">
                  <c:v>55.5144652434169</c:v>
                </c:pt>
                <c:pt idx="112">
                  <c:v>54.278437652103101</c:v>
                </c:pt>
                <c:pt idx="113">
                  <c:v>52.396324148024902</c:v>
                </c:pt>
                <c:pt idx="114">
                  <c:v>50.016548664562102</c:v>
                </c:pt>
                <c:pt idx="115" formatCode="General">
                  <c:v>47.283571893614202</c:v>
                </c:pt>
                <c:pt idx="116" formatCode="General">
                  <c:v>44.331289040435102</c:v>
                </c:pt>
                <c:pt idx="117" formatCode="General">
                  <c:v>41.304659591342599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DATALRprices!$AS$1</c:f>
              <c:strCache>
                <c:ptCount val="1"/>
                <c:pt idx="0">
                  <c:v>USUKAVGWAVE1</c:v>
                </c:pt>
              </c:strCache>
            </c:strRef>
          </c:tx>
          <c:spPr>
            <a:ln w="31750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'[1]DATAUSLR '!$A$128:$A$268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DATALRprices!$AS$128:$AS$268</c:f>
              <c:numCache>
                <c:formatCode>0.00</c:formatCode>
                <c:ptCount val="141"/>
                <c:pt idx="93">
                  <c:v>37.560753773439671</c:v>
                </c:pt>
                <c:pt idx="94">
                  <c:v>39.165764868189186</c:v>
                </c:pt>
                <c:pt idx="95">
                  <c:v>40.836519180227938</c:v>
                </c:pt>
                <c:pt idx="96">
                  <c:v>42.561494802927172</c:v>
                </c:pt>
                <c:pt idx="97">
                  <c:v>44.356296631695798</c:v>
                </c:pt>
                <c:pt idx="98">
                  <c:v>46.25375621452406</c:v>
                </c:pt>
                <c:pt idx="99">
                  <c:v>48.256115919959953</c:v>
                </c:pt>
                <c:pt idx="100">
                  <c:v>50.384757724243471</c:v>
                </c:pt>
                <c:pt idx="101">
                  <c:v>52.668640926248919</c:v>
                </c:pt>
                <c:pt idx="102">
                  <c:v>55.115999634239472</c:v>
                </c:pt>
                <c:pt idx="103">
                  <c:v>57.705066737603026</c:v>
                </c:pt>
                <c:pt idx="104">
                  <c:v>60.365307073265029</c:v>
                </c:pt>
                <c:pt idx="105">
                  <c:v>62.960259816819772</c:v>
                </c:pt>
                <c:pt idx="106">
                  <c:v>65.301698604123004</c:v>
                </c:pt>
                <c:pt idx="107">
                  <c:v>67.185295177935387</c:v>
                </c:pt>
                <c:pt idx="108">
                  <c:v>68.468629573494795</c:v>
                </c:pt>
                <c:pt idx="109">
                  <c:v>69.09067092623215</c:v>
                </c:pt>
                <c:pt idx="110">
                  <c:v>69.076780820551804</c:v>
                </c:pt>
                <c:pt idx="111">
                  <c:v>68.552034183720735</c:v>
                </c:pt>
                <c:pt idx="112">
                  <c:v>67.578295734840395</c:v>
                </c:pt>
                <c:pt idx="113">
                  <c:v>66.159492155776235</c:v>
                </c:pt>
                <c:pt idx="114">
                  <c:v>64.271162533228377</c:v>
                </c:pt>
                <c:pt idx="115">
                  <c:v>61.887542175143004</c:v>
                </c:pt>
                <c:pt idx="116">
                  <c:v>59.024693433144165</c:v>
                </c:pt>
                <c:pt idx="117">
                  <c:v>55.690895247520203</c:v>
                </c:pt>
                <c:pt idx="118">
                  <c:v>51.907366175260215</c:v>
                </c:pt>
                <c:pt idx="119">
                  <c:v>47.797891713183198</c:v>
                </c:pt>
                <c:pt idx="120">
                  <c:v>43.606278326184579</c:v>
                </c:pt>
                <c:pt idx="121">
                  <c:v>39.59750920847312</c:v>
                </c:pt>
                <c:pt idx="122">
                  <c:v>35.968022166409582</c:v>
                </c:pt>
                <c:pt idx="123">
                  <c:v>32.809497274343833</c:v>
                </c:pt>
                <c:pt idx="124">
                  <c:v>30.153081908980504</c:v>
                </c:pt>
                <c:pt idx="125">
                  <c:v>28.002989419986655</c:v>
                </c:pt>
                <c:pt idx="126">
                  <c:v>26.369017082744172</c:v>
                </c:pt>
                <c:pt idx="127">
                  <c:v>25.26976564841339</c:v>
                </c:pt>
                <c:pt idx="128">
                  <c:v>24.724941529864637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43936"/>
        <c:axId val="45145472"/>
      </c:lineChart>
      <c:catAx>
        <c:axId val="45143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145472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45145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143936"/>
        <c:crosses val="autoZero"/>
        <c:crossBetween val="midCat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7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tabSelected="1"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FFC000"/>
  </sheetPr>
  <sheetViews>
    <sheetView zoomScale="6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theme="3" tint="0.59999389629810485"/>
  </sheetPr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theme="5" tint="0.59999389629810485"/>
  </sheetPr>
  <sheetViews>
    <sheetView zoomScale="66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5524" cy="58299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0.45904</cdr:x>
      <cdr:y>0.0917</cdr:y>
    </cdr:from>
    <cdr:to>
      <cdr:x>0.62801</cdr:x>
      <cdr:y>0.8935</cdr:y>
    </cdr:to>
    <cdr:sp macro="" textlink="">
      <cdr:nvSpPr>
        <cdr:cNvPr id="5" name="Rectangle 4"/>
        <cdr:cNvSpPr/>
      </cdr:nvSpPr>
      <cdr:spPr bwMode="auto">
        <a:xfrm xmlns:a="http://schemas.openxmlformats.org/drawingml/2006/main">
          <a:off x="3937472" y="534206"/>
          <a:ext cx="1449347" cy="467121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  <a:alpha val="22000"/>
          </a:schemeClr>
        </a:solidFill>
        <a:ln xmlns:a="http://schemas.openxmlformats.org/drawingml/2006/main"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0.4842</cdr:x>
      <cdr:y>0.18911</cdr:y>
    </cdr:from>
    <cdr:to>
      <cdr:x>0.6235</cdr:x>
      <cdr:y>0.27644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53254" y="1101728"/>
          <a:ext cx="1194851" cy="5087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Great </a:t>
          </a:r>
        </a:p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Stagflation</a:t>
          </a:r>
        </a:p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</a:t>
          </a:r>
        </a:p>
      </cdr:txBody>
    </cdr:sp>
  </cdr:relSizeAnchor>
  <cdr:relSizeAnchor xmlns:cdr="http://schemas.openxmlformats.org/drawingml/2006/chartDrawing">
    <cdr:from>
      <cdr:x>0.80121</cdr:x>
      <cdr:y>0.09516</cdr:y>
    </cdr:from>
    <cdr:to>
      <cdr:x>0.91304</cdr:x>
      <cdr:y>0.89695</cdr:y>
    </cdr:to>
    <cdr:sp macro="" textlink="">
      <cdr:nvSpPr>
        <cdr:cNvPr id="7" name="Rectangle 6"/>
        <cdr:cNvSpPr/>
      </cdr:nvSpPr>
      <cdr:spPr bwMode="auto">
        <a:xfrm xmlns:a="http://schemas.openxmlformats.org/drawingml/2006/main">
          <a:off x="6872411" y="554366"/>
          <a:ext cx="959256" cy="467115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  <a:alpha val="22000"/>
          </a:schemeClr>
        </a:solidFill>
        <a:ln xmlns:a="http://schemas.openxmlformats.org/drawingml/2006/main"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0.78992</cdr:x>
      <cdr:y>0.36525</cdr:y>
    </cdr:from>
    <cdr:to>
      <cdr:x>0.91228</cdr:x>
      <cdr:y>0.49339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775603" y="2127878"/>
          <a:ext cx="1049548" cy="746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Great </a:t>
          </a:r>
          <a:r>
            <a:rPr lang="en-US" sz="1400" baseline="0">
              <a:latin typeface="Times New Roman" pitchFamily="18" charset="0"/>
              <a:cs typeface="Times New Roman" pitchFamily="18" charset="0"/>
            </a:rPr>
            <a:t> Unravelling</a:t>
          </a:r>
        </a:p>
        <a:p xmlns:a="http://schemas.openxmlformats.org/drawingml/2006/main">
          <a:r>
            <a:rPr lang="en-US" sz="1400" baseline="0">
              <a:latin typeface="Times New Roman" pitchFamily="18" charset="0"/>
              <a:cs typeface="Times New Roman" pitchFamily="18" charset="0"/>
            </a:rPr>
            <a:t>     (1998+)</a:t>
          </a:r>
          <a:endParaRPr lang="en-US" sz="1400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0.09122</cdr:x>
      <cdr:y>0.09343</cdr:y>
    </cdr:from>
    <cdr:to>
      <cdr:x>0.19271</cdr:x>
      <cdr:y>0.89695</cdr:y>
    </cdr:to>
    <cdr:sp macro="" textlink="">
      <cdr:nvSpPr>
        <cdr:cNvPr id="10" name="Rectangle 9"/>
        <cdr:cNvSpPr/>
      </cdr:nvSpPr>
      <cdr:spPr bwMode="auto">
        <a:xfrm xmlns:a="http://schemas.openxmlformats.org/drawingml/2006/main">
          <a:off x="782443" y="544286"/>
          <a:ext cx="870573" cy="468123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  <a:alpha val="22000"/>
          </a:schemeClr>
        </a:solidFill>
        <a:ln xmlns:a="http://schemas.openxmlformats.org/drawingml/2006/main"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</cdr:y>
    </cdr:from>
    <cdr:to>
      <cdr:x>0.00285</cdr:x>
      <cdr:y>0.00419</cdr:y>
    </cdr:to>
    <cdr:pic>
      <cdr:nvPicPr>
        <cdr:cNvPr id="11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0.08652</cdr:x>
      <cdr:y>0.19187</cdr:y>
    </cdr:from>
    <cdr:to>
      <cdr:x>0.20464</cdr:x>
      <cdr:y>0.27114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742126" y="1117809"/>
          <a:ext cx="1013179" cy="4618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Great </a:t>
          </a:r>
          <a:r>
            <a:rPr lang="en-US" sz="1400" baseline="0">
              <a:latin typeface="Times New Roman" pitchFamily="18" charset="0"/>
              <a:cs typeface="Times New Roman" pitchFamily="18" charset="0"/>
            </a:rPr>
            <a:t> Depression</a:t>
          </a:r>
          <a:endParaRPr lang="en-US" sz="1400"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</a:t>
          </a:r>
        </a:p>
      </cdr:txBody>
    </cdr:sp>
  </cdr:relSizeAnchor>
  <cdr:relSizeAnchor xmlns:cdr="http://schemas.openxmlformats.org/drawingml/2006/chartDrawing">
    <cdr:from>
      <cdr:x>0.35596</cdr:x>
      <cdr:y>0.54559</cdr:y>
    </cdr:from>
    <cdr:to>
      <cdr:x>0.41926</cdr:x>
      <cdr:y>0.59628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053261" y="3178526"/>
          <a:ext cx="542958" cy="295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UK</a:t>
          </a:r>
        </a:p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</a:t>
          </a:r>
        </a:p>
      </cdr:txBody>
    </cdr:sp>
  </cdr:relSizeAnchor>
  <cdr:relSizeAnchor xmlns:cdr="http://schemas.openxmlformats.org/drawingml/2006/chartDrawing">
    <cdr:from>
      <cdr:x>0.35808</cdr:x>
      <cdr:y>0.42344</cdr:y>
    </cdr:from>
    <cdr:to>
      <cdr:x>0.42138</cdr:x>
      <cdr:y>0.47438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071405" y="2466891"/>
          <a:ext cx="542958" cy="2967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US</a:t>
          </a:r>
        </a:p>
        <a:p xmlns:a="http://schemas.openxmlformats.org/drawingml/2006/main">
          <a:r>
            <a:rPr lang="en-US" sz="1400">
              <a:latin typeface="Times New Roman" pitchFamily="18" charset="0"/>
              <a:cs typeface="Times New Roman" pitchFamily="18" charset="0"/>
            </a:rPr>
            <a:t>     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5524" cy="58299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0.69364</cdr:x>
      <cdr:y>0.07439</cdr:y>
    </cdr:from>
    <cdr:to>
      <cdr:x>0.97416</cdr:x>
      <cdr:y>0.89595</cdr:y>
    </cdr:to>
    <cdr:sp macro="" textlink="">
      <cdr:nvSpPr>
        <cdr:cNvPr id="11" name="Rectangle 10"/>
        <cdr:cNvSpPr/>
      </cdr:nvSpPr>
      <cdr:spPr bwMode="auto">
        <a:xfrm xmlns:a="http://schemas.openxmlformats.org/drawingml/2006/main">
          <a:off x="5949725" y="433414"/>
          <a:ext cx="2406171" cy="4786278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75000"/>
            <a:alpha val="22000"/>
          </a:schemeClr>
        </a:solidFill>
        <a:ln xmlns:a="http://schemas.openxmlformats.org/drawingml/2006/main" w="190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0.78377</cdr:x>
      <cdr:y>0.75743</cdr:y>
    </cdr:from>
    <cdr:to>
      <cdr:x>0.9617</cdr:x>
      <cdr:y>0.8185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6712857" y="4390570"/>
          <a:ext cx="1524000" cy="3628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>
              <a:latin typeface="Times New Roman" pitchFamily="18" charset="0"/>
              <a:cs typeface="Times New Roman" pitchFamily="18" charset="0"/>
            </a:rPr>
            <a:t>UK WPI in Gold 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0.82237</cdr:x>
      <cdr:y>0.08655</cdr:y>
    </cdr:from>
    <cdr:to>
      <cdr:x>0.96334</cdr:x>
      <cdr:y>0.13956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7053911" y="504248"/>
          <a:ext cx="1209176" cy="308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>
              <a:latin typeface="Times New Roman" pitchFamily="18" charset="0"/>
              <a:cs typeface="Times New Roman" pitchFamily="18" charset="0"/>
            </a:rPr>
            <a:t>UK WPI in </a:t>
          </a:r>
          <a:r>
            <a:rPr lang="en-US" sz="1400" b="1" baseline="0">
              <a:latin typeface="Arial"/>
              <a:cs typeface="Arial"/>
            </a:rPr>
            <a:t>£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0.83202</cdr:x>
      <cdr:y>0.40608</cdr:y>
    </cdr:from>
    <cdr:to>
      <cdr:x>0.97062</cdr:x>
      <cdr:y>0.4591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7136723" y="2365745"/>
          <a:ext cx="1188834" cy="3088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 b="1" baseline="0">
              <a:latin typeface="Times New Roman" pitchFamily="18" charset="0"/>
              <a:cs typeface="Times New Roman" pitchFamily="18" charset="0"/>
            </a:rPr>
            <a:t>UK WPI in </a:t>
          </a:r>
          <a:r>
            <a:rPr lang="en-US" sz="1400" b="1" baseline="0">
              <a:latin typeface="Arial"/>
              <a:cs typeface="Arial"/>
            </a:rPr>
            <a:t>$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5040" cy="583184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0.32291</cdr:x>
      <cdr:y>0.73219</cdr:y>
    </cdr:from>
    <cdr:to>
      <cdr:x>0.36941</cdr:x>
      <cdr:y>0.77894</cdr:y>
    </cdr:to>
    <cdr:sp macro="" textlink="">
      <cdr:nvSpPr>
        <cdr:cNvPr id="7373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69476" y="4271240"/>
          <a:ext cx="398818" cy="2727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US</a:t>
          </a:r>
        </a:p>
      </cdr:txBody>
    </cdr:sp>
  </cdr:relSizeAnchor>
  <cdr:relSizeAnchor xmlns:cdr="http://schemas.openxmlformats.org/drawingml/2006/chartDrawing">
    <cdr:from>
      <cdr:x>0.31772</cdr:x>
      <cdr:y>0.50798</cdr:y>
    </cdr:from>
    <cdr:to>
      <cdr:x>0.36397</cdr:x>
      <cdr:y>0.56226</cdr:y>
    </cdr:to>
    <cdr:sp macro="" textlink="">
      <cdr:nvSpPr>
        <cdr:cNvPr id="7373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25000" y="2963333"/>
          <a:ext cx="396674" cy="316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UK</a:t>
          </a:r>
        </a:p>
      </cdr:txBody>
    </cdr:sp>
  </cdr:relSizeAnchor>
  <cdr:relSizeAnchor xmlns:cdr="http://schemas.openxmlformats.org/drawingml/2006/chartDrawing">
    <cdr:from>
      <cdr:x>0.02535</cdr:x>
      <cdr:y>0.54864</cdr:y>
    </cdr:from>
    <cdr:to>
      <cdr:x>0.08161</cdr:x>
      <cdr:y>0.59451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17445" y="3200524"/>
          <a:ext cx="482527" cy="267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/>
            <a:t>100</a:t>
          </a:r>
        </a:p>
      </cdr:txBody>
    </cdr:sp>
  </cdr:relSizeAnchor>
  <cdr:relSizeAnchor xmlns:cdr="http://schemas.openxmlformats.org/drawingml/2006/chartDrawing">
    <cdr:from>
      <cdr:x>0.02887</cdr:x>
      <cdr:y>0.36143</cdr:y>
    </cdr:from>
    <cdr:to>
      <cdr:x>0.08511</cdr:x>
      <cdr:y>0.40755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247599" y="2108408"/>
          <a:ext cx="482356" cy="2690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 b="1"/>
            <a:t>150</a:t>
          </a:r>
        </a:p>
      </cdr:txBody>
    </cdr:sp>
  </cdr:relSizeAnchor>
  <cdr:relSizeAnchor xmlns:cdr="http://schemas.openxmlformats.org/drawingml/2006/chartDrawing">
    <cdr:from>
      <cdr:x>0.02693</cdr:x>
      <cdr:y>0.23153</cdr:y>
    </cdr:from>
    <cdr:to>
      <cdr:x>0.08319</cdr:x>
      <cdr:y>0.2774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30984" y="1350660"/>
          <a:ext cx="482527" cy="267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 b="1"/>
            <a:t>200</a:t>
          </a:r>
        </a:p>
      </cdr:txBody>
    </cdr:sp>
  </cdr:relSizeAnchor>
  <cdr:relSizeAnchor xmlns:cdr="http://schemas.openxmlformats.org/drawingml/2006/chartDrawing">
    <cdr:from>
      <cdr:x>0.0259</cdr:x>
      <cdr:y>0.12096</cdr:y>
    </cdr:from>
    <cdr:to>
      <cdr:x>0.08215</cdr:x>
      <cdr:y>0.17007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222113" y="705651"/>
          <a:ext cx="482442" cy="286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 b="1"/>
            <a:t>250</a:t>
          </a:r>
        </a:p>
      </cdr:txBody>
    </cdr:sp>
  </cdr:relSizeAnchor>
  <cdr:relSizeAnchor xmlns:cdr="http://schemas.openxmlformats.org/drawingml/2006/chartDrawing">
    <cdr:from>
      <cdr:x>0.02734</cdr:x>
      <cdr:y>0.04459</cdr:y>
    </cdr:from>
    <cdr:to>
      <cdr:x>0.08359</cdr:x>
      <cdr:y>0.0967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34464" y="260101"/>
          <a:ext cx="482441" cy="3039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300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0.68733</cdr:x>
      <cdr:y>0.04199</cdr:y>
    </cdr:from>
    <cdr:to>
      <cdr:x>0.97095</cdr:x>
      <cdr:y>0.88572</cdr:y>
    </cdr:to>
    <cdr:sp macro="" textlink="">
      <cdr:nvSpPr>
        <cdr:cNvPr id="10" name="Rectangle 9"/>
        <cdr:cNvSpPr/>
      </cdr:nvSpPr>
      <cdr:spPr bwMode="auto">
        <a:xfrm xmlns:a="http://schemas.openxmlformats.org/drawingml/2006/main">
          <a:off x="5895046" y="244930"/>
          <a:ext cx="2432525" cy="4921948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75000"/>
            <a:alpha val="22000"/>
          </a:schemeClr>
        </a:solidFill>
        <a:ln xmlns:a="http://schemas.openxmlformats.org/drawingml/2006/main" w="222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0.92123</cdr:x>
      <cdr:y>0.24274</cdr:y>
    </cdr:from>
    <cdr:to>
      <cdr:x>0.96698</cdr:x>
      <cdr:y>0.28999</cdr:y>
    </cdr:to>
    <cdr:sp macro="" textlink="">
      <cdr:nvSpPr>
        <cdr:cNvPr id="7373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01165" y="1416013"/>
          <a:ext cx="392386" cy="275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US</a:t>
          </a:r>
        </a:p>
      </cdr:txBody>
    </cdr:sp>
  </cdr:relSizeAnchor>
  <cdr:relSizeAnchor xmlns:cdr="http://schemas.openxmlformats.org/drawingml/2006/chartDrawing">
    <cdr:from>
      <cdr:x>0.91622</cdr:x>
      <cdr:y>0.06241</cdr:y>
    </cdr:from>
    <cdr:to>
      <cdr:x>0.96272</cdr:x>
      <cdr:y>0.10816</cdr:y>
    </cdr:to>
    <cdr:sp macro="" textlink="">
      <cdr:nvSpPr>
        <cdr:cNvPr id="7373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58144" y="364049"/>
          <a:ext cx="398818" cy="2668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UK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5524" cy="58299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0.66392</cdr:x>
      <cdr:y>0.05709</cdr:y>
    </cdr:from>
    <cdr:to>
      <cdr:x>0.97532</cdr:x>
      <cdr:y>0.89695</cdr:y>
    </cdr:to>
    <cdr:sp macro="" textlink="">
      <cdr:nvSpPr>
        <cdr:cNvPr id="11" name="Rectangle 10"/>
        <cdr:cNvSpPr/>
      </cdr:nvSpPr>
      <cdr:spPr bwMode="auto">
        <a:xfrm xmlns:a="http://schemas.openxmlformats.org/drawingml/2006/main">
          <a:off x="5694841" y="332620"/>
          <a:ext cx="2671005" cy="4892898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75000"/>
            <a:alpha val="22000"/>
          </a:schemeClr>
        </a:solidFill>
        <a:ln xmlns:a="http://schemas.openxmlformats.org/drawingml/2006/main" w="190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0.86426</cdr:x>
      <cdr:y>0.19398</cdr:y>
    </cdr:from>
    <cdr:to>
      <cdr:x>0.96145</cdr:x>
      <cdr:y>0.29794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413225" y="1130078"/>
          <a:ext cx="833651" cy="6056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i="0" baseline="0">
              <a:latin typeface="Times New Roman" pitchFamily="18" charset="0"/>
              <a:ea typeface="+mn-ea"/>
              <a:cs typeface="Times New Roman" pitchFamily="18" charset="0"/>
            </a:rPr>
            <a:t>£-</a:t>
          </a:r>
          <a:r>
            <a:rPr lang="en-US" sz="1400" b="1">
              <a:latin typeface="Times New Roman" pitchFamily="18" charset="0"/>
              <a:cs typeface="Times New Roman" pitchFamily="18" charset="0"/>
            </a:rPr>
            <a:t>Price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of Gold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0.84449</cdr:x>
      <cdr:y>0.79948</cdr:y>
    </cdr:from>
    <cdr:to>
      <cdr:x>0.96286</cdr:x>
      <cdr:y>0.89097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7232952" y="4632461"/>
          <a:ext cx="1015970" cy="5443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>
              <a:latin typeface="Times New Roman" pitchFamily="18" charset="0"/>
              <a:cs typeface="Times New Roman" pitchFamily="18" charset="0"/>
            </a:rPr>
            <a:t>UK WPI in Gold oz.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5524" cy="58299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0.64703</cdr:x>
      <cdr:y>0.06228</cdr:y>
    </cdr:from>
    <cdr:to>
      <cdr:x>0.97557</cdr:x>
      <cdr:y>0.89695</cdr:y>
    </cdr:to>
    <cdr:sp macro="" textlink="">
      <cdr:nvSpPr>
        <cdr:cNvPr id="11" name="Rectangle 10"/>
        <cdr:cNvSpPr/>
      </cdr:nvSpPr>
      <cdr:spPr bwMode="auto">
        <a:xfrm xmlns:a="http://schemas.openxmlformats.org/drawingml/2006/main">
          <a:off x="5549926" y="362858"/>
          <a:ext cx="2818065" cy="48626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75000"/>
            <a:alpha val="22000"/>
          </a:schemeClr>
        </a:solidFill>
        <a:ln xmlns:a="http://schemas.openxmlformats.org/drawingml/2006/main" w="1905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0.85956</cdr:x>
      <cdr:y>0.12944</cdr:y>
    </cdr:from>
    <cdr:to>
      <cdr:x>0.957</cdr:x>
      <cdr:y>0.23315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372910" y="754103"/>
          <a:ext cx="835796" cy="6042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Times New Roman" pitchFamily="18" charset="0"/>
              <a:cs typeface="Times New Roman" pitchFamily="18" charset="0"/>
            </a:rPr>
            <a:t>$-Price</a:t>
          </a:r>
          <a:r>
            <a:rPr lang="en-US" sz="1400" b="1" baseline="0">
              <a:latin typeface="Times New Roman" pitchFamily="18" charset="0"/>
              <a:cs typeface="Times New Roman" pitchFamily="18" charset="0"/>
            </a:rPr>
            <a:t> of Gold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  <cdr:relSizeAnchor xmlns:cdr="http://schemas.openxmlformats.org/drawingml/2006/chartDrawing">
    <cdr:from>
      <cdr:x>0.85273</cdr:x>
      <cdr:y>0.76973</cdr:y>
    </cdr:from>
    <cdr:to>
      <cdr:x>0.97675</cdr:x>
      <cdr:y>0.85889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7314283" y="4484336"/>
          <a:ext cx="1063787" cy="5194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>
              <a:latin typeface="Times New Roman" pitchFamily="18" charset="0"/>
              <a:cs typeface="Times New Roman" pitchFamily="18" charset="0"/>
            </a:rPr>
            <a:t>US WPI in Gold oz.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67057" cy="582385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0.81189</cdr:x>
      <cdr:y>0.03591</cdr:y>
    </cdr:from>
    <cdr:to>
      <cdr:x>0.85003</cdr:x>
      <cdr:y>0.88674</cdr:y>
    </cdr:to>
    <cdr:sp macro="" textlink="">
      <cdr:nvSpPr>
        <cdr:cNvPr id="12" name="Rectangle 11"/>
        <cdr:cNvSpPr/>
      </cdr:nvSpPr>
      <cdr:spPr bwMode="auto">
        <a:xfrm xmlns:a="http://schemas.openxmlformats.org/drawingml/2006/main">
          <a:off x="6945774" y="217714"/>
          <a:ext cx="335052" cy="495802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0.64844</cdr:x>
      <cdr:y>0.03216</cdr:y>
    </cdr:from>
    <cdr:to>
      <cdr:x>0.6947</cdr:x>
      <cdr:y>0.887</cdr:y>
    </cdr:to>
    <cdr:sp macro="" textlink="">
      <cdr:nvSpPr>
        <cdr:cNvPr id="11" name="Rectangle 10"/>
        <cdr:cNvSpPr/>
      </cdr:nvSpPr>
      <cdr:spPr bwMode="auto">
        <a:xfrm xmlns:a="http://schemas.openxmlformats.org/drawingml/2006/main">
          <a:off x="5542307" y="195943"/>
          <a:ext cx="396001" cy="498565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0.42882</cdr:x>
      <cdr:y>0.03216</cdr:y>
    </cdr:from>
    <cdr:to>
      <cdr:x>0.50799</cdr:x>
      <cdr:y>0.88836</cdr:y>
    </cdr:to>
    <cdr:sp macro="" textlink="">
      <cdr:nvSpPr>
        <cdr:cNvPr id="10" name="Rectangle 9"/>
        <cdr:cNvSpPr/>
      </cdr:nvSpPr>
      <cdr:spPr bwMode="auto">
        <a:xfrm xmlns:a="http://schemas.openxmlformats.org/drawingml/2006/main">
          <a:off x="3647304" y="195943"/>
          <a:ext cx="690563" cy="499211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0.32586</cdr:x>
      <cdr:y>0.03321</cdr:y>
    </cdr:from>
    <cdr:to>
      <cdr:x>0.35196</cdr:x>
      <cdr:y>0.88685</cdr:y>
    </cdr:to>
    <cdr:sp macro="" textlink="">
      <cdr:nvSpPr>
        <cdr:cNvPr id="9" name="Rectangle 8"/>
        <cdr:cNvSpPr/>
      </cdr:nvSpPr>
      <cdr:spPr bwMode="auto">
        <a:xfrm xmlns:a="http://schemas.openxmlformats.org/drawingml/2006/main">
          <a:off x="2790491" y="193409"/>
          <a:ext cx="223506" cy="497147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0.24177</cdr:x>
      <cdr:y>0.03271</cdr:y>
    </cdr:from>
    <cdr:to>
      <cdr:x>0.27759</cdr:x>
      <cdr:y>0.88969</cdr:y>
    </cdr:to>
    <cdr:sp macro="" textlink="">
      <cdr:nvSpPr>
        <cdr:cNvPr id="25" name="Rectangle 24"/>
        <cdr:cNvSpPr/>
      </cdr:nvSpPr>
      <cdr:spPr bwMode="auto">
        <a:xfrm xmlns:a="http://schemas.openxmlformats.org/drawingml/2006/main">
          <a:off x="2070374" y="190500"/>
          <a:ext cx="306742" cy="499094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>
            <a:lumMod val="65000"/>
            <a:alpha val="20000"/>
          </a:sys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0.16614</cdr:x>
      <cdr:y>0.24302</cdr:y>
    </cdr:from>
    <cdr:to>
      <cdr:x>0.21214</cdr:x>
      <cdr:y>0.29077</cdr:y>
    </cdr:to>
    <cdr:sp macro="" textlink="">
      <cdr:nvSpPr>
        <cdr:cNvPr id="7373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97660" y="1422590"/>
          <a:ext cx="398368" cy="2795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US</a:t>
          </a:r>
        </a:p>
      </cdr:txBody>
    </cdr:sp>
  </cdr:relSizeAnchor>
  <cdr:relSizeAnchor xmlns:cdr="http://schemas.openxmlformats.org/drawingml/2006/chartDrawing">
    <cdr:from>
      <cdr:x>0.10796</cdr:x>
      <cdr:y>0.31681</cdr:y>
    </cdr:from>
    <cdr:to>
      <cdr:x>0.15422</cdr:x>
      <cdr:y>0.36381</cdr:y>
    </cdr:to>
    <cdr:sp macro="" textlink="">
      <cdr:nvSpPr>
        <cdr:cNvPr id="7373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9221" y="1852327"/>
          <a:ext cx="396312" cy="275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UK</a:t>
          </a:r>
        </a:p>
      </cdr:txBody>
    </cdr:sp>
  </cdr:relSizeAnchor>
  <cdr:relSizeAnchor xmlns:cdr="http://schemas.openxmlformats.org/drawingml/2006/chartDrawing">
    <cdr:from>
      <cdr:x>0.42904</cdr:x>
      <cdr:y>0.18553</cdr:y>
    </cdr:from>
    <cdr:to>
      <cdr:x>0.52426</cdr:x>
      <cdr:y>0.27489</cdr:y>
    </cdr:to>
    <cdr:sp macro="" textlink="">
      <cdr:nvSpPr>
        <cdr:cNvPr id="73738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5597" y="1087148"/>
          <a:ext cx="817255" cy="5215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Great Depression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1873-1894</a:t>
          </a:r>
        </a:p>
      </cdr:txBody>
    </cdr:sp>
  </cdr:relSizeAnchor>
  <cdr:relSizeAnchor xmlns:cdr="http://schemas.openxmlformats.org/drawingml/2006/chartDrawing">
    <cdr:from>
      <cdr:x>0.95987</cdr:x>
      <cdr:y>0.0379</cdr:y>
    </cdr:from>
    <cdr:to>
      <cdr:x>0.97485</cdr:x>
      <cdr:y>0.89055</cdr:y>
    </cdr:to>
    <cdr:sp macro="" textlink="">
      <cdr:nvSpPr>
        <cdr:cNvPr id="13" name="Rectangle 12"/>
        <cdr:cNvSpPr/>
      </cdr:nvSpPr>
      <cdr:spPr bwMode="auto">
        <a:xfrm xmlns:a="http://schemas.openxmlformats.org/drawingml/2006/main" flipH="1">
          <a:off x="8219779" y="220699"/>
          <a:ext cx="128280" cy="496571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65000"/>
            <a:alpha val="20000"/>
          </a:schemeClr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0.31009</cdr:x>
      <cdr:y>0.18325</cdr:y>
    </cdr:from>
    <cdr:to>
      <cdr:x>0.40015</cdr:x>
      <cdr:y>0.27286</cdr:y>
    </cdr:to>
    <cdr:sp macro="" textlink="">
      <cdr:nvSpPr>
        <cdr:cNvPr id="19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35249" y="1073861"/>
          <a:ext cx="770891" cy="5230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Economic Crisis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1847</a:t>
          </a:r>
        </a:p>
      </cdr:txBody>
    </cdr:sp>
  </cdr:relSizeAnchor>
  <cdr:relSizeAnchor xmlns:cdr="http://schemas.openxmlformats.org/drawingml/2006/chartDrawing">
    <cdr:from>
      <cdr:x>0.64768</cdr:x>
      <cdr:y>0.18071</cdr:y>
    </cdr:from>
    <cdr:to>
      <cdr:x>0.7429</cdr:x>
      <cdr:y>0.27032</cdr:y>
    </cdr:to>
    <cdr:sp macro="" textlink="">
      <cdr:nvSpPr>
        <cdr:cNvPr id="20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40112" y="1057648"/>
          <a:ext cx="817256" cy="5230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Great Depression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1929-1939</a:t>
          </a:r>
        </a:p>
      </cdr:txBody>
    </cdr:sp>
  </cdr:relSizeAnchor>
  <cdr:relSizeAnchor xmlns:cdr="http://schemas.openxmlformats.org/drawingml/2006/chartDrawing">
    <cdr:from>
      <cdr:x>0.79978</cdr:x>
      <cdr:y>0.18674</cdr:y>
    </cdr:from>
    <cdr:to>
      <cdr:x>0.88749</cdr:x>
      <cdr:y>0.27635</cdr:y>
    </cdr:to>
    <cdr:sp macro="" textlink="">
      <cdr:nvSpPr>
        <cdr:cNvPr id="21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47879" y="1087120"/>
          <a:ext cx="761961" cy="5231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Great Staglation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1969-1982</a:t>
          </a:r>
        </a:p>
      </cdr:txBody>
    </cdr:sp>
  </cdr:relSizeAnchor>
  <cdr:relSizeAnchor xmlns:cdr="http://schemas.openxmlformats.org/drawingml/2006/chartDrawing">
    <cdr:from>
      <cdr:x>0.93995</cdr:x>
      <cdr:y>0.27698</cdr:y>
    </cdr:from>
    <cdr:to>
      <cdr:x>0.96791</cdr:x>
      <cdr:y>0.34056</cdr:y>
    </cdr:to>
    <cdr:sp macro="" textlink="">
      <cdr:nvSpPr>
        <cdr:cNvPr id="22" name="Straight Arrow Connector 21"/>
        <cdr:cNvSpPr/>
      </cdr:nvSpPr>
      <cdr:spPr bwMode="auto">
        <a:xfrm xmlns:a="http://schemas.openxmlformats.org/drawingml/2006/main" rot="10800000" flipH="1" flipV="1">
          <a:off x="8050570" y="1619782"/>
          <a:ext cx="250150" cy="371578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1587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0.89062</cdr:x>
      <cdr:y>0.17277</cdr:y>
    </cdr:from>
    <cdr:to>
      <cdr:x>0.97011</cdr:x>
      <cdr:y>0.28771</cdr:y>
    </cdr:to>
    <cdr:sp macro="" textlink="">
      <cdr:nvSpPr>
        <cdr:cNvPr id="2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30195" y="1005812"/>
          <a:ext cx="689387" cy="6705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Current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Economic Crisis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2007+</a:t>
          </a: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0.22429</cdr:x>
      <cdr:y>0.18412</cdr:y>
    </cdr:from>
    <cdr:to>
      <cdr:x>0.30604</cdr:x>
      <cdr:y>0.27398</cdr:y>
    </cdr:to>
    <cdr:sp macro="" textlink="">
      <cdr:nvSpPr>
        <cdr:cNvPr id="24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6491" y="1078915"/>
          <a:ext cx="701930" cy="5230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Economic Crisis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1825</a:t>
          </a:r>
        </a:p>
      </cdr:txBody>
    </cdr:sp>
  </cdr:relSizeAnchor>
  <cdr:relSizeAnchor xmlns:cdr="http://schemas.openxmlformats.org/drawingml/2006/chartDrawing">
    <cdr:from>
      <cdr:x>0.05603</cdr:x>
      <cdr:y>0.54613</cdr:y>
    </cdr:from>
    <cdr:to>
      <cdr:x>0.97036</cdr:x>
      <cdr:y>0.54763</cdr:y>
    </cdr:to>
    <cdr:sp macro="" textlink="">
      <cdr:nvSpPr>
        <cdr:cNvPr id="27" name="Straight Connector 26"/>
        <cdr:cNvSpPr/>
      </cdr:nvSpPr>
      <cdr:spPr bwMode="auto">
        <a:xfrm xmlns:a="http://schemas.openxmlformats.org/drawingml/2006/main">
          <a:off x="454299" y="3189305"/>
          <a:ext cx="7869528" cy="10192"/>
        </a:xfrm>
        <a:prstGeom xmlns:a="http://schemas.openxmlformats.org/drawingml/2006/main" prst="line">
          <a:avLst/>
        </a:prstGeom>
        <a:solidFill xmlns:a="http://schemas.openxmlformats.org/drawingml/2006/main">
          <a:srgbClr val="FFFFFF"/>
        </a:solidFill>
        <a:ln xmlns:a="http://schemas.openxmlformats.org/drawingml/2006/main" w="2540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55182" cy="58189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0.69555</cdr:x>
      <cdr:y>0.73542</cdr:y>
    </cdr:from>
    <cdr:to>
      <cdr:x>0.73348</cdr:x>
      <cdr:y>0.77482</cdr:y>
    </cdr:to>
    <cdr:sp macro="" textlink="">
      <cdr:nvSpPr>
        <cdr:cNvPr id="1955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69319" y="4287830"/>
          <a:ext cx="325520" cy="2297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US</a:t>
          </a:r>
        </a:p>
      </cdr:txBody>
    </cdr:sp>
  </cdr:relSizeAnchor>
  <cdr:relSizeAnchor xmlns:cdr="http://schemas.openxmlformats.org/drawingml/2006/chartDrawing">
    <cdr:from>
      <cdr:x>0.70074</cdr:x>
      <cdr:y>0.51276</cdr:y>
    </cdr:from>
    <cdr:to>
      <cdr:x>0.73421</cdr:x>
      <cdr:y>0.55008</cdr:y>
    </cdr:to>
    <cdr:sp macro="" textlink="">
      <cdr:nvSpPr>
        <cdr:cNvPr id="1955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13838" y="2989620"/>
          <a:ext cx="287244" cy="21759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UK</a:t>
          </a:r>
        </a:p>
      </cdr:txBody>
    </cdr:sp>
  </cdr:relSizeAnchor>
  <cdr:relSizeAnchor xmlns:cdr="http://schemas.openxmlformats.org/drawingml/2006/chartDrawing">
    <cdr:from>
      <cdr:x>0.01175</cdr:x>
      <cdr:y>0.92775</cdr:y>
    </cdr:from>
    <cdr:to>
      <cdr:x>0.30533</cdr:x>
      <cdr:y>0.992</cdr:y>
    </cdr:to>
    <cdr:sp macro="" textlink="">
      <cdr:nvSpPr>
        <cdr:cNvPr id="1955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8757" y="5387704"/>
          <a:ext cx="2516837" cy="3715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Smoothing via HP Filter (parameter = 100)</a:t>
          </a:r>
        </a:p>
      </cdr:txBody>
    </cdr:sp>
  </cdr:relSizeAnchor>
  <cdr:relSizeAnchor xmlns:cdr="http://schemas.openxmlformats.org/drawingml/2006/chartDrawing">
    <cdr:from>
      <cdr:x>0.88468</cdr:x>
      <cdr:y>0.61305</cdr:y>
    </cdr:from>
    <cdr:to>
      <cdr:x>0.96568</cdr:x>
      <cdr:y>0.70405</cdr:y>
    </cdr:to>
    <cdr:sp macro="" textlink="">
      <cdr:nvSpPr>
        <cdr:cNvPr id="195591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92396" y="3574366"/>
          <a:ext cx="695152" cy="53057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 of Past Two </a:t>
          </a: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Waves</a:t>
          </a:r>
        </a:p>
      </cdr:txBody>
    </cdr:sp>
  </cdr:relSizeAnchor>
  <cdr:relSizeAnchor xmlns:cdr="http://schemas.openxmlformats.org/drawingml/2006/chartDrawing">
    <cdr:from>
      <cdr:x>0.32919</cdr:x>
      <cdr:y>0.16337</cdr:y>
    </cdr:from>
    <cdr:to>
      <cdr:x>0.39575</cdr:x>
      <cdr:y>0.866</cdr:y>
    </cdr:to>
    <cdr:sp macro="" textlink="">
      <cdr:nvSpPr>
        <cdr:cNvPr id="195599" name="Rectangle 1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25148" y="952501"/>
          <a:ext cx="571226" cy="4096674"/>
        </a:xfrm>
        <a:prstGeom xmlns:a="http://schemas.openxmlformats.org/drawingml/2006/main" prst="rect">
          <a:avLst/>
        </a:prstGeom>
        <a:solidFill xmlns:a="http://schemas.openxmlformats.org/drawingml/2006/main">
          <a:srgbClr val="C0C0C0">
            <a:alpha val="20000"/>
          </a:srgbClr>
        </a:solidFill>
        <a:ln xmlns:a="http://schemas.openxmlformats.org/drawingml/2006/main" w="9525" algn="ctr">
          <a:solidFill>
            <a:srgbClr val="000000"/>
          </a:solidFill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0.58961</cdr:x>
      <cdr:y>0.16172</cdr:y>
    </cdr:from>
    <cdr:to>
      <cdr:x>0.66215</cdr:x>
      <cdr:y>0.86679</cdr:y>
    </cdr:to>
    <cdr:sp macro="" textlink="">
      <cdr:nvSpPr>
        <cdr:cNvPr id="195600" name="Rectangle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60104" y="942879"/>
          <a:ext cx="622547" cy="4110901"/>
        </a:xfrm>
        <a:prstGeom xmlns:a="http://schemas.openxmlformats.org/drawingml/2006/main" prst="rect">
          <a:avLst/>
        </a:prstGeom>
        <a:solidFill xmlns:a="http://schemas.openxmlformats.org/drawingml/2006/main">
          <a:srgbClr val="C0C0C0">
            <a:alpha val="20000"/>
          </a:srgbClr>
        </a:solidFill>
        <a:ln xmlns:a="http://schemas.openxmlformats.org/drawingml/2006/main" w="9525" algn="ctr">
          <a:solidFill>
            <a:srgbClr val="000000"/>
          </a:solidFill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0.344</cdr:x>
      <cdr:y>0.179</cdr:y>
    </cdr:from>
    <cdr:to>
      <cdr:x>0.40125</cdr:x>
      <cdr:y>0.2485</cdr:y>
    </cdr:to>
    <cdr:sp macro="" textlink="">
      <cdr:nvSpPr>
        <cdr:cNvPr id="195601" name="Text Box 1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47926" y="852468"/>
          <a:ext cx="497757" cy="424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Great</a:t>
          </a:r>
        </a:p>
        <a:p xmlns:a="http://schemas.openxmlformats.org/drawingml/2006/main"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Crash</a:t>
          </a:r>
        </a:p>
      </cdr:txBody>
    </cdr:sp>
  </cdr:relSizeAnchor>
  <cdr:relSizeAnchor xmlns:cdr="http://schemas.openxmlformats.org/drawingml/2006/chartDrawing">
    <cdr:from>
      <cdr:x>0.58432</cdr:x>
      <cdr:y>0.174</cdr:y>
    </cdr:from>
    <cdr:to>
      <cdr:x>0.68582</cdr:x>
      <cdr:y>0.2485</cdr:y>
    </cdr:to>
    <cdr:sp macro="" textlink="">
      <cdr:nvSpPr>
        <cdr:cNvPr id="195602" name="Text Box 1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16832" y="819245"/>
          <a:ext cx="871076" cy="4517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Great</a:t>
          </a:r>
        </a:p>
        <a:p xmlns:a="http://schemas.openxmlformats.org/drawingml/2006/main"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Stagnation</a:t>
          </a:r>
        </a:p>
      </cdr:txBody>
    </cdr:sp>
  </cdr:relSizeAnchor>
  <cdr:relSizeAnchor xmlns:cdr="http://schemas.openxmlformats.org/drawingml/2006/chartDrawing">
    <cdr:from>
      <cdr:x>0.3675</cdr:x>
      <cdr:y>0.92775</cdr:y>
    </cdr:from>
    <cdr:to>
      <cdr:x>0.69064</cdr:x>
      <cdr:y>0.98958</cdr:y>
    </cdr:to>
    <cdr:sp macro="" textlink="">
      <cdr:nvSpPr>
        <cdr:cNvPr id="195603" name="Text Box 1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0244" y="5387704"/>
          <a:ext cx="2766423" cy="3575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Average of smoothed US &amp; UK waves, trough-,to-trough, 1897-1939 and 1939-1983</a:t>
          </a:r>
        </a:p>
      </cdr:txBody>
    </cdr:sp>
  </cdr:relSizeAnchor>
  <cdr:relSizeAnchor xmlns:cdr="http://schemas.openxmlformats.org/drawingml/2006/chartDrawing">
    <cdr:from>
      <cdr:x>0.87458</cdr:x>
      <cdr:y>0.70735</cdr:y>
    </cdr:from>
    <cdr:to>
      <cdr:x>0.91008</cdr:x>
      <cdr:y>0.7511</cdr:y>
    </cdr:to>
    <cdr:sp macro="" textlink="">
      <cdr:nvSpPr>
        <cdr:cNvPr id="195604" name="Line 2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7505735" y="4124180"/>
          <a:ext cx="304665" cy="25508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0.83121</cdr:x>
      <cdr:y>0.15512</cdr:y>
    </cdr:from>
    <cdr:to>
      <cdr:x>0.83121</cdr:x>
      <cdr:y>0.86575</cdr:y>
    </cdr:to>
    <cdr:sp macro="" textlink="">
      <cdr:nvSpPr>
        <cdr:cNvPr id="195605" name="Line 2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7133545" y="904394"/>
          <a:ext cx="0" cy="414332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5400">
          <a:solidFill>
            <a:srgbClr val="000000"/>
          </a:solidFill>
          <a:prstDash val="dash"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0.71684</cdr:x>
      <cdr:y>0.80573</cdr:y>
    </cdr:from>
    <cdr:to>
      <cdr:x>0.79076</cdr:x>
      <cdr:y>0.85688</cdr:y>
    </cdr:to>
    <cdr:sp macro="" textlink="">
      <cdr:nvSpPr>
        <cdr:cNvPr id="195606" name="Text Box 2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54120" y="4666970"/>
          <a:ext cx="634333" cy="311732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 algn="ctr">
          <a:solidFill>
            <a:srgbClr val="000000"/>
          </a:solidFill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2008-9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</cdr:x>
      <cdr:y>0</cdr:y>
    </cdr:to>
    <cdr:pic>
      <cdr:nvPicPr>
        <cdr:cNvPr id="18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0.76408</cdr:x>
      <cdr:y>0.44683</cdr:y>
    </cdr:from>
    <cdr:to>
      <cdr:x>0.81489</cdr:x>
      <cdr:y>0.4896</cdr:y>
    </cdr:to>
    <cdr:sp macro="" textlink="">
      <cdr:nvSpPr>
        <cdr:cNvPr id="19" name="Text Box 2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61666" y="2479525"/>
          <a:ext cx="438453" cy="25702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 algn="ctr">
          <a:solidFill>
            <a:srgbClr val="000000"/>
          </a:solidFill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2000</a:t>
          </a:r>
        </a:p>
      </cdr:txBody>
    </cdr:sp>
  </cdr:relSizeAnchor>
  <cdr:relSizeAnchor xmlns:cdr="http://schemas.openxmlformats.org/drawingml/2006/chartDrawing">
    <cdr:from>
      <cdr:x>0.31308</cdr:x>
      <cdr:y>0.45691</cdr:y>
    </cdr:from>
    <cdr:to>
      <cdr:x>0.34403</cdr:x>
      <cdr:y>0.49394</cdr:y>
    </cdr:to>
    <cdr:sp macro="" textlink="">
      <cdr:nvSpPr>
        <cdr:cNvPr id="20" name="5-Point Star 19"/>
        <cdr:cNvSpPr/>
      </cdr:nvSpPr>
      <cdr:spPr bwMode="auto">
        <a:xfrm xmlns:a="http://schemas.openxmlformats.org/drawingml/2006/main">
          <a:off x="2691191" y="2540000"/>
          <a:ext cx="257023" cy="226786"/>
        </a:xfrm>
        <a:prstGeom xmlns:a="http://schemas.openxmlformats.org/drawingml/2006/main" prst="star5">
          <a:avLst/>
        </a:prstGeom>
        <a:solidFill xmlns:a="http://schemas.openxmlformats.org/drawingml/2006/main">
          <a:srgbClr val="C00000"/>
        </a:solidFill>
        <a:ln xmlns:a="http://schemas.openxmlformats.org/drawingml/2006/main" w="9525" cap="flat" cmpd="sng" algn="ctr">
          <a:solidFill>
            <a:schemeClr val="tx1">
              <a:alpha val="48000"/>
            </a:scheme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0.57471</cdr:x>
      <cdr:y>0.39985</cdr:y>
    </cdr:from>
    <cdr:to>
      <cdr:x>0.60667</cdr:x>
      <cdr:y>0.44506</cdr:y>
    </cdr:to>
    <cdr:sp macro="" textlink="">
      <cdr:nvSpPr>
        <cdr:cNvPr id="21" name="5-Point Star 20"/>
        <cdr:cNvSpPr/>
      </cdr:nvSpPr>
      <cdr:spPr bwMode="auto">
        <a:xfrm xmlns:a="http://schemas.openxmlformats.org/drawingml/2006/main">
          <a:off x="4932222" y="2331332"/>
          <a:ext cx="274284" cy="263595"/>
        </a:xfrm>
        <a:prstGeom xmlns:a="http://schemas.openxmlformats.org/drawingml/2006/main" prst="star5">
          <a:avLst/>
        </a:prstGeom>
        <a:solidFill xmlns:a="http://schemas.openxmlformats.org/drawingml/2006/main">
          <a:srgbClr val="C00000"/>
        </a:solidFill>
        <a:ln xmlns:a="http://schemas.openxmlformats.org/drawingml/2006/main" w="9525" cap="flat" cmpd="sng" algn="ctr">
          <a:solidFill>
            <a:sysClr val="windowText" lastClr="000000">
              <a:alpha val="48000"/>
            </a:sys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0.81776</cdr:x>
      <cdr:y>0.69191</cdr:y>
    </cdr:from>
    <cdr:to>
      <cdr:x>0.84771</cdr:x>
      <cdr:y>0.72894</cdr:y>
    </cdr:to>
    <cdr:sp macro="" textlink="">
      <cdr:nvSpPr>
        <cdr:cNvPr id="22" name="5-Point Star 21"/>
        <cdr:cNvSpPr/>
      </cdr:nvSpPr>
      <cdr:spPr bwMode="auto">
        <a:xfrm xmlns:a="http://schemas.openxmlformats.org/drawingml/2006/main">
          <a:off x="7018076" y="4034151"/>
          <a:ext cx="257034" cy="215902"/>
        </a:xfrm>
        <a:prstGeom xmlns:a="http://schemas.openxmlformats.org/drawingml/2006/main" prst="star5">
          <a:avLst/>
        </a:prstGeom>
        <a:solidFill xmlns:a="http://schemas.openxmlformats.org/drawingml/2006/main">
          <a:srgbClr val="C00000"/>
        </a:solidFill>
        <a:ln xmlns:a="http://schemas.openxmlformats.org/drawingml/2006/main" w="9525" cap="flat" cmpd="sng" algn="ctr">
          <a:solidFill>
            <a:sysClr val="windowText" lastClr="000000">
              <a:alpha val="48000"/>
            </a:sys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0.43036</cdr:x>
      <cdr:y>0.24651</cdr:y>
    </cdr:from>
    <cdr:to>
      <cdr:x>0.46207</cdr:x>
      <cdr:y>0.24678</cdr:y>
    </cdr:to>
    <cdr:sp macro="" textlink="">
      <cdr:nvSpPr>
        <cdr:cNvPr id="28" name="Straight Arrow Connector 27"/>
        <cdr:cNvSpPr/>
      </cdr:nvSpPr>
      <cdr:spPr bwMode="auto">
        <a:xfrm xmlns:a="http://schemas.openxmlformats.org/drawingml/2006/main">
          <a:off x="3689047" y="1259416"/>
          <a:ext cx="272143" cy="1588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noFill/>
          <a:prstDash val="solid"/>
          <a:round/>
          <a:headEnd type="arrow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0.43036</cdr:x>
      <cdr:y>0.24911</cdr:y>
    </cdr:from>
    <cdr:to>
      <cdr:x>0.46207</cdr:x>
      <cdr:y>0.24938</cdr:y>
    </cdr:to>
    <cdr:sp macro="" textlink="">
      <cdr:nvSpPr>
        <cdr:cNvPr id="30" name="Straight Arrow Connector 29"/>
        <cdr:cNvSpPr/>
      </cdr:nvSpPr>
      <cdr:spPr bwMode="auto">
        <a:xfrm xmlns:a="http://schemas.openxmlformats.org/drawingml/2006/main">
          <a:off x="3689047" y="1274535"/>
          <a:ext cx="272143" cy="1588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noFill/>
          <a:prstDash val="solid"/>
          <a:round/>
          <a:headEnd type="arrow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0.53263</cdr:x>
      <cdr:y>0.4322</cdr:y>
    </cdr:from>
    <cdr:to>
      <cdr:x>0.5849</cdr:x>
      <cdr:y>0.4322</cdr:y>
    </cdr:to>
    <cdr:sp macro="" textlink="">
      <cdr:nvSpPr>
        <cdr:cNvPr id="32" name="Straight Arrow Connector 31"/>
        <cdr:cNvSpPr/>
      </cdr:nvSpPr>
      <cdr:spPr bwMode="auto">
        <a:xfrm xmlns:a="http://schemas.openxmlformats.org/drawingml/2006/main" flipV="1">
          <a:off x="4571108" y="2519895"/>
          <a:ext cx="448587" cy="0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19050" cap="flat" cmpd="sng" algn="ctr">
          <a:solidFill>
            <a:srgbClr val="000000"/>
          </a:solidFill>
          <a:prstDash val="solid"/>
          <a:round/>
          <a:headEnd type="arrow"/>
          <a:tailEnd type="arrow"/>
        </a:ln>
        <a:effectLst xmlns:a="http://schemas.openxmlformats.org/drawingml/2006/main"/>
        <a:scene3d xmlns:a="http://schemas.openxmlformats.org/drawingml/2006/main">
          <a:camera prst="orthographicFront"/>
          <a:lightRig rig="threePt" dir="t"/>
        </a:scene3d>
        <a:sp3d xmlns:a="http://schemas.openxmlformats.org/drawingml/2006/main"/>
      </cdr:spPr>
      <cdr:txBody>
        <a:bodyPr xmlns:a="http://schemas.openxmlformats.org/drawingml/2006/main" vertOverflow="clip" wrap="square" lIns="18288" tIns="0" rIns="0" bIns="0" upright="1">
          <a:flatTx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0.7822</cdr:x>
      <cdr:y>0.70481</cdr:y>
    </cdr:from>
    <cdr:to>
      <cdr:x>0.83184</cdr:x>
      <cdr:y>0.70481</cdr:y>
    </cdr:to>
    <cdr:sp macro="" textlink="">
      <cdr:nvSpPr>
        <cdr:cNvPr id="35" name="Straight Arrow Connector 34"/>
        <cdr:cNvSpPr/>
      </cdr:nvSpPr>
      <cdr:spPr bwMode="auto">
        <a:xfrm xmlns:a="http://schemas.openxmlformats.org/drawingml/2006/main" flipV="1">
          <a:off x="6712935" y="4109354"/>
          <a:ext cx="426004" cy="0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19050" cap="flat" cmpd="sng" algn="ctr">
          <a:solidFill>
            <a:srgbClr val="000000"/>
          </a:solidFill>
          <a:prstDash val="solid"/>
          <a:round/>
          <a:headEnd type="arrow"/>
          <a:tailEnd type="arrow"/>
        </a:ln>
        <a:effectLst xmlns:a="http://schemas.openxmlformats.org/drawingml/2006/main"/>
        <a:scene3d xmlns:a="http://schemas.openxmlformats.org/drawingml/2006/main">
          <a:camera prst="orthographicFront"/>
          <a:lightRig rig="threePt" dir="t"/>
        </a:scene3d>
        <a:sp3d xmlns:a="http://schemas.openxmlformats.org/drawingml/2006/main"/>
      </cdr:spPr>
      <cdr:txBody>
        <a:bodyPr xmlns:a="http://schemas.openxmlformats.org/drawingml/2006/main" wrap="square" lIns="18288" tIns="0" rIns="0" bIns="0" upright="1">
          <a:flatTx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0.26979</cdr:x>
      <cdr:y>0.47509</cdr:y>
    </cdr:from>
    <cdr:to>
      <cdr:x>0.32257</cdr:x>
      <cdr:y>0.47509</cdr:y>
    </cdr:to>
    <cdr:sp macro="" textlink="">
      <cdr:nvSpPr>
        <cdr:cNvPr id="36" name="Straight Arrow Connector 35"/>
        <cdr:cNvSpPr/>
      </cdr:nvSpPr>
      <cdr:spPr bwMode="auto">
        <a:xfrm xmlns:a="http://schemas.openxmlformats.org/drawingml/2006/main" flipV="1">
          <a:off x="2313213" y="2650006"/>
          <a:ext cx="457200" cy="0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19050" cap="flat" cmpd="sng" algn="ctr">
          <a:solidFill>
            <a:srgbClr val="000000"/>
          </a:solidFill>
          <a:prstDash val="solid"/>
          <a:round/>
          <a:headEnd type="arrow"/>
          <a:tailEnd type="arrow"/>
        </a:ln>
        <a:effectLst xmlns:a="http://schemas.openxmlformats.org/drawingml/2006/main"/>
        <a:scene3d xmlns:a="http://schemas.openxmlformats.org/drawingml/2006/main">
          <a:camera prst="orthographicFront"/>
          <a:lightRig rig="threePt" dir="t"/>
        </a:scene3d>
        <a:sp3d xmlns:a="http://schemas.openxmlformats.org/drawingml/2006/main"/>
      </cdr:spPr>
      <cdr:txBody>
        <a:bodyPr xmlns:a="http://schemas.openxmlformats.org/drawingml/2006/main" wrap="square" lIns="18288" tIns="0" rIns="0" bIns="0" upright="1">
          <a:flatTx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0.26803</cdr:x>
      <cdr:y>0.48766</cdr:y>
    </cdr:from>
    <cdr:to>
      <cdr:x>0.3317</cdr:x>
      <cdr:y>0.54947</cdr:y>
    </cdr:to>
    <cdr:sp macro="" textlink="">
      <cdr:nvSpPr>
        <cdr:cNvPr id="37" name="TextBox 36"/>
        <cdr:cNvSpPr txBox="1"/>
      </cdr:nvSpPr>
      <cdr:spPr>
        <a:xfrm xmlns:a="http://schemas.openxmlformats.org/drawingml/2006/main">
          <a:off x="2298096" y="2725964"/>
          <a:ext cx="544286" cy="377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200" b="1"/>
            <a:t>9 yrs</a:t>
          </a:r>
          <a:r>
            <a:rPr lang="en-US" sz="1100"/>
            <a:t>.</a:t>
          </a:r>
        </a:p>
      </cdr:txBody>
    </cdr:sp>
  </cdr:relSizeAnchor>
  <cdr:relSizeAnchor xmlns:cdr="http://schemas.openxmlformats.org/drawingml/2006/chartDrawing">
    <cdr:from>
      <cdr:x>0.53707</cdr:x>
      <cdr:y>0.48663</cdr:y>
    </cdr:from>
    <cdr:to>
      <cdr:x>0.60049</cdr:x>
      <cdr:y>0.54894</cdr:y>
    </cdr:to>
    <cdr:sp macro="" textlink="">
      <cdr:nvSpPr>
        <cdr:cNvPr id="38" name="TextBox 1"/>
        <cdr:cNvSpPr txBox="1"/>
      </cdr:nvSpPr>
      <cdr:spPr>
        <a:xfrm xmlns:a="http://schemas.openxmlformats.org/drawingml/2006/main">
          <a:off x="4611310" y="2721429"/>
          <a:ext cx="544286" cy="377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/>
            <a:t>8 yrs</a:t>
          </a:r>
          <a:r>
            <a:rPr lang="en-US" sz="1100"/>
            <a:t>.</a:t>
          </a:r>
        </a:p>
      </cdr:txBody>
    </cdr:sp>
  </cdr:relSizeAnchor>
  <cdr:relSizeAnchor xmlns:cdr="http://schemas.openxmlformats.org/drawingml/2006/chartDrawing">
    <cdr:from>
      <cdr:x>0.75872</cdr:x>
      <cdr:y>0.72089</cdr:y>
    </cdr:from>
    <cdr:to>
      <cdr:x>0.84001</cdr:x>
      <cdr:y>0.77927</cdr:y>
    </cdr:to>
    <cdr:sp macro="" textlink="">
      <cdr:nvSpPr>
        <cdr:cNvPr id="39" name="TextBox 1"/>
        <cdr:cNvSpPr txBox="1"/>
      </cdr:nvSpPr>
      <cdr:spPr>
        <a:xfrm xmlns:a="http://schemas.openxmlformats.org/drawingml/2006/main">
          <a:off x="6511450" y="4203114"/>
          <a:ext cx="697641" cy="3403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" b="1"/>
            <a:t>8-9 yrs</a:t>
          </a:r>
          <a:r>
            <a:rPr lang="en-US" sz="1100"/>
            <a:t>.</a:t>
          </a:r>
        </a:p>
      </cdr:txBody>
    </cdr:sp>
  </cdr:relSizeAnchor>
  <cdr:relSizeAnchor xmlns:cdr="http://schemas.openxmlformats.org/drawingml/2006/chartDrawing">
    <cdr:from>
      <cdr:x>0.79629</cdr:x>
      <cdr:y>0.79718</cdr:y>
    </cdr:from>
    <cdr:to>
      <cdr:x>0.828</cdr:x>
      <cdr:y>0.82951</cdr:y>
    </cdr:to>
    <cdr:sp macro="" textlink="">
      <cdr:nvSpPr>
        <cdr:cNvPr id="41" name="Straight Arrow Connector 40"/>
        <cdr:cNvSpPr/>
      </cdr:nvSpPr>
      <cdr:spPr bwMode="auto">
        <a:xfrm xmlns:a="http://schemas.openxmlformats.org/drawingml/2006/main" flipV="1">
          <a:off x="6833809" y="4615845"/>
          <a:ext cx="272143" cy="196547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25400" cap="flat" cmpd="sng" algn="ctr">
          <a:solidFill>
            <a:schemeClr val="tx1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ik_000/Dropbox/_ANWAR/ALLDATA/_NEW%20ALLDATA/Long%20Run%20Patterns/_Long%20Term%20Main/_USPATTERNS1boo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17.1 usukwaveprojected "/>
      <sheetName val="Fig16.1usukglddetrnded"/>
      <sheetName val="usukppigoldwave"/>
      <sheetName val="Fig10.6"/>
      <sheetName val="Fig10.7"/>
      <sheetName val="Fig10.8"/>
      <sheetName val="Fig10.9"/>
      <sheetName val="DOCUSLR "/>
      <sheetName val="DATAUSLR "/>
      <sheetName val="Figusukwpi"/>
      <sheetName val="Figuswpi1940"/>
      <sheetName val="Fig2.10usukppigld"/>
      <sheetName val="Fig2.1IndProdUS (2)"/>
      <sheetName val="Fig2.2InvestUS (2)"/>
      <sheetName val="Fig2.3GdPpercap (2)"/>
      <sheetName val="BusCycle1 (2)"/>
      <sheetName val="BusCycle2 (2)"/>
      <sheetName val="BusCycle3 (2)"/>
      <sheetName val="Fig2.5Mfgprodvty&amp;ec (2)"/>
      <sheetName val="Fig2.6MfgRULC (2)"/>
      <sheetName val="Fig 2.7 unempl"/>
      <sheetName val="Fig2.1IndProdUS"/>
      <sheetName val="Fig2.2InvestUS"/>
      <sheetName val="Fig2.3GdPpercap"/>
      <sheetName val="BusCycle1"/>
      <sheetName val="BusCycle2"/>
      <sheetName val="BusCycle3"/>
      <sheetName val="Fig2.5Mfgprodvty&amp;ec"/>
      <sheetName val="Fig2.6MfgRULC"/>
      <sheetName val="UKWPIPGDATA"/>
      <sheetName val="FRBIndPrdIndex"/>
      <sheetName val="GDPpercapSources"/>
      <sheetName val="Fig14.xx"/>
      <sheetName val="Figibppi"/>
      <sheetName val="Figibpiratio"/>
      <sheetName val="Figibreal"/>
      <sheetName val="Figibgppi"/>
      <sheetName val="Figysib"/>
      <sheetName val="rbrs"/>
      <sheetName val="rs-rb"/>
      <sheetName val="Chartibrsrbdiff"/>
      <sheetName val="Chartysib"/>
      <sheetName val="Chartysiboverp"/>
      <sheetName val="Fig 5.1"/>
      <sheetName val="Fig 5.2"/>
      <sheetName val="Fig5.3"/>
      <sheetName val="Fig5.4"/>
      <sheetName val="Fig 5.5"/>
      <sheetName val="Fig 5.6"/>
      <sheetName val="Fig 5.7xxbook"/>
      <sheetName val="Fig 5.7a book"/>
      <sheetName val="Fig 5.7b book"/>
      <sheetName val="Fig 5.3a book"/>
      <sheetName val="chartpbwpi"/>
      <sheetName val="Chartpbr"/>
      <sheetName val="Chartiboverp"/>
      <sheetName val="Chartgpbr"/>
      <sheetName val="rbrs (2)"/>
      <sheetName val="Sheet3"/>
      <sheetName val="Langclass"/>
      <sheetName val="ChartGibsonParadox"/>
      <sheetName val="BusCycleXX4"/>
      <sheetName val="BusCycleXX4A"/>
      <sheetName val="usbuscyl47plus"/>
      <sheetName val="Mfgprodvty&amp;ec2"/>
      <sheetName val="Chart2"/>
      <sheetName val="unempl"/>
      <sheetName val="unempl Great Depression"/>
      <sheetName val="ukwpi40"/>
      <sheetName val="uswpi40"/>
      <sheetName val="Ukwpigold 1940"/>
      <sheetName val="USwpigold40"/>
      <sheetName val="Ukwpigold"/>
      <sheetName val="USwpigold"/>
      <sheetName val="ukwpi40plus"/>
      <sheetName val="uswpi40plus"/>
      <sheetName val="ukppigold"/>
      <sheetName val="usukppigold"/>
      <sheetName val="avggoldwaveHP"/>
      <sheetName val="usukppigoldhp"/>
      <sheetName val="usukwaveprojected"/>
      <sheetName val="pspbayres"/>
      <sheetName val="pspbrealayres"/>
      <sheetName val="rbrshp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7">
          <cell r="BA17" t="str">
            <v>USWPI</v>
          </cell>
          <cell r="BM17" t="str">
            <v>UKWPI</v>
          </cell>
        </row>
        <row r="18">
          <cell r="A18">
            <v>1780</v>
          </cell>
        </row>
        <row r="19">
          <cell r="A19">
            <v>1781</v>
          </cell>
        </row>
        <row r="20">
          <cell r="A20">
            <v>1782</v>
          </cell>
        </row>
        <row r="21">
          <cell r="A21">
            <v>1783</v>
          </cell>
        </row>
        <row r="22">
          <cell r="A22">
            <v>1784</v>
          </cell>
        </row>
        <row r="23">
          <cell r="A23">
            <v>1785</v>
          </cell>
        </row>
        <row r="24">
          <cell r="A24">
            <v>1786</v>
          </cell>
        </row>
        <row r="25">
          <cell r="A25">
            <v>1787</v>
          </cell>
        </row>
        <row r="26">
          <cell r="A26">
            <v>1788</v>
          </cell>
        </row>
        <row r="27">
          <cell r="A27">
            <v>1789</v>
          </cell>
        </row>
        <row r="28">
          <cell r="A28">
            <v>1790</v>
          </cell>
          <cell r="BA28">
            <v>74.403615447822531</v>
          </cell>
          <cell r="BM28">
            <v>96.5</v>
          </cell>
        </row>
        <row r="29">
          <cell r="A29">
            <v>1791</v>
          </cell>
          <cell r="BA29">
            <v>76.419063270336906</v>
          </cell>
          <cell r="BM29">
            <v>96.9</v>
          </cell>
        </row>
        <row r="30">
          <cell r="A30">
            <v>1792</v>
          </cell>
          <cell r="BA30">
            <v>77.846672144617926</v>
          </cell>
          <cell r="BM30">
            <v>95.2</v>
          </cell>
        </row>
        <row r="31">
          <cell r="A31">
            <v>1793</v>
          </cell>
          <cell r="BA31">
            <v>80.533935907970431</v>
          </cell>
          <cell r="BM31">
            <v>104.4</v>
          </cell>
        </row>
        <row r="32">
          <cell r="A32">
            <v>1794</v>
          </cell>
          <cell r="BA32">
            <v>89.351520131470835</v>
          </cell>
          <cell r="BM32">
            <v>106.4</v>
          </cell>
        </row>
        <row r="33">
          <cell r="A33">
            <v>1795</v>
          </cell>
          <cell r="BA33">
            <v>102.2</v>
          </cell>
          <cell r="BM33">
            <v>124.1</v>
          </cell>
        </row>
        <row r="34">
          <cell r="A34">
            <v>1796</v>
          </cell>
          <cell r="BA34">
            <v>107.57452752670503</v>
          </cell>
          <cell r="BM34">
            <v>125.4</v>
          </cell>
        </row>
        <row r="35">
          <cell r="A35">
            <v>1797</v>
          </cell>
          <cell r="BA35">
            <v>103.54363188167626</v>
          </cell>
          <cell r="BM35">
            <v>114.7</v>
          </cell>
        </row>
        <row r="36">
          <cell r="A36">
            <v>1798</v>
          </cell>
          <cell r="BA36">
            <v>100.10057518488087</v>
          </cell>
          <cell r="BM36">
            <v>116.6</v>
          </cell>
        </row>
        <row r="37">
          <cell r="A37">
            <v>1799</v>
          </cell>
          <cell r="BA37">
            <v>100.10057518488087</v>
          </cell>
          <cell r="BM37">
            <v>134.6</v>
          </cell>
        </row>
        <row r="38">
          <cell r="A38">
            <v>1800</v>
          </cell>
          <cell r="BA38">
            <v>102.2</v>
          </cell>
          <cell r="BM38">
            <v>163.1</v>
          </cell>
        </row>
        <row r="39">
          <cell r="A39">
            <v>1801</v>
          </cell>
          <cell r="BA39">
            <v>112.6</v>
          </cell>
          <cell r="BM39">
            <v>163.19999999999999</v>
          </cell>
        </row>
        <row r="40">
          <cell r="A40">
            <v>1802</v>
          </cell>
          <cell r="BA40">
            <v>92.8</v>
          </cell>
          <cell r="BM40">
            <v>132</v>
          </cell>
        </row>
        <row r="41">
          <cell r="A41">
            <v>1803</v>
          </cell>
          <cell r="BA41">
            <v>93.5</v>
          </cell>
          <cell r="BM41">
            <v>133.5</v>
          </cell>
        </row>
        <row r="42">
          <cell r="A42">
            <v>1804</v>
          </cell>
          <cell r="BA42">
            <v>100</v>
          </cell>
          <cell r="BM42">
            <v>134.30000000000001</v>
          </cell>
        </row>
        <row r="43">
          <cell r="A43">
            <v>1805</v>
          </cell>
          <cell r="BA43">
            <v>111.9</v>
          </cell>
          <cell r="BM43">
            <v>147.1</v>
          </cell>
        </row>
        <row r="44">
          <cell r="A44">
            <v>1806</v>
          </cell>
          <cell r="BA44">
            <v>106.3</v>
          </cell>
          <cell r="BM44">
            <v>145.30000000000001</v>
          </cell>
        </row>
        <row r="45">
          <cell r="A45">
            <v>1807</v>
          </cell>
          <cell r="BA45">
            <v>103.1</v>
          </cell>
          <cell r="BM45">
            <v>141.69999999999999</v>
          </cell>
        </row>
        <row r="46">
          <cell r="A46">
            <v>1808</v>
          </cell>
          <cell r="BA46">
            <v>91.3</v>
          </cell>
          <cell r="BM46">
            <v>156.1</v>
          </cell>
        </row>
        <row r="47">
          <cell r="A47">
            <v>1809</v>
          </cell>
          <cell r="BA47">
            <v>103.1</v>
          </cell>
          <cell r="BM47">
            <v>167.4</v>
          </cell>
        </row>
        <row r="48">
          <cell r="A48">
            <v>1810</v>
          </cell>
          <cell r="BA48">
            <v>103.8</v>
          </cell>
          <cell r="BM48">
            <v>165.7</v>
          </cell>
        </row>
        <row r="49">
          <cell r="A49">
            <v>1811</v>
          </cell>
          <cell r="BA49">
            <v>100</v>
          </cell>
          <cell r="BM49">
            <v>157.1</v>
          </cell>
        </row>
        <row r="50">
          <cell r="A50">
            <v>1812</v>
          </cell>
          <cell r="BA50">
            <v>103.8</v>
          </cell>
          <cell r="BM50">
            <v>176.8</v>
          </cell>
        </row>
        <row r="51">
          <cell r="A51">
            <v>1813</v>
          </cell>
          <cell r="BA51">
            <v>128.5</v>
          </cell>
          <cell r="BM51">
            <v>182.5</v>
          </cell>
        </row>
        <row r="52">
          <cell r="A52">
            <v>1814</v>
          </cell>
          <cell r="BA52">
            <v>144.4</v>
          </cell>
          <cell r="BM52">
            <v>166</v>
          </cell>
        </row>
        <row r="53">
          <cell r="A53">
            <v>1815</v>
          </cell>
          <cell r="BA53">
            <v>134.80000000000001</v>
          </cell>
          <cell r="BM53">
            <v>140.30000000000001</v>
          </cell>
        </row>
        <row r="54">
          <cell r="A54">
            <v>1816</v>
          </cell>
          <cell r="BA54">
            <v>119.7</v>
          </cell>
          <cell r="BM54">
            <v>128.1</v>
          </cell>
        </row>
        <row r="55">
          <cell r="A55">
            <v>1817</v>
          </cell>
          <cell r="BA55">
            <v>119.7</v>
          </cell>
          <cell r="BM55">
            <v>142.9</v>
          </cell>
        </row>
        <row r="56">
          <cell r="A56">
            <v>1818</v>
          </cell>
          <cell r="BA56">
            <v>116.6</v>
          </cell>
          <cell r="BM56">
            <v>149.80000000000001</v>
          </cell>
        </row>
        <row r="57">
          <cell r="A57">
            <v>1819</v>
          </cell>
          <cell r="BA57">
            <v>99.1</v>
          </cell>
          <cell r="BM57">
            <v>138.4</v>
          </cell>
        </row>
        <row r="58">
          <cell r="A58">
            <v>1820</v>
          </cell>
          <cell r="BA58">
            <v>84.1</v>
          </cell>
          <cell r="BM58">
            <v>124.7</v>
          </cell>
        </row>
        <row r="59">
          <cell r="A59">
            <v>1821</v>
          </cell>
          <cell r="BA59">
            <v>84.1</v>
          </cell>
          <cell r="BM59">
            <v>107.7</v>
          </cell>
        </row>
        <row r="60">
          <cell r="A60">
            <v>1822</v>
          </cell>
          <cell r="BA60">
            <v>84.1</v>
          </cell>
          <cell r="BM60">
            <v>95</v>
          </cell>
        </row>
        <row r="61">
          <cell r="A61">
            <v>1823</v>
          </cell>
          <cell r="BA61">
            <v>81.599999999999994</v>
          </cell>
          <cell r="BM61">
            <v>105.4</v>
          </cell>
        </row>
        <row r="62">
          <cell r="A62">
            <v>1824</v>
          </cell>
          <cell r="BA62">
            <v>77.8</v>
          </cell>
          <cell r="BM62">
            <v>110.1</v>
          </cell>
        </row>
        <row r="63">
          <cell r="A63">
            <v>1825</v>
          </cell>
          <cell r="BA63">
            <v>81.599999999999994</v>
          </cell>
          <cell r="BM63">
            <v>122.1</v>
          </cell>
        </row>
        <row r="64">
          <cell r="A64">
            <v>1826</v>
          </cell>
          <cell r="BA64">
            <v>78.5</v>
          </cell>
          <cell r="BM64">
            <v>108</v>
          </cell>
        </row>
        <row r="65">
          <cell r="A65">
            <v>1827</v>
          </cell>
          <cell r="BA65">
            <v>77.8</v>
          </cell>
          <cell r="BM65">
            <v>107.3</v>
          </cell>
        </row>
        <row r="66">
          <cell r="A66">
            <v>1828</v>
          </cell>
          <cell r="BA66">
            <v>76.900000000000006</v>
          </cell>
          <cell r="BM66">
            <v>104.1</v>
          </cell>
        </row>
        <row r="67">
          <cell r="A67">
            <v>1829</v>
          </cell>
          <cell r="BA67">
            <v>76.2</v>
          </cell>
          <cell r="BM67">
            <v>103.5</v>
          </cell>
        </row>
        <row r="68">
          <cell r="A68">
            <v>1830</v>
          </cell>
          <cell r="BA68">
            <v>72.2</v>
          </cell>
          <cell r="BM68">
            <v>102.1</v>
          </cell>
        </row>
        <row r="69">
          <cell r="A69">
            <v>1831</v>
          </cell>
          <cell r="BA69">
            <v>74.400000000000006</v>
          </cell>
          <cell r="BM69">
            <v>102.9</v>
          </cell>
        </row>
        <row r="70">
          <cell r="A70">
            <v>1832</v>
          </cell>
          <cell r="BA70">
            <v>75.3</v>
          </cell>
          <cell r="BM70">
            <v>98.8</v>
          </cell>
        </row>
        <row r="71">
          <cell r="A71">
            <v>1833</v>
          </cell>
          <cell r="BA71">
            <v>75.3</v>
          </cell>
          <cell r="BM71">
            <v>95.7</v>
          </cell>
        </row>
        <row r="72">
          <cell r="A72">
            <v>1834</v>
          </cell>
          <cell r="BA72">
            <v>71.3</v>
          </cell>
          <cell r="BM72">
            <v>93.4</v>
          </cell>
        </row>
        <row r="73">
          <cell r="A73">
            <v>1835</v>
          </cell>
          <cell r="BA73">
            <v>79.400000000000006</v>
          </cell>
          <cell r="BM73">
            <v>91.3</v>
          </cell>
        </row>
        <row r="74">
          <cell r="A74">
            <v>1836</v>
          </cell>
          <cell r="BA74">
            <v>90.4</v>
          </cell>
          <cell r="BM74">
            <v>102.8</v>
          </cell>
        </row>
        <row r="75">
          <cell r="A75">
            <v>1837</v>
          </cell>
          <cell r="BA75">
            <v>91.3</v>
          </cell>
          <cell r="BM75">
            <v>101.9</v>
          </cell>
        </row>
        <row r="76">
          <cell r="A76">
            <v>1838</v>
          </cell>
          <cell r="BA76">
            <v>87.2</v>
          </cell>
          <cell r="BM76">
            <v>105.7</v>
          </cell>
        </row>
        <row r="77">
          <cell r="A77">
            <v>1839</v>
          </cell>
          <cell r="BA77">
            <v>88.8</v>
          </cell>
          <cell r="BM77">
            <v>112.7</v>
          </cell>
        </row>
        <row r="78">
          <cell r="A78">
            <v>1840</v>
          </cell>
          <cell r="BA78">
            <v>75.3</v>
          </cell>
          <cell r="BM78">
            <v>110.7</v>
          </cell>
        </row>
        <row r="79">
          <cell r="A79">
            <v>1841</v>
          </cell>
          <cell r="BA79">
            <v>72.900000000000006</v>
          </cell>
          <cell r="BM79">
            <v>105.5</v>
          </cell>
        </row>
        <row r="80">
          <cell r="A80">
            <v>1842</v>
          </cell>
          <cell r="BA80">
            <v>65</v>
          </cell>
          <cell r="BM80">
            <v>95.9</v>
          </cell>
        </row>
        <row r="81">
          <cell r="A81">
            <v>1843</v>
          </cell>
          <cell r="BA81">
            <v>59.4</v>
          </cell>
          <cell r="BM81">
            <v>86.1</v>
          </cell>
        </row>
        <row r="82">
          <cell r="A82">
            <v>1844</v>
          </cell>
          <cell r="BA82">
            <v>61</v>
          </cell>
          <cell r="BM82">
            <v>87.6</v>
          </cell>
        </row>
        <row r="83">
          <cell r="A83">
            <v>1845</v>
          </cell>
          <cell r="BA83">
            <v>65.900000000000006</v>
          </cell>
          <cell r="BM83">
            <v>90</v>
          </cell>
        </row>
        <row r="84">
          <cell r="A84">
            <v>1846</v>
          </cell>
          <cell r="BA84">
            <v>65.900000000000006</v>
          </cell>
          <cell r="BM84">
            <v>92.9</v>
          </cell>
        </row>
        <row r="85">
          <cell r="A85">
            <v>1847</v>
          </cell>
          <cell r="BA85">
            <v>71.3</v>
          </cell>
          <cell r="BM85">
            <v>104.6</v>
          </cell>
        </row>
        <row r="86">
          <cell r="A86">
            <v>1848</v>
          </cell>
          <cell r="BA86">
            <v>65</v>
          </cell>
          <cell r="BM86">
            <v>88.4</v>
          </cell>
        </row>
        <row r="87">
          <cell r="A87">
            <v>1849</v>
          </cell>
          <cell r="BA87">
            <v>65</v>
          </cell>
          <cell r="BM87">
            <v>79.8</v>
          </cell>
        </row>
        <row r="88">
          <cell r="A88">
            <v>1850</v>
          </cell>
          <cell r="BA88">
            <v>66.599999999999994</v>
          </cell>
          <cell r="BM88">
            <v>79.400000000000006</v>
          </cell>
        </row>
        <row r="89">
          <cell r="A89">
            <v>1851</v>
          </cell>
          <cell r="BA89">
            <v>65.900000000000006</v>
          </cell>
          <cell r="BM89">
            <v>77.3</v>
          </cell>
        </row>
        <row r="90">
          <cell r="A90">
            <v>1852</v>
          </cell>
          <cell r="BA90">
            <v>69.7</v>
          </cell>
          <cell r="BM90">
            <v>80.400000000000006</v>
          </cell>
        </row>
        <row r="91">
          <cell r="A91">
            <v>1853</v>
          </cell>
          <cell r="BA91">
            <v>76.900000000000006</v>
          </cell>
          <cell r="BM91">
            <v>97.9</v>
          </cell>
        </row>
        <row r="92">
          <cell r="A92">
            <v>1854</v>
          </cell>
          <cell r="BA92">
            <v>85.7</v>
          </cell>
          <cell r="BM92">
            <v>105.2</v>
          </cell>
        </row>
        <row r="93">
          <cell r="A93">
            <v>1855</v>
          </cell>
          <cell r="BA93">
            <v>87.2</v>
          </cell>
          <cell r="BM93">
            <v>104.1</v>
          </cell>
        </row>
        <row r="94">
          <cell r="A94">
            <v>1856</v>
          </cell>
          <cell r="BA94">
            <v>83.2</v>
          </cell>
          <cell r="BM94">
            <v>104.1</v>
          </cell>
        </row>
        <row r="95">
          <cell r="A95">
            <v>1857</v>
          </cell>
          <cell r="BA95">
            <v>88.1</v>
          </cell>
          <cell r="BM95">
            <v>108.2</v>
          </cell>
        </row>
        <row r="96">
          <cell r="A96">
            <v>1858</v>
          </cell>
          <cell r="BA96">
            <v>73.8</v>
          </cell>
          <cell r="BM96">
            <v>93.8</v>
          </cell>
        </row>
        <row r="97">
          <cell r="A97">
            <v>1859</v>
          </cell>
          <cell r="BA97">
            <v>76.3</v>
          </cell>
          <cell r="BM97">
            <v>96.9</v>
          </cell>
        </row>
        <row r="98">
          <cell r="A98">
            <v>1860</v>
          </cell>
          <cell r="BA98">
            <v>73.8</v>
          </cell>
          <cell r="BM98">
            <v>102.1</v>
          </cell>
        </row>
        <row r="99">
          <cell r="A99">
            <v>1861</v>
          </cell>
          <cell r="BA99">
            <v>70.599999999999994</v>
          </cell>
          <cell r="BM99">
            <v>101</v>
          </cell>
        </row>
        <row r="100">
          <cell r="A100">
            <v>1862</v>
          </cell>
          <cell r="BA100">
            <v>82.5</v>
          </cell>
          <cell r="BM100">
            <v>104.1</v>
          </cell>
        </row>
        <row r="101">
          <cell r="A101">
            <v>1863</v>
          </cell>
          <cell r="BA101">
            <v>105.4</v>
          </cell>
          <cell r="BM101">
            <v>106.2</v>
          </cell>
        </row>
        <row r="102">
          <cell r="A102">
            <v>1864</v>
          </cell>
          <cell r="BA102">
            <v>153.1</v>
          </cell>
          <cell r="BM102">
            <v>108.2</v>
          </cell>
        </row>
        <row r="103">
          <cell r="A103">
            <v>1865</v>
          </cell>
          <cell r="BA103">
            <v>146.6</v>
          </cell>
          <cell r="BM103">
            <v>104.1</v>
          </cell>
        </row>
        <row r="104">
          <cell r="A104">
            <v>1866</v>
          </cell>
          <cell r="BA104">
            <v>137.9</v>
          </cell>
          <cell r="BM104">
            <v>105.2</v>
          </cell>
        </row>
        <row r="105">
          <cell r="A105">
            <v>1867</v>
          </cell>
          <cell r="BA105">
            <v>128.5</v>
          </cell>
          <cell r="BM105">
            <v>103.1</v>
          </cell>
        </row>
        <row r="106">
          <cell r="A106">
            <v>1868</v>
          </cell>
          <cell r="BA106">
            <v>125.3</v>
          </cell>
          <cell r="BM106">
            <v>102.1</v>
          </cell>
        </row>
        <row r="107">
          <cell r="A107">
            <v>1869</v>
          </cell>
          <cell r="BA107">
            <v>119.7</v>
          </cell>
          <cell r="BM107">
            <v>101</v>
          </cell>
        </row>
        <row r="108">
          <cell r="A108">
            <v>1870</v>
          </cell>
          <cell r="BA108">
            <v>107</v>
          </cell>
          <cell r="BM108">
            <v>99</v>
          </cell>
        </row>
        <row r="109">
          <cell r="A109">
            <v>1871</v>
          </cell>
          <cell r="BA109">
            <v>103.1</v>
          </cell>
          <cell r="BM109">
            <v>103.1</v>
          </cell>
        </row>
        <row r="110">
          <cell r="A110">
            <v>1872</v>
          </cell>
          <cell r="BA110">
            <v>107.8</v>
          </cell>
          <cell r="BM110">
            <v>112.4</v>
          </cell>
        </row>
        <row r="111">
          <cell r="A111">
            <v>1873</v>
          </cell>
          <cell r="BA111">
            <v>105.4</v>
          </cell>
          <cell r="BM111">
            <v>114.4</v>
          </cell>
        </row>
        <row r="112">
          <cell r="A112">
            <v>1874</v>
          </cell>
          <cell r="BA112">
            <v>100</v>
          </cell>
          <cell r="BM112">
            <v>105.2</v>
          </cell>
        </row>
        <row r="113">
          <cell r="A113">
            <v>1875</v>
          </cell>
          <cell r="BA113">
            <v>93.5</v>
          </cell>
          <cell r="BM113">
            <v>99</v>
          </cell>
        </row>
        <row r="114">
          <cell r="A114">
            <v>1876</v>
          </cell>
          <cell r="BA114">
            <v>87.2</v>
          </cell>
          <cell r="BM114">
            <v>97.9</v>
          </cell>
        </row>
        <row r="115">
          <cell r="A115">
            <v>1877</v>
          </cell>
          <cell r="BA115">
            <v>84.1</v>
          </cell>
          <cell r="BM115">
            <v>96.9</v>
          </cell>
        </row>
        <row r="116">
          <cell r="A116">
            <v>1878</v>
          </cell>
          <cell r="BA116">
            <v>72.2</v>
          </cell>
          <cell r="BM116">
            <v>89.7</v>
          </cell>
        </row>
        <row r="117">
          <cell r="A117">
            <v>1879</v>
          </cell>
          <cell r="BA117">
            <v>71.3</v>
          </cell>
          <cell r="BM117">
            <v>85.6</v>
          </cell>
        </row>
        <row r="118">
          <cell r="A118">
            <v>1880</v>
          </cell>
          <cell r="BA118">
            <v>79.400000000000006</v>
          </cell>
          <cell r="BM118">
            <v>90.7</v>
          </cell>
        </row>
        <row r="119">
          <cell r="A119">
            <v>1881</v>
          </cell>
          <cell r="BA119">
            <v>81.599999999999994</v>
          </cell>
          <cell r="BM119">
            <v>87.6</v>
          </cell>
        </row>
        <row r="120">
          <cell r="A120">
            <v>1882</v>
          </cell>
          <cell r="BA120">
            <v>85.7</v>
          </cell>
          <cell r="BM120">
            <v>86.6</v>
          </cell>
        </row>
        <row r="121">
          <cell r="A121">
            <v>1883</v>
          </cell>
          <cell r="BA121">
            <v>80</v>
          </cell>
          <cell r="BM121">
            <v>84.5</v>
          </cell>
        </row>
        <row r="122">
          <cell r="A122">
            <v>1884</v>
          </cell>
          <cell r="BA122">
            <v>73.8</v>
          </cell>
          <cell r="BM122">
            <v>78.400000000000006</v>
          </cell>
        </row>
        <row r="123">
          <cell r="A123">
            <v>1885</v>
          </cell>
          <cell r="BA123">
            <v>67.5</v>
          </cell>
          <cell r="BM123">
            <v>74.2</v>
          </cell>
        </row>
        <row r="124">
          <cell r="A124">
            <v>1886</v>
          </cell>
          <cell r="BA124">
            <v>65</v>
          </cell>
          <cell r="BM124">
            <v>71.099999999999994</v>
          </cell>
        </row>
        <row r="125">
          <cell r="A125">
            <v>1887</v>
          </cell>
          <cell r="BA125">
            <v>67.5</v>
          </cell>
          <cell r="BM125">
            <v>70.099999999999994</v>
          </cell>
        </row>
        <row r="126">
          <cell r="A126">
            <v>1888</v>
          </cell>
          <cell r="BA126">
            <v>68.2</v>
          </cell>
          <cell r="BM126">
            <v>72.2</v>
          </cell>
        </row>
        <row r="127">
          <cell r="A127">
            <v>1889</v>
          </cell>
          <cell r="BA127">
            <v>64.099999999999994</v>
          </cell>
          <cell r="BM127">
            <v>74.2</v>
          </cell>
        </row>
        <row r="128">
          <cell r="A128">
            <v>1890</v>
          </cell>
          <cell r="BA128">
            <v>65</v>
          </cell>
          <cell r="BM128">
            <v>74.2</v>
          </cell>
          <cell r="BZ128">
            <v>63.255016028183199</v>
          </cell>
        </row>
        <row r="129">
          <cell r="A129">
            <v>1891</v>
          </cell>
          <cell r="BA129">
            <v>64.599999999999994</v>
          </cell>
          <cell r="BM129">
            <v>74.2</v>
          </cell>
          <cell r="BZ129">
            <v>61.889095174872097</v>
          </cell>
        </row>
        <row r="130">
          <cell r="A130">
            <v>1892</v>
          </cell>
          <cell r="BA130">
            <v>60.3</v>
          </cell>
          <cell r="BM130">
            <v>70.099999999999994</v>
          </cell>
          <cell r="BZ130">
            <v>60.649633772223098</v>
          </cell>
        </row>
        <row r="131">
          <cell r="A131">
            <v>1893</v>
          </cell>
          <cell r="BA131">
            <v>61.9</v>
          </cell>
          <cell r="BM131">
            <v>70.099999999999994</v>
          </cell>
          <cell r="BZ131">
            <v>59.596600037069898</v>
          </cell>
        </row>
        <row r="132">
          <cell r="A132">
            <v>1894</v>
          </cell>
          <cell r="BA132">
            <v>55.4</v>
          </cell>
          <cell r="BM132">
            <v>64.900000000000006</v>
          </cell>
          <cell r="BZ132">
            <v>58.786465848523598</v>
          </cell>
        </row>
        <row r="133">
          <cell r="A133">
            <v>1895</v>
          </cell>
          <cell r="BA133">
            <v>56.5</v>
          </cell>
          <cell r="BM133">
            <v>63.9</v>
          </cell>
          <cell r="BZ133">
            <v>58.298737085324703</v>
          </cell>
        </row>
        <row r="134">
          <cell r="A134">
            <v>1896</v>
          </cell>
          <cell r="BA134">
            <v>53.8</v>
          </cell>
          <cell r="BM134">
            <v>62.9</v>
          </cell>
          <cell r="BZ134">
            <v>58.179054967728497</v>
          </cell>
        </row>
        <row r="135">
          <cell r="A135">
            <v>1897</v>
          </cell>
          <cell r="BA135">
            <v>53.8</v>
          </cell>
          <cell r="BM135">
            <v>63.9</v>
          </cell>
          <cell r="BZ135">
            <v>58.455073345137201</v>
          </cell>
        </row>
        <row r="136">
          <cell r="A136">
            <v>1898</v>
          </cell>
          <cell r="BA136">
            <v>56.1</v>
          </cell>
          <cell r="BM136">
            <v>66</v>
          </cell>
          <cell r="BZ136">
            <v>59.110655517275497</v>
          </cell>
        </row>
        <row r="137">
          <cell r="A137">
            <v>1899</v>
          </cell>
          <cell r="BA137">
            <v>60.3</v>
          </cell>
          <cell r="BM137">
            <v>70.099999999999994</v>
          </cell>
          <cell r="BZ137">
            <v>60.083114050416803</v>
          </cell>
        </row>
        <row r="138">
          <cell r="A138">
            <v>1900</v>
          </cell>
          <cell r="BA138">
            <v>64.8</v>
          </cell>
          <cell r="BM138">
            <v>77.3</v>
          </cell>
          <cell r="BZ138">
            <v>61.279654955661897</v>
          </cell>
        </row>
        <row r="139">
          <cell r="A139">
            <v>1901</v>
          </cell>
          <cell r="BA139">
            <v>63.9</v>
          </cell>
          <cell r="BM139">
            <v>72.2</v>
          </cell>
          <cell r="BZ139">
            <v>62.6096531036074</v>
          </cell>
        </row>
        <row r="140">
          <cell r="A140">
            <v>1902</v>
          </cell>
          <cell r="BA140">
            <v>68.2</v>
          </cell>
          <cell r="BM140">
            <v>71.099999999999994</v>
          </cell>
          <cell r="BZ140">
            <v>64.017686815293004</v>
          </cell>
        </row>
        <row r="141">
          <cell r="A141">
            <v>1903</v>
          </cell>
          <cell r="BA141">
            <v>69.099999999999994</v>
          </cell>
          <cell r="BM141">
            <v>74.099999999999994</v>
          </cell>
          <cell r="BZ141">
            <v>65.461237880722706</v>
          </cell>
        </row>
        <row r="142">
          <cell r="A142">
            <v>1904</v>
          </cell>
          <cell r="BA142">
            <v>69.099999999999994</v>
          </cell>
          <cell r="BM142">
            <v>72.2</v>
          </cell>
          <cell r="BZ142">
            <v>66.939611221747398</v>
          </cell>
        </row>
        <row r="143">
          <cell r="A143">
            <v>1905</v>
          </cell>
          <cell r="BA143">
            <v>69.5</v>
          </cell>
          <cell r="BM143">
            <v>74.2</v>
          </cell>
          <cell r="BZ143">
            <v>68.488499381410804</v>
          </cell>
        </row>
        <row r="144">
          <cell r="A144">
            <v>1906</v>
          </cell>
          <cell r="BA144">
            <v>71.5</v>
          </cell>
          <cell r="BM144">
            <v>79.400000000000006</v>
          </cell>
          <cell r="BZ144">
            <v>70.165198790539094</v>
          </cell>
        </row>
        <row r="145">
          <cell r="A145">
            <v>1907</v>
          </cell>
          <cell r="BA145">
            <v>75.3</v>
          </cell>
          <cell r="BM145">
            <v>82.5</v>
          </cell>
          <cell r="BZ145">
            <v>72.037120886144393</v>
          </cell>
        </row>
        <row r="146">
          <cell r="A146">
            <v>1908</v>
          </cell>
          <cell r="BA146">
            <v>72.900000000000006</v>
          </cell>
          <cell r="BM146">
            <v>75.3</v>
          </cell>
          <cell r="BZ146">
            <v>74.185025117333694</v>
          </cell>
        </row>
        <row r="147">
          <cell r="A147">
            <v>1909</v>
          </cell>
          <cell r="BA147">
            <v>78.3</v>
          </cell>
          <cell r="BM147">
            <v>76.3</v>
          </cell>
          <cell r="BZ147">
            <v>76.722299724352197</v>
          </cell>
        </row>
        <row r="148">
          <cell r="A148">
            <v>1910</v>
          </cell>
          <cell r="BA148">
            <v>81.400000000000006</v>
          </cell>
          <cell r="BM148">
            <v>80.400000000000006</v>
          </cell>
          <cell r="BZ148">
            <v>79.749482696271897</v>
          </cell>
        </row>
        <row r="149">
          <cell r="A149">
            <v>1911</v>
          </cell>
          <cell r="BA149">
            <v>75.099999999999994</v>
          </cell>
          <cell r="BM149">
            <v>82.5</v>
          </cell>
          <cell r="BZ149">
            <v>83.382889024921496</v>
          </cell>
        </row>
        <row r="150">
          <cell r="A150">
            <v>1912</v>
          </cell>
          <cell r="BA150">
            <v>80</v>
          </cell>
          <cell r="BM150">
            <v>87.6</v>
          </cell>
          <cell r="BZ150">
            <v>87.755338875166601</v>
          </cell>
        </row>
        <row r="151">
          <cell r="A151">
            <v>1913</v>
          </cell>
          <cell r="BA151">
            <v>80.7</v>
          </cell>
          <cell r="BM151">
            <v>87.6</v>
          </cell>
          <cell r="BZ151">
            <v>92.916823521623897</v>
          </cell>
        </row>
        <row r="152">
          <cell r="A152">
            <v>1914</v>
          </cell>
          <cell r="BA152">
            <v>78.7</v>
          </cell>
          <cell r="BM152">
            <v>87.6</v>
          </cell>
          <cell r="BZ152">
            <v>98.839780850158206</v>
          </cell>
        </row>
        <row r="153">
          <cell r="A153">
            <v>1915</v>
          </cell>
          <cell r="BA153">
            <v>80.5</v>
          </cell>
          <cell r="BM153">
            <v>111.3</v>
          </cell>
          <cell r="BZ153">
            <v>105.374480511418</v>
          </cell>
        </row>
        <row r="154">
          <cell r="A154">
            <v>1916</v>
          </cell>
          <cell r="BA154">
            <v>98.9</v>
          </cell>
          <cell r="BM154">
            <v>140.19999999999999</v>
          </cell>
          <cell r="BZ154">
            <v>112.169794347551</v>
          </cell>
        </row>
        <row r="155">
          <cell r="A155">
            <v>1917</v>
          </cell>
          <cell r="BA155">
            <v>135.9</v>
          </cell>
          <cell r="BM155">
            <v>184.5</v>
          </cell>
          <cell r="BZ155">
            <v>118.625849395589</v>
          </cell>
        </row>
        <row r="156">
          <cell r="A156">
            <v>1918</v>
          </cell>
          <cell r="BA156">
            <v>152</v>
          </cell>
          <cell r="BM156">
            <v>197.9</v>
          </cell>
          <cell r="BZ156">
            <v>124.010074749091</v>
          </cell>
        </row>
        <row r="157">
          <cell r="A157">
            <v>1919</v>
          </cell>
          <cell r="BA157">
            <v>160.30000000000001</v>
          </cell>
          <cell r="BM157">
            <v>212.4</v>
          </cell>
          <cell r="BZ157">
            <v>127.762641007657</v>
          </cell>
        </row>
        <row r="158">
          <cell r="A158">
            <v>1920</v>
          </cell>
          <cell r="BA158">
            <v>178.7</v>
          </cell>
          <cell r="BM158">
            <v>258.8</v>
          </cell>
          <cell r="BZ158">
            <v>129.60361802339801</v>
          </cell>
        </row>
        <row r="159">
          <cell r="A159">
            <v>1921</v>
          </cell>
          <cell r="BA159">
            <v>113</v>
          </cell>
          <cell r="BM159">
            <v>159.80000000000001</v>
          </cell>
          <cell r="BZ159">
            <v>129.57844923834901</v>
          </cell>
        </row>
        <row r="160">
          <cell r="A160">
            <v>1922</v>
          </cell>
          <cell r="BA160">
            <v>111.9</v>
          </cell>
          <cell r="BM160">
            <v>135.1</v>
          </cell>
          <cell r="BZ160">
            <v>128.22354191430901</v>
          </cell>
        </row>
        <row r="161">
          <cell r="A161">
            <v>1923</v>
          </cell>
          <cell r="BA161">
            <v>116.4</v>
          </cell>
          <cell r="BM161">
            <v>133</v>
          </cell>
          <cell r="BZ161">
            <v>125.909518820695</v>
          </cell>
        </row>
        <row r="162">
          <cell r="A162">
            <v>1924</v>
          </cell>
          <cell r="BA162">
            <v>113.5</v>
          </cell>
          <cell r="BM162">
            <v>143.30000000000001</v>
          </cell>
          <cell r="BZ162">
            <v>122.84376730778099</v>
          </cell>
        </row>
        <row r="163">
          <cell r="A163">
            <v>1925</v>
          </cell>
          <cell r="BA163">
            <v>119.7</v>
          </cell>
          <cell r="BM163">
            <v>140.19999999999999</v>
          </cell>
          <cell r="BZ163">
            <v>119.13857953763301</v>
          </cell>
        </row>
        <row r="164">
          <cell r="A164">
            <v>1926</v>
          </cell>
          <cell r="BA164">
            <v>115.7</v>
          </cell>
          <cell r="BM164">
            <v>129.9</v>
          </cell>
          <cell r="BZ164">
            <v>114.81280999924</v>
          </cell>
        </row>
        <row r="165">
          <cell r="A165">
            <v>1927</v>
          </cell>
          <cell r="BA165">
            <v>110.5</v>
          </cell>
          <cell r="BM165">
            <v>125.8</v>
          </cell>
          <cell r="BZ165">
            <v>109.890927386214</v>
          </cell>
        </row>
        <row r="166">
          <cell r="A166">
            <v>1928</v>
          </cell>
          <cell r="BA166">
            <v>112.1</v>
          </cell>
          <cell r="BM166">
            <v>123.7</v>
          </cell>
          <cell r="BZ166">
            <v>104.406272292175</v>
          </cell>
        </row>
        <row r="167">
          <cell r="A167">
            <v>1929</v>
          </cell>
          <cell r="BA167">
            <v>110.1</v>
          </cell>
          <cell r="BM167">
            <v>118.8</v>
          </cell>
          <cell r="BZ167">
            <v>98.398276036881796</v>
          </cell>
        </row>
        <row r="168">
          <cell r="A168">
            <v>1930</v>
          </cell>
          <cell r="BA168">
            <v>100</v>
          </cell>
          <cell r="BM168">
            <v>100</v>
          </cell>
          <cell r="BZ168">
            <v>91.983307217169596</v>
          </cell>
        </row>
        <row r="169">
          <cell r="A169">
            <v>1931</v>
          </cell>
          <cell r="BA169">
            <v>84.3</v>
          </cell>
          <cell r="BM169">
            <v>85.6</v>
          </cell>
          <cell r="BZ169">
            <v>85.394751669505894</v>
          </cell>
        </row>
        <row r="170">
          <cell r="A170">
            <v>1932</v>
          </cell>
          <cell r="BA170">
            <v>75.3</v>
          </cell>
          <cell r="BM170">
            <v>82.5</v>
          </cell>
          <cell r="BZ170">
            <v>78.946162158186297</v>
          </cell>
        </row>
        <row r="171">
          <cell r="A171">
            <v>1933</v>
          </cell>
          <cell r="BA171">
            <v>76.2</v>
          </cell>
          <cell r="BM171">
            <v>81.400000000000006</v>
          </cell>
          <cell r="BZ171">
            <v>72.940143930811402</v>
          </cell>
        </row>
        <row r="172">
          <cell r="A172">
            <v>1934</v>
          </cell>
          <cell r="BA172">
            <v>86.5</v>
          </cell>
          <cell r="BM172">
            <v>84.5</v>
          </cell>
          <cell r="BZ172">
            <v>67.642840613399798</v>
          </cell>
        </row>
        <row r="173">
          <cell r="A173">
            <v>1935</v>
          </cell>
          <cell r="BA173">
            <v>92.6</v>
          </cell>
          <cell r="BM173">
            <v>86.6</v>
          </cell>
          <cell r="BZ173">
            <v>63.352994392662097</v>
          </cell>
        </row>
        <row r="174">
          <cell r="A174">
            <v>1936</v>
          </cell>
          <cell r="BA174">
            <v>93.5</v>
          </cell>
          <cell r="BM174">
            <v>91.8</v>
          </cell>
          <cell r="BZ174">
            <v>60.203819049175003</v>
          </cell>
        </row>
        <row r="175">
          <cell r="A175">
            <v>1937</v>
          </cell>
          <cell r="BA175">
            <v>99.8</v>
          </cell>
          <cell r="BM175">
            <v>105.2</v>
          </cell>
          <cell r="BZ175">
            <v>58.241998419588498</v>
          </cell>
        </row>
        <row r="176">
          <cell r="A176">
            <v>1938</v>
          </cell>
          <cell r="BA176">
            <v>90.8</v>
          </cell>
          <cell r="BM176">
            <v>93.8</v>
          </cell>
          <cell r="BZ176">
            <v>57.464478150060799</v>
          </cell>
        </row>
        <row r="177">
          <cell r="A177">
            <v>1939</v>
          </cell>
          <cell r="BA177">
            <v>89.2</v>
          </cell>
          <cell r="BM177">
            <v>98.750793072014588</v>
          </cell>
          <cell r="BZ177">
            <v>57.875283902554202</v>
          </cell>
        </row>
        <row r="178">
          <cell r="A178">
            <v>1940</v>
          </cell>
          <cell r="BA178">
            <v>90.8</v>
          </cell>
          <cell r="BM178">
            <v>132.32896991795837</v>
          </cell>
          <cell r="BZ178">
            <v>59.440096557530502</v>
          </cell>
        </row>
        <row r="179">
          <cell r="A179">
            <v>1941</v>
          </cell>
          <cell r="BZ179">
            <v>62.072744156425998</v>
          </cell>
        </row>
        <row r="180">
          <cell r="A180">
            <v>1942</v>
          </cell>
          <cell r="BZ180">
            <v>65.628953775101394</v>
          </cell>
        </row>
        <row r="181">
          <cell r="A181">
            <v>1943</v>
          </cell>
          <cell r="BZ181">
            <v>69.940925047853497</v>
          </cell>
        </row>
        <row r="182">
          <cell r="A182">
            <v>1944</v>
          </cell>
          <cell r="BZ182">
            <v>74.858568071227793</v>
          </cell>
        </row>
        <row r="183">
          <cell r="A183">
            <v>1945</v>
          </cell>
          <cell r="BZ183">
            <v>80.242383691291394</v>
          </cell>
        </row>
        <row r="184">
          <cell r="A184">
            <v>1946</v>
          </cell>
          <cell r="BZ184">
            <v>85.914287073399294</v>
          </cell>
        </row>
        <row r="185">
          <cell r="A185">
            <v>1947</v>
          </cell>
          <cell r="BZ185">
            <v>91.616769545993193</v>
          </cell>
        </row>
        <row r="186">
          <cell r="A186">
            <v>1948</v>
          </cell>
          <cell r="BZ186">
            <v>97.058379566781198</v>
          </cell>
        </row>
        <row r="187">
          <cell r="A187">
            <v>1949</v>
          </cell>
          <cell r="BZ187">
            <v>102.044497898011</v>
          </cell>
        </row>
        <row r="188">
          <cell r="A188">
            <v>1950</v>
          </cell>
          <cell r="BZ188">
            <v>106.506821506264</v>
          </cell>
        </row>
        <row r="189">
          <cell r="A189">
            <v>1951</v>
          </cell>
          <cell r="BZ189">
            <v>110.399102379138</v>
          </cell>
        </row>
        <row r="190">
          <cell r="A190">
            <v>1952</v>
          </cell>
          <cell r="BZ190">
            <v>113.693324289172</v>
          </cell>
        </row>
        <row r="191">
          <cell r="A191">
            <v>1953</v>
          </cell>
          <cell r="BZ191">
            <v>116.464179985112</v>
          </cell>
        </row>
        <row r="192">
          <cell r="A192">
            <v>1954</v>
          </cell>
          <cell r="BZ192">
            <v>118.823128972812</v>
          </cell>
        </row>
        <row r="193">
          <cell r="A193">
            <v>1955</v>
          </cell>
          <cell r="BZ193">
            <v>120.874688958275</v>
          </cell>
        </row>
        <row r="194">
          <cell r="A194">
            <v>1956</v>
          </cell>
          <cell r="BZ194">
            <v>122.695246357776</v>
          </cell>
        </row>
        <row r="195">
          <cell r="A195">
            <v>1957</v>
          </cell>
          <cell r="BZ195">
            <v>124.315440698008</v>
          </cell>
        </row>
        <row r="196">
          <cell r="A196">
            <v>1958</v>
          </cell>
          <cell r="BZ196">
            <v>125.740359042085</v>
          </cell>
        </row>
        <row r="197">
          <cell r="A197">
            <v>1959</v>
          </cell>
          <cell r="BZ197">
            <v>126.967634046142</v>
          </cell>
        </row>
        <row r="198">
          <cell r="A198">
            <v>1960</v>
          </cell>
          <cell r="BZ198">
            <v>127.990294775891</v>
          </cell>
        </row>
        <row r="199">
          <cell r="A199">
            <v>1961</v>
          </cell>
          <cell r="BZ199">
            <v>128.78749395658599</v>
          </cell>
        </row>
        <row r="200">
          <cell r="A200">
            <v>1962</v>
          </cell>
          <cell r="BZ200">
            <v>129.31428136572001</v>
          </cell>
        </row>
        <row r="201">
          <cell r="A201">
            <v>1963</v>
          </cell>
          <cell r="BZ201">
            <v>129.49363184121901</v>
          </cell>
        </row>
        <row r="202">
          <cell r="A202">
            <v>1964</v>
          </cell>
          <cell r="BZ202">
            <v>129.211177407354</v>
          </cell>
        </row>
        <row r="203">
          <cell r="A203">
            <v>1965</v>
          </cell>
          <cell r="BZ203">
            <v>128.30921376998299</v>
          </cell>
        </row>
        <row r="204">
          <cell r="A204">
            <v>1966</v>
          </cell>
          <cell r="BZ204">
            <v>126.59192486089</v>
          </cell>
        </row>
        <row r="205">
          <cell r="A205">
            <v>1967</v>
          </cell>
          <cell r="BZ205">
            <v>123.85980247416001</v>
          </cell>
        </row>
        <row r="206">
          <cell r="A206">
            <v>1968</v>
          </cell>
          <cell r="BZ206">
            <v>119.969319155268</v>
          </cell>
        </row>
        <row r="207">
          <cell r="A207">
            <v>1969</v>
          </cell>
          <cell r="BZ207">
            <v>114.862649424949</v>
          </cell>
        </row>
        <row r="208">
          <cell r="A208">
            <v>1970</v>
          </cell>
          <cell r="BZ208">
            <v>108.49177461238401</v>
          </cell>
        </row>
        <row r="209">
          <cell r="A209">
            <v>1971</v>
          </cell>
          <cell r="BZ209">
            <v>100.854049552505</v>
          </cell>
        </row>
        <row r="210">
          <cell r="A210">
            <v>1972</v>
          </cell>
          <cell r="BZ210">
            <v>92.267411334120894</v>
          </cell>
        </row>
        <row r="211">
          <cell r="A211">
            <v>1973</v>
          </cell>
          <cell r="BZ211">
            <v>83.320856550513895</v>
          </cell>
        </row>
        <row r="212">
          <cell r="A212">
            <v>1974</v>
          </cell>
          <cell r="BZ212">
            <v>74.622807681626199</v>
          </cell>
        </row>
        <row r="213">
          <cell r="A213">
            <v>1975</v>
          </cell>
          <cell r="BZ213">
            <v>66.586678641894494</v>
          </cell>
        </row>
        <row r="214">
          <cell r="A214">
            <v>1976</v>
          </cell>
          <cell r="BZ214">
            <v>59.344255268939499</v>
          </cell>
        </row>
        <row r="215">
          <cell r="A215">
            <v>1977</v>
          </cell>
          <cell r="BZ215">
            <v>52.863356613962601</v>
          </cell>
        </row>
        <row r="216">
          <cell r="A216">
            <v>1978</v>
          </cell>
          <cell r="BZ216">
            <v>47.188259175476297</v>
          </cell>
        </row>
        <row r="217">
          <cell r="A217">
            <v>1979</v>
          </cell>
          <cell r="BZ217">
            <v>42.434605885853003</v>
          </cell>
        </row>
        <row r="218">
          <cell r="A218">
            <v>1980</v>
          </cell>
          <cell r="BZ218">
            <v>38.740257085710802</v>
          </cell>
        </row>
        <row r="219">
          <cell r="A219">
            <v>1981</v>
          </cell>
          <cell r="BZ219">
            <v>36.171627056809001</v>
          </cell>
        </row>
        <row r="220">
          <cell r="A220">
            <v>1982</v>
          </cell>
          <cell r="BZ220">
            <v>34.607427510049803</v>
          </cell>
        </row>
        <row r="221">
          <cell r="A221">
            <v>1983</v>
          </cell>
          <cell r="BZ221">
            <v>33.856353885767298</v>
          </cell>
        </row>
        <row r="222">
          <cell r="A222">
            <v>1984</v>
          </cell>
          <cell r="BZ222">
            <v>33.7451273491953</v>
          </cell>
        </row>
        <row r="223">
          <cell r="A223">
            <v>1985</v>
          </cell>
          <cell r="BZ223">
            <v>34.0886055267096</v>
          </cell>
        </row>
        <row r="224">
          <cell r="A224">
            <v>1986</v>
          </cell>
          <cell r="BZ224">
            <v>34.757194771194399</v>
          </cell>
        </row>
        <row r="225">
          <cell r="A225">
            <v>1987</v>
          </cell>
          <cell r="BZ225">
            <v>35.724715380266503</v>
          </cell>
        </row>
        <row r="226">
          <cell r="A226">
            <v>1988</v>
          </cell>
          <cell r="BZ226">
            <v>36.9896157038309</v>
          </cell>
        </row>
        <row r="227">
          <cell r="A227">
            <v>1989</v>
          </cell>
          <cell r="BZ227">
            <v>38.507896937990097</v>
          </cell>
        </row>
        <row r="228">
          <cell r="A228">
            <v>1990</v>
          </cell>
          <cell r="BZ228">
            <v>40.200064121807898</v>
          </cell>
        </row>
        <row r="229">
          <cell r="A229">
            <v>1991</v>
          </cell>
          <cell r="BZ229">
            <v>42.004243324968499</v>
          </cell>
        </row>
        <row r="230">
          <cell r="A230">
            <v>1992</v>
          </cell>
          <cell r="BZ230">
            <v>43.871159975937999</v>
          </cell>
        </row>
        <row r="231">
          <cell r="A231">
            <v>1993</v>
          </cell>
          <cell r="BZ231">
            <v>45.771097069932601</v>
          </cell>
        </row>
        <row r="232">
          <cell r="A232">
            <v>1994</v>
          </cell>
          <cell r="BZ232">
            <v>47.701326002409402</v>
          </cell>
        </row>
        <row r="233">
          <cell r="A233">
            <v>1995</v>
          </cell>
          <cell r="BZ233">
            <v>49.652707198126102</v>
          </cell>
        </row>
        <row r="234">
          <cell r="A234">
            <v>1996</v>
          </cell>
          <cell r="BZ234">
            <v>51.567387821815998</v>
          </cell>
        </row>
        <row r="235">
          <cell r="A235">
            <v>1997</v>
          </cell>
          <cell r="BZ235">
            <v>53.334687966231698</v>
          </cell>
        </row>
        <row r="236">
          <cell r="A236">
            <v>1998</v>
          </cell>
          <cell r="BZ236">
            <v>54.778153845907198</v>
          </cell>
        </row>
        <row r="237">
          <cell r="A237">
            <v>1999</v>
          </cell>
          <cell r="BZ237">
            <v>55.714784795714202</v>
          </cell>
        </row>
        <row r="238">
          <cell r="A238">
            <v>2000</v>
          </cell>
          <cell r="BZ238">
            <v>55.991698612065598</v>
          </cell>
        </row>
        <row r="239">
          <cell r="A239">
            <v>2001</v>
          </cell>
          <cell r="BZ239">
            <v>55.5144652434169</v>
          </cell>
        </row>
        <row r="240">
          <cell r="A240">
            <v>2002</v>
          </cell>
          <cell r="BZ240">
            <v>54.278437652103101</v>
          </cell>
        </row>
        <row r="241">
          <cell r="A241">
            <v>2003</v>
          </cell>
          <cell r="BZ241">
            <v>52.396324148024902</v>
          </cell>
        </row>
        <row r="242">
          <cell r="A242">
            <v>2004</v>
          </cell>
          <cell r="BZ242">
            <v>50.016548664562102</v>
          </cell>
        </row>
        <row r="243">
          <cell r="A243">
            <v>2005</v>
          </cell>
          <cell r="BZ243">
            <v>47.283571893614202</v>
          </cell>
        </row>
        <row r="244">
          <cell r="A244">
            <v>2006</v>
          </cell>
          <cell r="BZ244">
            <v>44.331289040435102</v>
          </cell>
        </row>
        <row r="245">
          <cell r="A245">
            <v>2007</v>
          </cell>
          <cell r="BZ245">
            <v>41.304659591342599</v>
          </cell>
        </row>
        <row r="246">
          <cell r="A246">
            <v>2008</v>
          </cell>
        </row>
        <row r="247">
          <cell r="A247">
            <v>2009</v>
          </cell>
        </row>
        <row r="248">
          <cell r="A248">
            <v>2010</v>
          </cell>
        </row>
        <row r="249">
          <cell r="A249">
            <v>2011</v>
          </cell>
        </row>
        <row r="250">
          <cell r="A250">
            <v>2012</v>
          </cell>
        </row>
        <row r="251">
          <cell r="A251">
            <v>2013</v>
          </cell>
        </row>
        <row r="252">
          <cell r="A252">
            <v>2014</v>
          </cell>
        </row>
        <row r="253">
          <cell r="A253">
            <v>2015</v>
          </cell>
        </row>
        <row r="254">
          <cell r="A254">
            <v>2016</v>
          </cell>
        </row>
        <row r="255">
          <cell r="A255">
            <v>2017</v>
          </cell>
        </row>
        <row r="256">
          <cell r="A256">
            <v>2018</v>
          </cell>
        </row>
        <row r="257">
          <cell r="A257">
            <v>2019</v>
          </cell>
        </row>
        <row r="258">
          <cell r="A258">
            <v>2020</v>
          </cell>
        </row>
        <row r="259">
          <cell r="A259">
            <v>2021</v>
          </cell>
        </row>
        <row r="260">
          <cell r="A260">
            <v>2022</v>
          </cell>
        </row>
        <row r="261">
          <cell r="A261">
            <v>2023</v>
          </cell>
        </row>
        <row r="262">
          <cell r="A262">
            <v>2024</v>
          </cell>
        </row>
        <row r="263">
          <cell r="A263">
            <v>2025</v>
          </cell>
        </row>
        <row r="264">
          <cell r="A264">
            <v>2026</v>
          </cell>
        </row>
        <row r="265">
          <cell r="A265">
            <v>2027</v>
          </cell>
        </row>
        <row r="266">
          <cell r="A266">
            <v>2028</v>
          </cell>
        </row>
        <row r="267">
          <cell r="A267">
            <v>2029</v>
          </cell>
        </row>
        <row r="268">
          <cell r="A268">
            <v>2030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28">
          <cell r="B228">
            <v>99.5</v>
          </cell>
        </row>
        <row r="229">
          <cell r="B229">
            <v>99.5</v>
          </cell>
        </row>
        <row r="230">
          <cell r="B230">
            <v>99.8</v>
          </cell>
        </row>
        <row r="231">
          <cell r="B231">
            <v>99.8</v>
          </cell>
        </row>
        <row r="232">
          <cell r="B232">
            <v>100</v>
          </cell>
        </row>
        <row r="233">
          <cell r="B233">
            <v>100</v>
          </cell>
        </row>
      </sheetData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ber.org/databases/macrohistory/rectdata/04/docs" TargetMode="External"/><Relationship Id="rId2" Type="http://schemas.openxmlformats.org/officeDocument/2006/relationships/hyperlink" Target="http://www.statistics.gov.uk/statbase/" TargetMode="External"/><Relationship Id="rId1" Type="http://schemas.openxmlformats.org/officeDocument/2006/relationships/hyperlink" Target="http://www.gold.org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zoomScale="80" zoomScaleNormal="80" workbookViewId="0">
      <selection activeCell="F8" sqref="F8"/>
    </sheetView>
  </sheetViews>
  <sheetFormatPr defaultRowHeight="12.5"/>
  <sheetData>
    <row r="2" spans="1:1">
      <c r="A2" t="s">
        <v>113</v>
      </c>
    </row>
    <row r="4" spans="1:1">
      <c r="A4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AX440"/>
  <sheetViews>
    <sheetView zoomScale="60" zoomScaleNormal="60" workbookViewId="0">
      <pane xSplit="1" ySplit="9" topLeftCell="N10" activePane="bottomRight" state="frozen"/>
      <selection pane="topRight" activeCell="B1" sqref="B1"/>
      <selection pane="bottomLeft" activeCell="A10" sqref="A10"/>
      <selection pane="bottomRight" activeCell="A17" sqref="A17"/>
    </sheetView>
  </sheetViews>
  <sheetFormatPr defaultRowHeight="12.5"/>
  <cols>
    <col min="2" max="2" width="4.6328125" style="10" customWidth="1"/>
    <col min="3" max="3" width="14.36328125" style="13" customWidth="1"/>
    <col min="4" max="4" width="12" style="13" customWidth="1"/>
    <col min="5" max="5" width="23" style="14" customWidth="1"/>
    <col min="6" max="6" width="16.08984375" style="15" customWidth="1"/>
    <col min="7" max="7" width="16.08984375" customWidth="1"/>
    <col min="8" max="8" width="15.36328125" style="15" customWidth="1"/>
    <col min="9" max="9" width="18.453125" customWidth="1"/>
    <col min="10" max="10" width="18" style="15" customWidth="1"/>
    <col min="11" max="11" width="22.90625" style="14" customWidth="1"/>
    <col min="12" max="12" width="23.1796875" style="14" customWidth="1"/>
    <col min="13" max="15" width="23" style="14" customWidth="1"/>
    <col min="16" max="16" width="14.1796875" style="17" customWidth="1"/>
    <col min="17" max="17" width="14.36328125" style="11" customWidth="1"/>
    <col min="18" max="18" width="21.36328125" style="11" customWidth="1"/>
    <col min="19" max="19" width="23" style="11" customWidth="1"/>
    <col min="20" max="20" width="14.36328125" style="15" customWidth="1"/>
    <col min="21" max="21" width="16" style="15" customWidth="1"/>
    <col min="22" max="22" width="17.36328125" customWidth="1"/>
    <col min="23" max="25" width="16" customWidth="1"/>
    <col min="26" max="28" width="23" style="15" customWidth="1"/>
    <col min="29" max="29" width="23" style="14" customWidth="1"/>
    <col min="30" max="30" width="16.08984375" style="15" customWidth="1"/>
    <col min="31" max="31" width="16" style="15" customWidth="1"/>
    <col min="32" max="32" width="20.08984375" customWidth="1"/>
    <col min="33" max="45" width="16" customWidth="1"/>
    <col min="46" max="49" width="16" style="19" customWidth="1"/>
    <col min="50" max="50" width="16" customWidth="1"/>
  </cols>
  <sheetData>
    <row r="1" spans="1:50" s="1" customFormat="1" ht="21">
      <c r="B1" s="3"/>
      <c r="C1" s="1" t="str">
        <f t="shared" ref="C1:D1" si="0">C17</f>
        <v>US CPI</v>
      </c>
      <c r="D1" s="1" t="str">
        <f t="shared" si="0"/>
        <v>CPI1</v>
      </c>
      <c r="E1" s="1" t="str">
        <f t="shared" ref="E1:AS1" si="1">E17</f>
        <v>USGoldprice1</v>
      </c>
      <c r="F1" s="4" t="str">
        <f t="shared" si="1"/>
        <v>USGoldpriceindex</v>
      </c>
      <c r="G1" s="1" t="str">
        <f t="shared" si="1"/>
        <v>USCPI 1930=100</v>
      </c>
      <c r="H1" s="4" t="str">
        <f t="shared" si="1"/>
        <v>USWPI</v>
      </c>
      <c r="I1" s="1" t="str">
        <f t="shared" si="1"/>
        <v>USPPI82BLS</v>
      </c>
      <c r="J1" s="4" t="str">
        <f t="shared" si="1"/>
        <v>USPPIGold</v>
      </c>
      <c r="K1" s="5" t="str">
        <f t="shared" si="1"/>
        <v>UKGoldprice1Pounds1780-1949</v>
      </c>
      <c r="L1" s="1" t="str">
        <f t="shared" si="1"/>
        <v>UKGoldprice1Dollars1950-on</v>
      </c>
      <c r="M1" s="1" t="str">
        <f t="shared" si="1"/>
        <v>XR dollars-pounds</v>
      </c>
      <c r="N1" s="1" t="str">
        <f t="shared" si="1"/>
        <v>UKGoldprice1pounds1950-on</v>
      </c>
      <c r="O1" s="1" t="str">
        <f t="shared" si="1"/>
        <v>UKGoldprice1</v>
      </c>
      <c r="P1" s="6" t="str">
        <f t="shared" si="1"/>
        <v>UKGoldpriceindex</v>
      </c>
      <c r="Q1" s="2" t="str">
        <f>Q17</f>
        <v>UKWPIJastram</v>
      </c>
      <c r="R1" s="2" t="str">
        <f>R17</f>
        <v>UKWPInber</v>
      </c>
      <c r="S1" s="2" t="str">
        <f>S17</f>
        <v>UKPPI</v>
      </c>
      <c r="T1" s="4" t="str">
        <f t="shared" si="1"/>
        <v>UKWPI</v>
      </c>
      <c r="U1" s="4" t="str">
        <f>U17</f>
        <v>UKPPIGold</v>
      </c>
      <c r="V1" s="3" t="str">
        <f>V17</f>
        <v>USGoldWaveDetrended</v>
      </c>
      <c r="W1" s="3" t="str">
        <f>W17</f>
        <v>UKGoldWaveDetrended</v>
      </c>
      <c r="X1" s="3" t="str">
        <f>X17</f>
        <v>AvgGoldWave</v>
      </c>
      <c r="Y1" s="3" t="str">
        <f>Y17</f>
        <v>AvgGoldWaveHP</v>
      </c>
      <c r="Z1" s="4" t="str">
        <f t="shared" si="1"/>
        <v>UKWPI1790base</v>
      </c>
      <c r="AA1" s="4" t="str">
        <f t="shared" si="1"/>
        <v>UKWPIdollars1790base</v>
      </c>
      <c r="AB1" s="4" t="str">
        <f t="shared" si="1"/>
        <v>UKWPIGold1790base</v>
      </c>
      <c r="AD1" s="4" t="str">
        <f t="shared" si="1"/>
        <v>USGoldprice</v>
      </c>
      <c r="AE1" s="4" t="str">
        <f t="shared" si="1"/>
        <v>UKGoldprice</v>
      </c>
      <c r="AF1" s="1" t="str">
        <f t="shared" si="1"/>
        <v>Check: usppigold*gold - usppi = 0</v>
      </c>
      <c r="AG1" s="1" t="str">
        <f t="shared" si="1"/>
        <v>USPPIGOLDHP100</v>
      </c>
      <c r="AH1" s="1" t="str">
        <f t="shared" si="1"/>
        <v>UKPPIGOLDHP100</v>
      </c>
      <c r="AI1" s="1" t="str">
        <f t="shared" si="1"/>
        <v>p'dev</v>
      </c>
      <c r="AJ1" s="1" t="str">
        <f t="shared" si="1"/>
        <v>USPPIGOLDHP3</v>
      </c>
      <c r="AK1" s="1" t="str">
        <f t="shared" si="1"/>
        <v>UKPPIGOLDHP3</v>
      </c>
      <c r="AL1" s="1" t="str">
        <f t="shared" si="1"/>
        <v>UK Crisis Markers</v>
      </c>
      <c r="AM1" s="1" t="str">
        <f t="shared" si="1"/>
        <v>US Crisis Markers</v>
      </c>
      <c r="AN1" s="1" t="str">
        <f t="shared" si="1"/>
        <v>US1:1897-1939</v>
      </c>
      <c r="AO1" s="1" t="str">
        <f t="shared" si="1"/>
        <v>UK1:1897-1939</v>
      </c>
      <c r="AP1" s="1" t="str">
        <f t="shared" si="1"/>
        <v>US2:1939-1983</v>
      </c>
      <c r="AQ1" s="1" t="str">
        <f t="shared" si="1"/>
        <v>UK2:1939-1983</v>
      </c>
      <c r="AR1" s="1" t="str">
        <f t="shared" si="1"/>
        <v>USUKAVGWAVE</v>
      </c>
      <c r="AS1" s="1" t="str">
        <f t="shared" si="1"/>
        <v>USUKAVGWAVE1</v>
      </c>
      <c r="AT1" s="7"/>
      <c r="AU1" s="7"/>
      <c r="AV1" s="7"/>
      <c r="AW1" s="7"/>
    </row>
    <row r="2" spans="1:50">
      <c r="B2" s="9"/>
      <c r="K2" s="16"/>
      <c r="V2" s="11"/>
      <c r="W2" s="11"/>
      <c r="X2" s="11"/>
      <c r="Y2" s="11"/>
      <c r="AD2" s="18" t="s">
        <v>0</v>
      </c>
    </row>
    <row r="3" spans="1:50">
      <c r="B3" s="9"/>
      <c r="K3" s="16"/>
      <c r="V3" s="11"/>
      <c r="W3" s="11"/>
      <c r="X3" s="11"/>
      <c r="Y3" s="11"/>
      <c r="AD3" s="21" t="s">
        <v>1</v>
      </c>
    </row>
    <row r="4" spans="1:50">
      <c r="B4" s="9"/>
      <c r="K4" s="16"/>
      <c r="V4" s="11"/>
      <c r="W4" s="11"/>
      <c r="X4" s="11"/>
      <c r="Y4" s="11"/>
      <c r="AD4" s="15" t="s">
        <v>2</v>
      </c>
    </row>
    <row r="5" spans="1:50" ht="13">
      <c r="B5" s="9"/>
      <c r="H5" s="22" t="s">
        <v>3</v>
      </c>
      <c r="I5" s="23"/>
      <c r="K5" s="16"/>
      <c r="V5" s="11"/>
      <c r="W5" s="11"/>
      <c r="X5" s="11"/>
      <c r="Y5" s="11"/>
      <c r="AD5" s="24" t="s">
        <v>4</v>
      </c>
    </row>
    <row r="6" spans="1:50">
      <c r="B6" s="9"/>
      <c r="H6" s="25">
        <f>H248/H177</f>
        <v>13.901334282547905</v>
      </c>
      <c r="I6" s="26"/>
      <c r="J6" s="27" t="s">
        <v>5</v>
      </c>
      <c r="K6" s="16"/>
      <c r="V6" s="11"/>
      <c r="W6" s="11"/>
      <c r="X6" s="11"/>
      <c r="Y6" s="11"/>
      <c r="AD6" s="27" t="s">
        <v>6</v>
      </c>
      <c r="AE6" s="27"/>
    </row>
    <row r="7" spans="1:50" ht="14.4" customHeight="1">
      <c r="B7" s="29"/>
      <c r="D7" s="195"/>
      <c r="E7" s="31"/>
      <c r="I7" s="28"/>
      <c r="K7" s="32"/>
      <c r="L7" s="31"/>
      <c r="M7" s="31"/>
      <c r="N7" s="31"/>
      <c r="O7" s="31"/>
      <c r="Q7" s="33"/>
      <c r="R7" s="33"/>
      <c r="S7" s="33"/>
      <c r="T7" s="27"/>
      <c r="U7" s="27"/>
      <c r="V7" s="33"/>
      <c r="W7" s="33"/>
      <c r="X7" s="33"/>
      <c r="Y7" s="33"/>
      <c r="Z7" s="27"/>
      <c r="AA7" s="27"/>
      <c r="AB7" s="27"/>
      <c r="AC7" s="31"/>
      <c r="AD7" s="27"/>
      <c r="AE7" s="27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34"/>
      <c r="AU7" s="34"/>
      <c r="AV7" s="34"/>
      <c r="AW7" s="34"/>
      <c r="AX7" s="23"/>
    </row>
    <row r="8" spans="1:50">
      <c r="B8" s="29"/>
      <c r="C8" s="195"/>
      <c r="D8" s="196"/>
      <c r="I8" s="28"/>
      <c r="J8" s="18" t="s">
        <v>7</v>
      </c>
      <c r="K8" s="16"/>
      <c r="Q8" s="33"/>
      <c r="R8" s="33"/>
      <c r="S8" s="35"/>
      <c r="T8" s="27"/>
      <c r="U8" s="27"/>
      <c r="V8" s="33"/>
      <c r="W8" s="33"/>
      <c r="X8" s="33"/>
      <c r="Y8" s="33"/>
      <c r="AD8" s="18" t="s">
        <v>7</v>
      </c>
      <c r="AE8" s="18" t="s">
        <v>7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34"/>
      <c r="AU8" s="34"/>
      <c r="AV8" s="34"/>
      <c r="AW8" s="34"/>
      <c r="AX8" s="23"/>
    </row>
    <row r="9" spans="1:50">
      <c r="B9" s="29"/>
      <c r="C9" s="196"/>
      <c r="D9" s="196"/>
      <c r="I9" s="28"/>
      <c r="J9" s="27" t="s">
        <v>8</v>
      </c>
      <c r="K9" s="16"/>
      <c r="Q9" s="36"/>
      <c r="R9" s="36"/>
      <c r="T9" s="18" t="s">
        <v>7</v>
      </c>
      <c r="U9" s="37"/>
      <c r="V9" s="38"/>
      <c r="W9" s="38"/>
      <c r="X9" s="38"/>
      <c r="Y9" s="38"/>
      <c r="AD9" s="27" t="s">
        <v>8</v>
      </c>
      <c r="AE9" s="27" t="s">
        <v>8</v>
      </c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40"/>
      <c r="AU9" s="40"/>
      <c r="AV9" s="40"/>
      <c r="AW9" s="40"/>
      <c r="AX9" s="39"/>
    </row>
    <row r="10" spans="1:50" ht="20.5">
      <c r="B10" s="29"/>
      <c r="C10" s="196"/>
      <c r="D10" s="196"/>
      <c r="I10" s="23"/>
      <c r="J10" s="41" t="s">
        <v>9</v>
      </c>
      <c r="K10" s="16"/>
      <c r="Q10" s="33"/>
      <c r="R10" s="33"/>
      <c r="T10" s="27" t="s">
        <v>8</v>
      </c>
      <c r="U10" s="42"/>
      <c r="V10" s="43"/>
      <c r="W10" s="43"/>
      <c r="X10" s="43"/>
      <c r="Y10" s="43"/>
      <c r="AD10" s="44" t="s">
        <v>10</v>
      </c>
      <c r="AE10" s="45" t="s">
        <v>11</v>
      </c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7"/>
      <c r="AU10" s="47"/>
      <c r="AV10" s="47"/>
      <c r="AW10" s="47"/>
      <c r="AX10" s="46"/>
    </row>
    <row r="11" spans="1:50" s="48" customFormat="1" ht="31.25" customHeight="1">
      <c r="B11" s="51"/>
      <c r="C11" s="196"/>
      <c r="D11" s="197"/>
      <c r="E11" s="53"/>
      <c r="F11" s="54"/>
      <c r="H11" s="54"/>
      <c r="I11" s="55"/>
      <c r="J11" s="45"/>
      <c r="K11" s="56"/>
      <c r="L11" s="53"/>
      <c r="M11" s="53"/>
      <c r="N11" s="53"/>
      <c r="O11" s="53"/>
      <c r="P11" s="57"/>
      <c r="Q11" s="58"/>
      <c r="R11" s="52"/>
      <c r="S11" s="52"/>
      <c r="T11" s="41" t="s">
        <v>12</v>
      </c>
      <c r="U11" s="45"/>
      <c r="V11" s="52"/>
      <c r="W11" s="52"/>
      <c r="X11" s="52"/>
      <c r="Y11" s="52"/>
      <c r="Z11" s="45"/>
      <c r="AA11" s="45"/>
      <c r="AB11" s="45"/>
      <c r="AC11" s="53"/>
      <c r="AD11" s="45" t="s">
        <v>13</v>
      </c>
      <c r="AE11" s="45" t="s">
        <v>14</v>
      </c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9"/>
      <c r="AU11" s="59"/>
      <c r="AV11" s="59"/>
      <c r="AW11" s="59"/>
      <c r="AX11" s="50"/>
    </row>
    <row r="12" spans="1:50" ht="52.5" customHeight="1">
      <c r="A12" s="23"/>
      <c r="B12" s="29"/>
      <c r="C12" s="198"/>
      <c r="D12" s="198"/>
      <c r="E12" s="62"/>
      <c r="I12" s="28"/>
      <c r="K12" s="63" t="s">
        <v>15</v>
      </c>
      <c r="L12" s="62"/>
      <c r="M12" s="62"/>
      <c r="N12" s="62"/>
      <c r="O12" s="62"/>
      <c r="Q12" s="64"/>
      <c r="R12" s="65" t="s">
        <v>16</v>
      </c>
      <c r="S12" s="66"/>
      <c r="T12" s="44" t="s">
        <v>17</v>
      </c>
      <c r="U12" s="27"/>
      <c r="V12" s="33"/>
      <c r="W12" s="33"/>
      <c r="X12" s="33"/>
      <c r="Y12" s="33"/>
      <c r="Z12" s="67"/>
      <c r="AA12" s="67"/>
      <c r="AB12" s="67"/>
      <c r="AC12" s="62"/>
      <c r="AD12" s="22" t="s">
        <v>18</v>
      </c>
      <c r="AE12" s="27" t="s">
        <v>19</v>
      </c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34"/>
      <c r="AU12" s="34"/>
      <c r="AV12" s="34"/>
      <c r="AW12" s="34"/>
      <c r="AX12" s="23"/>
    </row>
    <row r="13" spans="1:50" ht="21">
      <c r="A13" s="23"/>
      <c r="B13" s="29"/>
      <c r="C13" s="198"/>
      <c r="D13" s="198"/>
      <c r="E13" s="62"/>
      <c r="I13" s="70" t="s">
        <v>20</v>
      </c>
      <c r="J13" s="71"/>
      <c r="K13" s="72" t="s">
        <v>21</v>
      </c>
      <c r="L13" s="73"/>
      <c r="M13" s="73"/>
      <c r="N13" s="73"/>
      <c r="O13" s="73"/>
      <c r="P13" s="74"/>
      <c r="Q13" s="33"/>
      <c r="R13" s="75" t="s">
        <v>22</v>
      </c>
      <c r="S13" s="66"/>
      <c r="T13" s="27" t="s">
        <v>23</v>
      </c>
      <c r="U13" s="27"/>
      <c r="V13" s="11"/>
      <c r="W13" s="33"/>
      <c r="X13" s="33"/>
      <c r="Y13" s="33"/>
      <c r="Z13" s="67"/>
      <c r="AA13" s="67"/>
      <c r="AB13" s="67"/>
      <c r="AC13" s="62"/>
      <c r="AD13" s="76">
        <f>F246/F178</f>
        <v>24.971428571428572</v>
      </c>
      <c r="AE13" s="76">
        <f>H246/H179</f>
        <v>12.590460741985462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34"/>
      <c r="AU13" s="34"/>
      <c r="AV13" s="34"/>
      <c r="AW13" s="34"/>
      <c r="AX13" s="23"/>
    </row>
    <row r="14" spans="1:50" s="48" customFormat="1" ht="100.25" customHeight="1">
      <c r="A14" s="50"/>
      <c r="B14" s="51"/>
      <c r="C14" s="199" t="s">
        <v>108</v>
      </c>
      <c r="D14" s="199"/>
      <c r="E14" s="60" t="s">
        <v>24</v>
      </c>
      <c r="F14" s="54"/>
      <c r="H14" s="78" t="s">
        <v>25</v>
      </c>
      <c r="I14" s="48" t="s">
        <v>26</v>
      </c>
      <c r="J14" s="45"/>
      <c r="K14" s="79" t="s">
        <v>27</v>
      </c>
      <c r="L14" s="60"/>
      <c r="M14" s="80" t="s">
        <v>28</v>
      </c>
      <c r="N14" s="60"/>
      <c r="O14" s="60"/>
      <c r="P14" s="57"/>
      <c r="Q14" s="81" t="s">
        <v>29</v>
      </c>
      <c r="R14" s="75"/>
      <c r="S14" s="82"/>
      <c r="T14" s="76">
        <f>T248/T177</f>
        <v>57.991764964015658</v>
      </c>
      <c r="U14" s="45"/>
      <c r="V14" s="83" t="s">
        <v>30</v>
      </c>
      <c r="W14" s="52"/>
      <c r="X14" s="52"/>
      <c r="Y14" s="52"/>
      <c r="Z14" s="84"/>
      <c r="AA14" s="84"/>
      <c r="AB14" s="84"/>
      <c r="AC14" s="85"/>
      <c r="AD14" s="86" t="s">
        <v>31</v>
      </c>
      <c r="AE14" s="54"/>
      <c r="AF14" s="50"/>
      <c r="AG14" s="50"/>
      <c r="AH14" s="50"/>
      <c r="AI14" s="50"/>
      <c r="AJ14" s="50"/>
      <c r="AK14" s="50"/>
      <c r="AL14" s="50"/>
      <c r="AM14" s="50"/>
      <c r="AN14" s="61" t="s">
        <v>32</v>
      </c>
      <c r="AO14" s="61" t="s">
        <v>33</v>
      </c>
      <c r="AP14" s="87" t="s">
        <v>34</v>
      </c>
      <c r="AQ14" s="87" t="s">
        <v>35</v>
      </c>
      <c r="AR14" s="50"/>
      <c r="AS14" s="50">
        <v>0.75</v>
      </c>
      <c r="AT14" s="59"/>
      <c r="AU14" s="59"/>
      <c r="AV14" s="59"/>
      <c r="AW14" s="59"/>
      <c r="AX14" s="50"/>
    </row>
    <row r="15" spans="1:50" s="48" customFormat="1" ht="59.5" customHeight="1">
      <c r="B15" s="51"/>
      <c r="C15" s="90"/>
      <c r="D15" s="90"/>
      <c r="E15" s="91" t="s">
        <v>37</v>
      </c>
      <c r="F15" s="54"/>
      <c r="G15" s="50"/>
      <c r="H15" s="92" t="s">
        <v>38</v>
      </c>
      <c r="I15" s="93" t="s">
        <v>39</v>
      </c>
      <c r="J15" s="4" t="s">
        <v>40</v>
      </c>
      <c r="K15" s="94" t="s">
        <v>41</v>
      </c>
      <c r="L15" s="95" t="s">
        <v>42</v>
      </c>
      <c r="M15" s="96"/>
      <c r="N15" s="95"/>
      <c r="O15" s="95"/>
      <c r="P15" s="97" t="s">
        <v>43</v>
      </c>
      <c r="Q15" s="98" t="s">
        <v>44</v>
      </c>
      <c r="R15" s="99" t="s">
        <v>45</v>
      </c>
      <c r="S15" s="100" t="s">
        <v>46</v>
      </c>
      <c r="T15" s="54"/>
      <c r="U15" s="45"/>
      <c r="V15" s="101" t="s">
        <v>47</v>
      </c>
      <c r="W15" s="90"/>
      <c r="X15" s="90"/>
      <c r="Y15" s="90"/>
      <c r="Z15" s="102"/>
      <c r="AA15" s="103"/>
      <c r="AB15" s="103"/>
      <c r="AC15" s="104"/>
      <c r="AD15" s="45"/>
      <c r="AE15" s="54"/>
      <c r="AF15" s="1"/>
      <c r="AG15" s="50"/>
      <c r="AH15" s="50"/>
      <c r="AI15" s="194" t="s">
        <v>48</v>
      </c>
      <c r="AJ15" s="105"/>
      <c r="AK15" s="105"/>
      <c r="AL15" s="105" t="s">
        <v>49</v>
      </c>
      <c r="AM15" s="105"/>
      <c r="AN15" s="50" t="s">
        <v>50</v>
      </c>
      <c r="AO15" s="61" t="s">
        <v>51</v>
      </c>
      <c r="AP15" s="50"/>
      <c r="AQ15" s="50"/>
      <c r="AR15" s="1" t="s">
        <v>52</v>
      </c>
      <c r="AS15" s="106" t="s">
        <v>53</v>
      </c>
      <c r="AT15" s="107"/>
      <c r="AU15" s="107"/>
      <c r="AV15" s="107"/>
      <c r="AW15" s="107"/>
      <c r="AX15" s="106"/>
    </row>
    <row r="16" spans="1:50" ht="13">
      <c r="B16" s="29"/>
      <c r="C16" s="200" t="s">
        <v>109</v>
      </c>
      <c r="D16" s="83" t="s">
        <v>110</v>
      </c>
      <c r="E16" s="108" t="s">
        <v>54</v>
      </c>
      <c r="F16" s="45" t="s">
        <v>43</v>
      </c>
      <c r="G16" s="23" t="s">
        <v>55</v>
      </c>
      <c r="H16" s="45" t="s">
        <v>43</v>
      </c>
      <c r="I16" s="109" t="s">
        <v>56</v>
      </c>
      <c r="J16" s="27"/>
      <c r="K16" s="110" t="s">
        <v>57</v>
      </c>
      <c r="L16" s="108" t="s">
        <v>54</v>
      </c>
      <c r="M16" s="62"/>
      <c r="N16" s="108"/>
      <c r="O16" s="111" t="s">
        <v>57</v>
      </c>
      <c r="P16" s="112" t="s">
        <v>58</v>
      </c>
      <c r="Q16" s="33"/>
      <c r="R16" s="33"/>
      <c r="S16" s="66" t="s">
        <v>59</v>
      </c>
      <c r="T16" s="45" t="s">
        <v>43</v>
      </c>
      <c r="U16" s="27"/>
      <c r="V16" s="113" t="s">
        <v>60</v>
      </c>
      <c r="W16" s="113" t="s">
        <v>60</v>
      </c>
      <c r="X16" s="113" t="s">
        <v>60</v>
      </c>
      <c r="Y16" s="113" t="s">
        <v>60</v>
      </c>
      <c r="Z16" s="67"/>
      <c r="AA16" s="67"/>
      <c r="AB16" s="67"/>
      <c r="AC16" s="62"/>
      <c r="AD16" s="27"/>
      <c r="AE16" s="27"/>
      <c r="AF16" s="88" t="s">
        <v>36</v>
      </c>
      <c r="AG16" s="23"/>
      <c r="AH16" s="23"/>
      <c r="AI16" s="23" t="s">
        <v>61</v>
      </c>
      <c r="AJ16" s="23"/>
      <c r="AK16" s="23"/>
      <c r="AL16" s="23"/>
      <c r="AM16" s="23"/>
      <c r="AN16" s="46" t="s">
        <v>62</v>
      </c>
      <c r="AO16" s="46" t="s">
        <v>62</v>
      </c>
      <c r="AP16" s="46" t="s">
        <v>63</v>
      </c>
      <c r="AQ16" s="46" t="s">
        <v>63</v>
      </c>
      <c r="AR16" s="46" t="s">
        <v>64</v>
      </c>
      <c r="AS16" s="23"/>
      <c r="AT16" s="34"/>
      <c r="AU16" s="34"/>
      <c r="AV16" s="34"/>
      <c r="AW16" s="34"/>
      <c r="AX16" s="23"/>
    </row>
    <row r="17" spans="1:50" s="48" customFormat="1" ht="21">
      <c r="B17" s="114"/>
      <c r="C17" s="201" t="s">
        <v>111</v>
      </c>
      <c r="D17" s="202" t="s">
        <v>112</v>
      </c>
      <c r="E17" s="55" t="s">
        <v>65</v>
      </c>
      <c r="F17" s="115" t="s">
        <v>66</v>
      </c>
      <c r="G17" s="77" t="s">
        <v>67</v>
      </c>
      <c r="H17" s="115" t="s">
        <v>68</v>
      </c>
      <c r="I17" s="116" t="s">
        <v>69</v>
      </c>
      <c r="J17" s="117" t="s">
        <v>70</v>
      </c>
      <c r="K17" s="56" t="s">
        <v>71</v>
      </c>
      <c r="L17" s="50" t="s">
        <v>72</v>
      </c>
      <c r="M17" s="80" t="s">
        <v>73</v>
      </c>
      <c r="N17" s="50" t="s">
        <v>74</v>
      </c>
      <c r="O17" s="55" t="s">
        <v>75</v>
      </c>
      <c r="P17" s="118" t="s">
        <v>76</v>
      </c>
      <c r="Q17" s="2" t="s">
        <v>77</v>
      </c>
      <c r="R17" s="52" t="s">
        <v>78</v>
      </c>
      <c r="S17" s="52" t="s">
        <v>79</v>
      </c>
      <c r="T17" s="115" t="s">
        <v>80</v>
      </c>
      <c r="U17" s="117" t="s">
        <v>81</v>
      </c>
      <c r="V17" s="119" t="s">
        <v>115</v>
      </c>
      <c r="W17" s="119" t="s">
        <v>116</v>
      </c>
      <c r="X17" s="3" t="s">
        <v>82</v>
      </c>
      <c r="Y17" s="3" t="s">
        <v>83</v>
      </c>
      <c r="Z17" s="45" t="s">
        <v>84</v>
      </c>
      <c r="AA17" s="45" t="s">
        <v>85</v>
      </c>
      <c r="AB17" s="97" t="s">
        <v>86</v>
      </c>
      <c r="AC17" s="80"/>
      <c r="AD17" s="45" t="s">
        <v>87</v>
      </c>
      <c r="AE17" s="45" t="s">
        <v>88</v>
      </c>
      <c r="AF17" s="120" t="s">
        <v>89</v>
      </c>
      <c r="AG17" s="77" t="s">
        <v>90</v>
      </c>
      <c r="AH17" s="61" t="s">
        <v>91</v>
      </c>
      <c r="AI17" s="121" t="s">
        <v>92</v>
      </c>
      <c r="AJ17" s="77" t="s">
        <v>93</v>
      </c>
      <c r="AK17" s="61" t="s">
        <v>94</v>
      </c>
      <c r="AL17" s="61" t="s">
        <v>95</v>
      </c>
      <c r="AM17" s="61" t="s">
        <v>96</v>
      </c>
      <c r="AN17" s="122" t="s">
        <v>97</v>
      </c>
      <c r="AO17" s="122" t="s">
        <v>98</v>
      </c>
      <c r="AP17" s="122" t="s">
        <v>99</v>
      </c>
      <c r="AQ17" s="122" t="s">
        <v>100</v>
      </c>
      <c r="AR17" s="123" t="s">
        <v>101</v>
      </c>
      <c r="AS17" s="123" t="s">
        <v>102</v>
      </c>
      <c r="AT17" s="124" t="s">
        <v>103</v>
      </c>
      <c r="AU17" s="124" t="s">
        <v>104</v>
      </c>
      <c r="AV17" s="124" t="s">
        <v>105</v>
      </c>
      <c r="AW17" s="124" t="s">
        <v>106</v>
      </c>
      <c r="AX17" s="123"/>
    </row>
    <row r="18" spans="1:50" s="48" customFormat="1">
      <c r="A18" s="48">
        <v>1780</v>
      </c>
      <c r="B18" s="114"/>
      <c r="C18" s="201">
        <v>13.700000000000001</v>
      </c>
      <c r="D18" s="203"/>
      <c r="E18" s="89"/>
      <c r="F18" s="125">
        <f t="shared" ref="F18:F23" si="2">P18*($F$24/$P$24)</f>
        <v>94.263379505250199</v>
      </c>
      <c r="G18" s="126">
        <f>C18*100/$C$168</f>
        <v>82.035928143712582</v>
      </c>
      <c r="H18" s="127">
        <f t="shared" ref="H18:H37" si="3">G18*($H$38/$G$38)</f>
        <v>115.04847986852918</v>
      </c>
      <c r="I18" s="116"/>
      <c r="J18" s="25">
        <f t="shared" ref="J18:J81" si="4">H18*100/F18</f>
        <v>122.05002671490398</v>
      </c>
      <c r="L18" s="50"/>
      <c r="M18" s="80"/>
      <c r="N18" s="50"/>
      <c r="O18" s="55"/>
      <c r="P18" s="128">
        <f>[1]UKWPIPGDATA!B228</f>
        <v>99.5</v>
      </c>
      <c r="Q18" s="129">
        <v>88.3</v>
      </c>
      <c r="R18" s="52"/>
      <c r="S18" s="52"/>
      <c r="T18" s="115">
        <f t="shared" ref="T18:T81" si="5">Q18</f>
        <v>88.3</v>
      </c>
      <c r="U18" s="25">
        <f t="shared" ref="U18:U81" si="6">T18*100/P18</f>
        <v>88.743718592964825</v>
      </c>
      <c r="V18" s="130">
        <v>2.25701128332362</v>
      </c>
      <c r="W18" s="130">
        <v>-8.3010437546170497</v>
      </c>
      <c r="X18" s="130">
        <v>-3.0220162356467202</v>
      </c>
      <c r="Y18" s="130">
        <v>-9.3528585057958207</v>
      </c>
      <c r="Z18" s="45"/>
      <c r="AA18" s="45"/>
      <c r="AB18" s="97"/>
      <c r="AC18" s="80"/>
      <c r="AD18" s="45"/>
      <c r="AE18" s="45"/>
      <c r="AF18" s="120"/>
      <c r="AG18" s="77"/>
      <c r="AH18" s="61"/>
      <c r="AI18" s="121"/>
      <c r="AJ18" s="77"/>
      <c r="AK18" s="61"/>
      <c r="AL18" s="61"/>
      <c r="AM18" s="61"/>
      <c r="AN18" s="122"/>
      <c r="AO18" s="122"/>
      <c r="AP18" s="122"/>
      <c r="AQ18" s="122"/>
      <c r="AR18" s="123"/>
      <c r="AS18" s="123"/>
      <c r="AT18" s="124"/>
      <c r="AU18" s="124"/>
      <c r="AV18" s="124"/>
      <c r="AW18" s="124"/>
      <c r="AX18" s="123"/>
    </row>
    <row r="19" spans="1:50" s="48" customFormat="1">
      <c r="A19" s="48">
        <v>1781</v>
      </c>
      <c r="B19" s="114"/>
      <c r="C19" s="201">
        <v>11.1</v>
      </c>
      <c r="D19" s="203"/>
      <c r="E19" s="68"/>
      <c r="F19" s="125">
        <f t="shared" si="2"/>
        <v>94.263379505250199</v>
      </c>
      <c r="G19" s="126">
        <f t="shared" ref="G19:G82" si="7">C19*100/$C$168</f>
        <v>66.467065868263475</v>
      </c>
      <c r="H19" s="127">
        <f t="shared" si="3"/>
        <v>93.214461791290063</v>
      </c>
      <c r="I19" s="116"/>
      <c r="J19" s="25">
        <f t="shared" si="4"/>
        <v>98.887247922294463</v>
      </c>
      <c r="K19" s="56"/>
      <c r="L19" s="50"/>
      <c r="M19" s="80"/>
      <c r="N19" s="50"/>
      <c r="O19" s="55"/>
      <c r="P19" s="128">
        <f>[1]UKWPIPGDATA!B229</f>
        <v>99.5</v>
      </c>
      <c r="Q19" s="129">
        <v>89.7</v>
      </c>
      <c r="R19" s="52"/>
      <c r="S19" s="52"/>
      <c r="T19" s="115">
        <f t="shared" si="5"/>
        <v>89.7</v>
      </c>
      <c r="U19" s="25">
        <f t="shared" si="6"/>
        <v>90.150753768844226</v>
      </c>
      <c r="V19" s="130">
        <v>-19.486565026089298</v>
      </c>
      <c r="W19" s="130">
        <v>-8.7173852871185407</v>
      </c>
      <c r="X19" s="130">
        <v>-14.101975156603901</v>
      </c>
      <c r="Y19" s="130">
        <v>-11.5444806403057</v>
      </c>
      <c r="Z19" s="45"/>
      <c r="AA19" s="45"/>
      <c r="AB19" s="97"/>
      <c r="AC19" s="80"/>
      <c r="AD19" s="45"/>
      <c r="AE19" s="45"/>
      <c r="AF19" s="120"/>
      <c r="AG19" s="77"/>
      <c r="AH19" s="61"/>
      <c r="AI19" s="121"/>
      <c r="AJ19" s="77"/>
      <c r="AK19" s="61"/>
      <c r="AL19" s="61"/>
      <c r="AM19" s="61"/>
      <c r="AN19" s="122"/>
      <c r="AO19" s="122"/>
      <c r="AP19" s="122"/>
      <c r="AQ19" s="122"/>
      <c r="AR19" s="123"/>
      <c r="AS19" s="123"/>
      <c r="AT19" s="124">
        <v>1.58550396375991E-2</v>
      </c>
      <c r="AU19" s="124">
        <v>1.36157496575762E-2</v>
      </c>
      <c r="AV19" s="124">
        <v>-0.18978165635213101</v>
      </c>
      <c r="AW19" s="124">
        <v>-8.9124035430065807E-2</v>
      </c>
      <c r="AX19" s="123"/>
    </row>
    <row r="20" spans="1:50" s="48" customFormat="1">
      <c r="A20" s="48">
        <v>1782</v>
      </c>
      <c r="B20" s="114"/>
      <c r="C20" s="201">
        <v>12.1</v>
      </c>
      <c r="D20" s="203"/>
      <c r="E20" s="68"/>
      <c r="F20" s="125">
        <f t="shared" si="2"/>
        <v>94.547590699738393</v>
      </c>
      <c r="G20" s="126">
        <f t="shared" si="7"/>
        <v>72.455089820359291</v>
      </c>
      <c r="H20" s="127">
        <f t="shared" si="3"/>
        <v>101.61216105176666</v>
      </c>
      <c r="I20" s="116"/>
      <c r="J20" s="25">
        <f t="shared" si="4"/>
        <v>107.47197289718756</v>
      </c>
      <c r="K20" s="56"/>
      <c r="L20" s="50"/>
      <c r="M20" s="80"/>
      <c r="N20" s="50"/>
      <c r="O20" s="55"/>
      <c r="P20" s="128">
        <f>[1]UKWPIPGDATA!B230</f>
        <v>99.8</v>
      </c>
      <c r="Q20" s="129">
        <v>98.1</v>
      </c>
      <c r="R20" s="52"/>
      <c r="S20" s="52"/>
      <c r="T20" s="115">
        <f t="shared" si="5"/>
        <v>98.1</v>
      </c>
      <c r="U20" s="25">
        <f t="shared" si="6"/>
        <v>98.296593186372746</v>
      </c>
      <c r="V20" s="130">
        <v>-9.5206024905569802</v>
      </c>
      <c r="W20" s="130">
        <v>-2.3042849803747898</v>
      </c>
      <c r="X20" s="130">
        <v>-5.9124437354658799</v>
      </c>
      <c r="Y20" s="130">
        <v>-13.672794352114201</v>
      </c>
      <c r="Z20" s="45"/>
      <c r="AA20" s="45"/>
      <c r="AB20" s="97"/>
      <c r="AC20" s="80"/>
      <c r="AD20" s="45"/>
      <c r="AE20" s="45"/>
      <c r="AF20" s="120"/>
      <c r="AG20" s="77"/>
      <c r="AH20" s="61"/>
      <c r="AI20" s="121"/>
      <c r="AJ20" s="77"/>
      <c r="AK20" s="61"/>
      <c r="AL20" s="61"/>
      <c r="AM20" s="61"/>
      <c r="AN20" s="122"/>
      <c r="AO20" s="122"/>
      <c r="AP20" s="122"/>
      <c r="AQ20" s="122"/>
      <c r="AR20" s="123"/>
      <c r="AS20" s="123"/>
      <c r="AT20" s="124">
        <v>9.3645484949832603E-2</v>
      </c>
      <c r="AU20" s="124">
        <v>1.12861757153457E-2</v>
      </c>
      <c r="AV20" s="124">
        <v>9.0093762739502606E-2</v>
      </c>
      <c r="AW20" s="124">
        <v>-7.6019359231887004E-2</v>
      </c>
      <c r="AX20" s="123"/>
    </row>
    <row r="21" spans="1:50" s="48" customFormat="1">
      <c r="A21" s="48">
        <v>1783</v>
      </c>
      <c r="B21" s="114"/>
      <c r="C21" s="201">
        <v>10.6</v>
      </c>
      <c r="D21" s="203"/>
      <c r="E21" s="68"/>
      <c r="F21" s="125">
        <f t="shared" si="2"/>
        <v>94.547590699738393</v>
      </c>
      <c r="G21" s="126">
        <f t="shared" si="7"/>
        <v>63.473053892215574</v>
      </c>
      <c r="H21" s="127">
        <f t="shared" si="3"/>
        <v>89.015612161051777</v>
      </c>
      <c r="I21" s="116"/>
      <c r="J21" s="25">
        <f t="shared" si="4"/>
        <v>94.149001050428751</v>
      </c>
      <c r="K21" s="56"/>
      <c r="L21" s="50"/>
      <c r="M21" s="80"/>
      <c r="N21" s="50"/>
      <c r="O21" s="55"/>
      <c r="P21" s="128">
        <f>[1]UKWPIPGDATA!B231</f>
        <v>99.8</v>
      </c>
      <c r="Q21" s="129">
        <v>95.4</v>
      </c>
      <c r="R21" s="52"/>
      <c r="S21" s="52"/>
      <c r="T21" s="115">
        <f t="shared" si="5"/>
        <v>95.4</v>
      </c>
      <c r="U21" s="25">
        <f t="shared" si="6"/>
        <v>95.591182364729463</v>
      </c>
      <c r="V21" s="130">
        <v>-21.484818816041798</v>
      </c>
      <c r="W21" s="130">
        <v>-6.6637673734385796</v>
      </c>
      <c r="X21" s="130">
        <v>-14.074293094740201</v>
      </c>
      <c r="Y21" s="130">
        <v>-15.700066163682701</v>
      </c>
      <c r="Z21" s="45"/>
      <c r="AA21" s="45"/>
      <c r="AB21" s="97"/>
      <c r="AC21" s="80"/>
      <c r="AD21" s="45"/>
      <c r="AE21" s="45"/>
      <c r="AF21" s="120"/>
      <c r="AG21" s="77"/>
      <c r="AH21" s="61"/>
      <c r="AI21" s="121"/>
      <c r="AJ21" s="77"/>
      <c r="AK21" s="61"/>
      <c r="AL21" s="61"/>
      <c r="AM21" s="61"/>
      <c r="AN21" s="122"/>
      <c r="AO21" s="122"/>
      <c r="AP21" s="122"/>
      <c r="AQ21" s="122"/>
      <c r="AR21" s="123"/>
      <c r="AS21" s="123"/>
      <c r="AT21" s="124">
        <v>-2.7522935779816401E-2</v>
      </c>
      <c r="AU21" s="124">
        <v>8.9789946729155502E-3</v>
      </c>
      <c r="AV21" s="124">
        <v>-0.123961736802739</v>
      </c>
      <c r="AW21" s="124">
        <v>-6.3921259242928893E-2</v>
      </c>
      <c r="AX21" s="123"/>
    </row>
    <row r="22" spans="1:50" s="48" customFormat="1">
      <c r="A22" s="48">
        <v>1784</v>
      </c>
      <c r="B22" s="114"/>
      <c r="C22" s="201">
        <v>10.199999999999999</v>
      </c>
      <c r="D22" s="203"/>
      <c r="E22" s="68"/>
      <c r="F22" s="125">
        <f t="shared" si="2"/>
        <v>94.737064829397184</v>
      </c>
      <c r="G22" s="126">
        <f t="shared" si="7"/>
        <v>61.077844311377241</v>
      </c>
      <c r="H22" s="127">
        <f t="shared" si="3"/>
        <v>85.656532456861129</v>
      </c>
      <c r="I22" s="116"/>
      <c r="J22" s="25">
        <f t="shared" si="4"/>
        <v>90.415016140843818</v>
      </c>
      <c r="K22" s="56"/>
      <c r="L22" s="50"/>
      <c r="M22" s="80"/>
      <c r="N22" s="50"/>
      <c r="O22" s="55"/>
      <c r="P22" s="128">
        <f>[1]UKWPIPGDATA!B232</f>
        <v>100</v>
      </c>
      <c r="Q22" s="129">
        <v>90.1</v>
      </c>
      <c r="R22" s="52"/>
      <c r="S22" s="52"/>
      <c r="T22" s="115">
        <f t="shared" si="5"/>
        <v>90.1</v>
      </c>
      <c r="U22" s="25">
        <f t="shared" si="6"/>
        <v>90.1</v>
      </c>
      <c r="V22" s="130">
        <v>-23.888931708506298</v>
      </c>
      <c r="W22" s="130">
        <v>-13.717837844839799</v>
      </c>
      <c r="X22" s="130">
        <v>-18.803384776672999</v>
      </c>
      <c r="Y22" s="130">
        <v>-17.510959091306301</v>
      </c>
      <c r="Z22" s="45"/>
      <c r="AA22" s="45"/>
      <c r="AB22" s="97"/>
      <c r="AC22" s="80"/>
      <c r="AD22" s="45"/>
      <c r="AE22" s="45"/>
      <c r="AF22" s="120"/>
      <c r="AG22" s="77"/>
      <c r="AH22" s="61"/>
      <c r="AI22" s="121"/>
      <c r="AJ22" s="77"/>
      <c r="AK22" s="61"/>
      <c r="AL22" s="61"/>
      <c r="AM22" s="61"/>
      <c r="AN22" s="122"/>
      <c r="AO22" s="122"/>
      <c r="AP22" s="122"/>
      <c r="AQ22" s="122"/>
      <c r="AR22" s="123"/>
      <c r="AS22" s="123"/>
      <c r="AT22" s="124">
        <v>-5.5555555555555601E-2</v>
      </c>
      <c r="AU22" s="124">
        <v>7.5401925224306996E-3</v>
      </c>
      <c r="AV22" s="124">
        <v>-3.7734789251370603E-2</v>
      </c>
      <c r="AW22" s="124">
        <v>-5.21751804526982E-2</v>
      </c>
      <c r="AX22" s="123"/>
    </row>
    <row r="23" spans="1:50" s="48" customFormat="1">
      <c r="A23" s="48">
        <v>1785</v>
      </c>
      <c r="B23" s="114"/>
      <c r="C23" s="201">
        <v>9.7000000000000011</v>
      </c>
      <c r="D23" s="203"/>
      <c r="E23" s="68"/>
      <c r="F23" s="125">
        <f t="shared" si="2"/>
        <v>94.737064829397184</v>
      </c>
      <c r="G23" s="126">
        <f t="shared" si="7"/>
        <v>58.083832335329348</v>
      </c>
      <c r="H23" s="127">
        <f t="shared" si="3"/>
        <v>81.457682826622857</v>
      </c>
      <c r="I23" s="116"/>
      <c r="J23" s="25">
        <f t="shared" si="4"/>
        <v>85.982907506488743</v>
      </c>
      <c r="K23" s="56"/>
      <c r="L23" s="50"/>
      <c r="M23" s="80"/>
      <c r="N23" s="50"/>
      <c r="O23" s="55"/>
      <c r="P23" s="128">
        <f>[1]UKWPIPGDATA!B233</f>
        <v>100</v>
      </c>
      <c r="Q23" s="129">
        <v>89.3</v>
      </c>
      <c r="R23" s="52"/>
      <c r="S23" s="52"/>
      <c r="T23" s="115">
        <f t="shared" si="5"/>
        <v>89.3</v>
      </c>
      <c r="U23" s="25">
        <f t="shared" si="6"/>
        <v>89.3</v>
      </c>
      <c r="V23" s="130">
        <v>-27.032658873912599</v>
      </c>
      <c r="W23" s="130">
        <v>-15.998482612585001</v>
      </c>
      <c r="X23" s="130">
        <v>-21.515570743248801</v>
      </c>
      <c r="Y23" s="130">
        <v>-18.973878420590701</v>
      </c>
      <c r="Z23" s="45"/>
      <c r="AA23" s="45"/>
      <c r="AB23" s="97"/>
      <c r="AC23" s="80"/>
      <c r="AD23" s="45"/>
      <c r="AE23" s="45"/>
      <c r="AF23" s="120"/>
      <c r="AG23" s="77"/>
      <c r="AH23" s="61"/>
      <c r="AI23" s="121"/>
      <c r="AJ23" s="77"/>
      <c r="AK23" s="61"/>
      <c r="AL23" s="61"/>
      <c r="AM23" s="61"/>
      <c r="AN23" s="122"/>
      <c r="AO23" s="122"/>
      <c r="AP23" s="122"/>
      <c r="AQ23" s="122"/>
      <c r="AR23" s="123"/>
      <c r="AS23" s="123"/>
      <c r="AT23" s="124">
        <v>-8.8790233074361492E-3</v>
      </c>
      <c r="AU23" s="124">
        <v>7.4507359515089897E-3</v>
      </c>
      <c r="AV23" s="124">
        <v>-4.902109576567E-2</v>
      </c>
      <c r="AW23" s="124">
        <v>-4.0726972626299901E-2</v>
      </c>
      <c r="AX23" s="123"/>
    </row>
    <row r="24" spans="1:50" s="48" customFormat="1">
      <c r="A24" s="48">
        <v>1786</v>
      </c>
      <c r="B24" s="114"/>
      <c r="C24">
        <v>9.19</v>
      </c>
      <c r="D24" s="202"/>
      <c r="E24" s="80">
        <v>19.489999999999998</v>
      </c>
      <c r="F24" s="132">
        <f t="shared" ref="F24:F87" si="8">E24*100/$E$168</f>
        <v>94.2912433478471</v>
      </c>
      <c r="G24" s="126">
        <f t="shared" si="7"/>
        <v>55.029940119760482</v>
      </c>
      <c r="H24" s="127">
        <f t="shared" si="3"/>
        <v>77.174856203779797</v>
      </c>
      <c r="I24" s="116"/>
      <c r="J24" s="25">
        <f t="shared" si="4"/>
        <v>81.847320560909637</v>
      </c>
      <c r="K24" s="56">
        <v>4.2300000000000004</v>
      </c>
      <c r="L24" s="50"/>
      <c r="M24" s="80"/>
      <c r="N24" s="50"/>
      <c r="O24" s="133">
        <f>K24</f>
        <v>4.2300000000000004</v>
      </c>
      <c r="P24" s="134">
        <f t="shared" ref="P24:P87" si="9">O24*100/$O$168</f>
        <v>99.529411764705898</v>
      </c>
      <c r="Q24" s="129">
        <v>90.6</v>
      </c>
      <c r="R24" s="52"/>
      <c r="S24" s="52"/>
      <c r="T24" s="115">
        <f t="shared" si="5"/>
        <v>90.6</v>
      </c>
      <c r="U24" s="25">
        <f t="shared" si="6"/>
        <v>91.028368794326227</v>
      </c>
      <c r="V24" s="135">
        <v>-29.895718018223398</v>
      </c>
      <c r="W24" s="135">
        <v>-15.6676687341582</v>
      </c>
      <c r="X24" s="135">
        <v>-22.781693376190798</v>
      </c>
      <c r="Y24" s="135">
        <v>-19.970153693995002</v>
      </c>
      <c r="Z24" s="45"/>
      <c r="AA24" s="45"/>
      <c r="AB24" s="97"/>
      <c r="AC24" s="136">
        <v>1786</v>
      </c>
      <c r="AD24" s="45"/>
      <c r="AE24" s="45"/>
      <c r="AF24" s="120"/>
      <c r="AG24" s="77"/>
      <c r="AH24" s="61"/>
      <c r="AI24" s="121"/>
      <c r="AJ24" s="77"/>
      <c r="AK24" s="61"/>
      <c r="AL24" s="61"/>
      <c r="AM24" s="61"/>
      <c r="AN24" s="122"/>
      <c r="AO24" s="122"/>
      <c r="AP24" s="122"/>
      <c r="AQ24" s="122"/>
      <c r="AR24" s="123"/>
      <c r="AS24" s="123"/>
      <c r="AT24" s="124">
        <v>1.45576707726763E-2</v>
      </c>
      <c r="AU24" s="124">
        <v>8.5606341669883495E-3</v>
      </c>
      <c r="AV24" s="124">
        <v>-5.2579243291021101E-2</v>
      </c>
      <c r="AW24" s="124">
        <v>-2.9378081616825501E-2</v>
      </c>
      <c r="AX24" s="123"/>
    </row>
    <row r="25" spans="1:50" s="48" customFormat="1">
      <c r="A25" s="48">
        <v>1787</v>
      </c>
      <c r="B25" s="114"/>
      <c r="C25">
        <v>9.02</v>
      </c>
      <c r="D25" s="202"/>
      <c r="E25" s="80">
        <v>19.489999999999998</v>
      </c>
      <c r="F25" s="132">
        <f t="shared" si="8"/>
        <v>94.2912433478471</v>
      </c>
      <c r="G25" s="126">
        <f t="shared" si="7"/>
        <v>54.011976047904191</v>
      </c>
      <c r="H25" s="127">
        <f t="shared" si="3"/>
        <v>75.747247329498776</v>
      </c>
      <c r="I25" s="116"/>
      <c r="J25" s="25">
        <f t="shared" si="4"/>
        <v>80.333278722459724</v>
      </c>
      <c r="K25" s="56">
        <v>4.2300000000000004</v>
      </c>
      <c r="L25" s="50"/>
      <c r="M25" s="80"/>
      <c r="N25" s="50"/>
      <c r="O25" s="133">
        <f t="shared" ref="O25:O88" si="10">K25</f>
        <v>4.2300000000000004</v>
      </c>
      <c r="P25" s="134">
        <f t="shared" si="9"/>
        <v>99.529411764705898</v>
      </c>
      <c r="Q25" s="129">
        <v>95.9</v>
      </c>
      <c r="R25" s="52"/>
      <c r="S25" s="52"/>
      <c r="T25" s="115">
        <f t="shared" si="5"/>
        <v>95.9</v>
      </c>
      <c r="U25" s="25">
        <f t="shared" si="6"/>
        <v>96.353427895981071</v>
      </c>
      <c r="V25" s="135">
        <v>-30.177826847400699</v>
      </c>
      <c r="W25" s="135">
        <v>-11.667344106520099</v>
      </c>
      <c r="X25" s="135">
        <v>-20.9225854769604</v>
      </c>
      <c r="Y25" s="135">
        <v>-20.406531377205201</v>
      </c>
      <c r="Z25" s="45"/>
      <c r="AA25" s="45"/>
      <c r="AB25" s="97"/>
      <c r="AC25" s="136">
        <v>1787</v>
      </c>
      <c r="AD25" s="45"/>
      <c r="AE25" s="45"/>
      <c r="AF25" s="120"/>
      <c r="AG25" s="77"/>
      <c r="AH25" s="61"/>
      <c r="AI25" s="121"/>
      <c r="AJ25" s="77"/>
      <c r="AK25" s="61"/>
      <c r="AL25" s="61"/>
      <c r="AM25" s="61"/>
      <c r="AN25" s="122"/>
      <c r="AO25" s="122"/>
      <c r="AP25" s="122"/>
      <c r="AQ25" s="122"/>
      <c r="AR25" s="123"/>
      <c r="AS25" s="123"/>
      <c r="AT25" s="124">
        <v>5.8498896247240702E-2</v>
      </c>
      <c r="AU25" s="124">
        <v>1.05565987831172E-2</v>
      </c>
      <c r="AV25" s="124">
        <v>-1.8503401360544101E-2</v>
      </c>
      <c r="AW25" s="124">
        <v>-1.8012894508760299E-2</v>
      </c>
      <c r="AX25" s="123"/>
    </row>
    <row r="26" spans="1:50" s="48" customFormat="1">
      <c r="A26" s="48">
        <v>1788</v>
      </c>
      <c r="B26" s="114"/>
      <c r="C26">
        <v>8.6199999999999992</v>
      </c>
      <c r="D26" s="202"/>
      <c r="E26" s="80">
        <v>19.489999999999998</v>
      </c>
      <c r="F26" s="132">
        <f t="shared" si="8"/>
        <v>94.2912433478471</v>
      </c>
      <c r="G26" s="126">
        <f t="shared" si="7"/>
        <v>51.616766467065865</v>
      </c>
      <c r="H26" s="127">
        <f t="shared" si="3"/>
        <v>72.388167625308142</v>
      </c>
      <c r="I26" s="116"/>
      <c r="J26" s="25">
        <f t="shared" si="4"/>
        <v>76.770827337871708</v>
      </c>
      <c r="K26" s="56">
        <v>4.2300000000000004</v>
      </c>
      <c r="L26" s="50"/>
      <c r="M26" s="80"/>
      <c r="N26" s="50"/>
      <c r="O26" s="133">
        <f t="shared" si="10"/>
        <v>4.2300000000000004</v>
      </c>
      <c r="P26" s="134">
        <f t="shared" si="9"/>
        <v>99.529411764705898</v>
      </c>
      <c r="Q26" s="129">
        <v>90.7</v>
      </c>
      <c r="R26" s="52"/>
      <c r="S26" s="52"/>
      <c r="T26" s="115">
        <f t="shared" si="5"/>
        <v>90.7</v>
      </c>
      <c r="U26" s="25">
        <f t="shared" si="6"/>
        <v>91.128841607564993</v>
      </c>
      <c r="V26" s="135">
        <v>-32.5287030674071</v>
      </c>
      <c r="W26" s="135">
        <v>-18.129437466108399</v>
      </c>
      <c r="X26" s="135">
        <v>-25.3290702667578</v>
      </c>
      <c r="Y26" s="135">
        <v>-20.217873332729202</v>
      </c>
      <c r="Z26" s="45"/>
      <c r="AA26" s="45"/>
      <c r="AB26" s="97"/>
      <c r="AC26" s="136">
        <v>1788</v>
      </c>
      <c r="AD26" s="45"/>
      <c r="AE26" s="45"/>
      <c r="AF26" s="120"/>
      <c r="AG26" s="77"/>
      <c r="AH26" s="61"/>
      <c r="AI26" s="121"/>
      <c r="AJ26" s="77"/>
      <c r="AK26" s="61"/>
      <c r="AL26" s="61"/>
      <c r="AM26" s="61"/>
      <c r="AN26" s="122"/>
      <c r="AO26" s="122"/>
      <c r="AP26" s="122"/>
      <c r="AQ26" s="122"/>
      <c r="AR26" s="123"/>
      <c r="AS26" s="123"/>
      <c r="AT26" s="124">
        <v>-5.4223149113660003E-2</v>
      </c>
      <c r="AU26" s="124">
        <v>1.31853117802011E-2</v>
      </c>
      <c r="AV26" s="124">
        <v>-4.4344990560682203E-2</v>
      </c>
      <c r="AW26" s="124">
        <v>-6.7478100033318096E-3</v>
      </c>
      <c r="AX26" s="123"/>
    </row>
    <row r="27" spans="1:50" s="48" customFormat="1">
      <c r="A27" s="48">
        <v>1789</v>
      </c>
      <c r="B27" s="114"/>
      <c r="C27">
        <v>8.5399999999999991</v>
      </c>
      <c r="D27" s="202"/>
      <c r="E27" s="80">
        <v>19.489999999999998</v>
      </c>
      <c r="F27" s="132">
        <f t="shared" si="8"/>
        <v>94.2912433478471</v>
      </c>
      <c r="G27" s="126">
        <f t="shared" si="7"/>
        <v>51.137724550898199</v>
      </c>
      <c r="H27" s="127">
        <f t="shared" si="3"/>
        <v>71.716351684470013</v>
      </c>
      <c r="I27" s="116"/>
      <c r="J27" s="25">
        <f t="shared" si="4"/>
        <v>76.058337060954102</v>
      </c>
      <c r="K27" s="56">
        <v>4.2300000000000004</v>
      </c>
      <c r="L27" s="50"/>
      <c r="M27" s="80"/>
      <c r="N27" s="50"/>
      <c r="O27" s="133">
        <f t="shared" si="10"/>
        <v>4.2300000000000004</v>
      </c>
      <c r="P27" s="134">
        <f t="shared" si="9"/>
        <v>99.529411764705898</v>
      </c>
      <c r="Q27" s="129">
        <v>96.7</v>
      </c>
      <c r="R27" s="52"/>
      <c r="S27" s="52"/>
      <c r="T27" s="115">
        <f t="shared" si="5"/>
        <v>96.7</v>
      </c>
      <c r="U27" s="25">
        <f t="shared" si="6"/>
        <v>97.157210401891234</v>
      </c>
      <c r="V27" s="135">
        <v>-32.058064384204897</v>
      </c>
      <c r="W27" s="135">
        <v>-13.265858388837801</v>
      </c>
      <c r="X27" s="135">
        <v>-22.661961386521401</v>
      </c>
      <c r="Y27" s="135">
        <v>-19.344201964072301</v>
      </c>
      <c r="Z27" s="45"/>
      <c r="AA27" s="45"/>
      <c r="AB27" s="97"/>
      <c r="AC27" s="136">
        <v>1789</v>
      </c>
      <c r="AD27" s="45"/>
      <c r="AE27" s="45"/>
      <c r="AF27" s="120"/>
      <c r="AG27" s="77"/>
      <c r="AH27" s="61"/>
      <c r="AI27" s="121"/>
      <c r="AJ27" s="77"/>
      <c r="AK27" s="61"/>
      <c r="AL27" s="61"/>
      <c r="AM27" s="61"/>
      <c r="AN27" s="122"/>
      <c r="AO27" s="122"/>
      <c r="AP27" s="122"/>
      <c r="AQ27" s="122"/>
      <c r="AR27" s="123"/>
      <c r="AS27" s="123"/>
      <c r="AT27" s="124">
        <v>6.6152149944873201E-2</v>
      </c>
      <c r="AU27" s="124">
        <v>1.66728781131864E-2</v>
      </c>
      <c r="AV27" s="124">
        <v>-9.2833066254076804E-3</v>
      </c>
      <c r="AW27" s="124">
        <v>4.2958681297150299E-3</v>
      </c>
      <c r="AX27" s="123"/>
    </row>
    <row r="28" spans="1:50">
      <c r="A28">
        <f t="shared" ref="A28:A36" si="11">A29-1</f>
        <v>1790</v>
      </c>
      <c r="B28" s="9"/>
      <c r="C28" s="204">
        <v>8.86</v>
      </c>
      <c r="D28" s="205">
        <f>C28*100/$AK$196</f>
        <v>6.7348109986379185</v>
      </c>
      <c r="E28" s="13">
        <v>19.489999999999998</v>
      </c>
      <c r="F28" s="132">
        <f t="shared" si="8"/>
        <v>94.2912433478471</v>
      </c>
      <c r="G28" s="126">
        <f t="shared" si="7"/>
        <v>53.053892215568865</v>
      </c>
      <c r="H28" s="127">
        <f t="shared" si="3"/>
        <v>74.403615447822531</v>
      </c>
      <c r="I28" s="116"/>
      <c r="J28" s="25">
        <f t="shared" si="4"/>
        <v>78.908298168624526</v>
      </c>
      <c r="K28" s="137">
        <v>4.2300000000000004</v>
      </c>
      <c r="L28" s="13"/>
      <c r="M28" s="13">
        <v>4.5</v>
      </c>
      <c r="N28" s="13"/>
      <c r="O28" s="133">
        <f t="shared" si="10"/>
        <v>4.2300000000000004</v>
      </c>
      <c r="P28" s="134">
        <f t="shared" si="9"/>
        <v>99.529411764705898</v>
      </c>
      <c r="Q28" s="129">
        <v>96.5</v>
      </c>
      <c r="R28" s="33"/>
      <c r="S28" s="33"/>
      <c r="T28" s="115">
        <f t="shared" si="5"/>
        <v>96.5</v>
      </c>
      <c r="U28" s="25">
        <f t="shared" si="6"/>
        <v>96.9562647754137</v>
      </c>
      <c r="V28" s="135">
        <v>-28.055628503756601</v>
      </c>
      <c r="W28" s="135">
        <v>-14.5584972901001</v>
      </c>
      <c r="X28" s="135">
        <v>-21.307062896928301</v>
      </c>
      <c r="Y28" s="135">
        <v>-17.7766516440802</v>
      </c>
      <c r="Z28" s="27">
        <f t="shared" ref="Z28:Z91" si="12">100*T28/$T$28</f>
        <v>100</v>
      </c>
      <c r="AA28" s="138">
        <f t="shared" ref="AA28:AA91" si="13">Z28*(M28/$M$28)</f>
        <v>100</v>
      </c>
      <c r="AB28" s="139">
        <f t="shared" ref="AB28:AB91" si="14">Z28/(P28/$P$28)</f>
        <v>100</v>
      </c>
      <c r="AC28" s="12">
        <v>1790</v>
      </c>
      <c r="AD28" s="27"/>
      <c r="AE28" s="140">
        <f>P28*$AE$168/100</f>
        <v>3.8756752941176478</v>
      </c>
      <c r="AF28" s="69"/>
      <c r="AG28" s="69"/>
      <c r="AH28" s="49">
        <v>94.291773939219794</v>
      </c>
      <c r="AI28" s="49"/>
      <c r="AJ28" s="49"/>
      <c r="AK28" s="49">
        <v>94.739356271746004</v>
      </c>
      <c r="AL28" s="49"/>
      <c r="AM28" s="49"/>
      <c r="AS28" s="49"/>
      <c r="AT28" s="34">
        <v>-2.0682523267838899E-3</v>
      </c>
      <c r="AU28" s="34">
        <v>2.0571318128081301E-2</v>
      </c>
      <c r="AV28" s="34">
        <v>3.7481175748786899E-2</v>
      </c>
      <c r="AW28" s="34">
        <v>1.46208643150615E-2</v>
      </c>
      <c r="AX28" s="49"/>
    </row>
    <row r="29" spans="1:50">
      <c r="A29">
        <f t="shared" si="11"/>
        <v>1791</v>
      </c>
      <c r="B29" s="9"/>
      <c r="C29" s="204">
        <v>9.1</v>
      </c>
      <c r="D29" s="205">
        <f t="shared" ref="D29:D92" si="15">C29*100/$AK$196</f>
        <v>6.9172438022127603</v>
      </c>
      <c r="E29" s="13">
        <v>19.39</v>
      </c>
      <c r="F29" s="132">
        <f t="shared" si="8"/>
        <v>93.807450411223982</v>
      </c>
      <c r="G29" s="126">
        <f t="shared" si="7"/>
        <v>54.491017964071858</v>
      </c>
      <c r="H29" s="127">
        <f t="shared" si="3"/>
        <v>76.419063270336906</v>
      </c>
      <c r="I29" s="116"/>
      <c r="J29" s="25">
        <f t="shared" si="4"/>
        <v>81.463746147388562</v>
      </c>
      <c r="K29" s="137">
        <v>4.2300000000000004</v>
      </c>
      <c r="L29" s="13"/>
      <c r="M29" s="141">
        <v>4.55</v>
      </c>
      <c r="N29" s="13"/>
      <c r="O29" s="133">
        <f t="shared" si="10"/>
        <v>4.2300000000000004</v>
      </c>
      <c r="P29" s="134">
        <f t="shared" si="9"/>
        <v>99.529411764705898</v>
      </c>
      <c r="Q29" s="129">
        <v>96.9</v>
      </c>
      <c r="R29" s="33"/>
      <c r="S29" s="33"/>
      <c r="T29" s="115">
        <f t="shared" si="5"/>
        <v>96.9</v>
      </c>
      <c r="U29" s="25">
        <f t="shared" si="6"/>
        <v>97.358156028368782</v>
      </c>
      <c r="V29" s="135">
        <v>-24.381113132024399</v>
      </c>
      <c r="W29" s="135">
        <v>-15.1792254247638</v>
      </c>
      <c r="X29" s="135">
        <v>-19.780169278394101</v>
      </c>
      <c r="Y29" s="135">
        <v>-15.539534339823099</v>
      </c>
      <c r="Z29" s="27">
        <f t="shared" si="12"/>
        <v>100.41450777202073</v>
      </c>
      <c r="AA29" s="142">
        <f t="shared" si="13"/>
        <v>101.53022452504318</v>
      </c>
      <c r="AB29" s="143">
        <f t="shared" si="14"/>
        <v>100.41450777202073</v>
      </c>
      <c r="AC29" s="12">
        <v>1791</v>
      </c>
      <c r="AD29" s="27"/>
      <c r="AE29" s="140">
        <f t="shared" ref="AE29:AE92" si="16">P29*$AE$168/100</f>
        <v>3.8756752941176478</v>
      </c>
      <c r="AF29" s="69"/>
      <c r="AG29" s="69"/>
      <c r="AH29" s="49">
        <v>98.590640039610705</v>
      </c>
      <c r="AI29" s="49"/>
      <c r="AJ29" s="49"/>
      <c r="AK29" s="49">
        <v>97.156564415186693</v>
      </c>
      <c r="AL29" s="49"/>
      <c r="AM29" s="49"/>
      <c r="AS29" s="49"/>
      <c r="AT29" s="34">
        <v>4.1450777202073101E-3</v>
      </c>
      <c r="AU29" s="34">
        <v>2.4927444889210601E-2</v>
      </c>
      <c r="AV29" s="34">
        <v>2.7081877318423701E-2</v>
      </c>
      <c r="AW29" s="34">
        <v>2.3594111229837799E-2</v>
      </c>
      <c r="AX29" s="49"/>
    </row>
    <row r="30" spans="1:50">
      <c r="A30">
        <f t="shared" si="11"/>
        <v>1792</v>
      </c>
      <c r="B30" s="9"/>
      <c r="C30" s="204">
        <v>9.27</v>
      </c>
      <c r="D30" s="205">
        <f t="shared" si="15"/>
        <v>7.0464670380782737</v>
      </c>
      <c r="E30" s="13">
        <v>19.39</v>
      </c>
      <c r="F30" s="132">
        <f t="shared" si="8"/>
        <v>93.807450411223982</v>
      </c>
      <c r="G30" s="126">
        <f t="shared" si="7"/>
        <v>55.508982035928149</v>
      </c>
      <c r="H30" s="127">
        <f t="shared" si="3"/>
        <v>77.846672144617926</v>
      </c>
      <c r="I30" s="116"/>
      <c r="J30" s="25">
        <f t="shared" si="4"/>
        <v>82.985596350141961</v>
      </c>
      <c r="K30" s="137">
        <v>4.2300000000000004</v>
      </c>
      <c r="L30" s="13"/>
      <c r="M30" s="141">
        <v>4.47</v>
      </c>
      <c r="N30" s="13"/>
      <c r="O30" s="133">
        <f t="shared" si="10"/>
        <v>4.2300000000000004</v>
      </c>
      <c r="P30" s="134">
        <f t="shared" si="9"/>
        <v>99.529411764705898</v>
      </c>
      <c r="Q30" s="129">
        <v>95.2</v>
      </c>
      <c r="R30" s="33"/>
      <c r="S30" s="33"/>
      <c r="T30" s="115">
        <f t="shared" si="5"/>
        <v>95.2</v>
      </c>
      <c r="U30" s="25">
        <f t="shared" si="6"/>
        <v>95.650118203309674</v>
      </c>
      <c r="V30" s="135">
        <v>-21.754235974970801</v>
      </c>
      <c r="W30" s="135">
        <v>-17.8398948871748</v>
      </c>
      <c r="X30" s="135">
        <v>-19.797065431072799</v>
      </c>
      <c r="Y30" s="135">
        <v>-12.6924661308996</v>
      </c>
      <c r="Z30" s="27">
        <f t="shared" si="12"/>
        <v>98.652849740932638</v>
      </c>
      <c r="AA30" s="142">
        <f t="shared" si="13"/>
        <v>97.995164075993088</v>
      </c>
      <c r="AB30" s="143">
        <f t="shared" si="14"/>
        <v>98.652849740932638</v>
      </c>
      <c r="AC30" s="12">
        <v>1792</v>
      </c>
      <c r="AD30" s="27"/>
      <c r="AE30" s="140">
        <f t="shared" si="16"/>
        <v>3.8756752941176478</v>
      </c>
      <c r="AF30" s="69"/>
      <c r="AG30" s="69"/>
      <c r="AH30" s="49">
        <v>102.91638840061</v>
      </c>
      <c r="AI30" s="49"/>
      <c r="AJ30" s="49"/>
      <c r="AK30" s="49">
        <v>100.320653801379</v>
      </c>
      <c r="AL30" s="49"/>
      <c r="AM30" s="49"/>
      <c r="AS30" s="49"/>
      <c r="AT30" s="34">
        <v>-1.7543859649122799E-2</v>
      </c>
      <c r="AU30" s="34">
        <v>2.9561675756350499E-2</v>
      </c>
      <c r="AV30" s="34">
        <v>1.8686452322066401E-2</v>
      </c>
      <c r="AW30" s="34">
        <v>3.0811144665511301E-2</v>
      </c>
      <c r="AX30" s="49"/>
    </row>
    <row r="31" spans="1:50">
      <c r="A31">
        <f t="shared" si="11"/>
        <v>1793</v>
      </c>
      <c r="B31" s="9"/>
      <c r="C31" s="204">
        <v>9.59</v>
      </c>
      <c r="D31" s="205">
        <f t="shared" si="15"/>
        <v>7.2897107761780626</v>
      </c>
      <c r="E31" s="13">
        <v>19.39</v>
      </c>
      <c r="F31" s="132">
        <f t="shared" si="8"/>
        <v>93.807450411223982</v>
      </c>
      <c r="G31" s="126">
        <f t="shared" si="7"/>
        <v>57.425149700598801</v>
      </c>
      <c r="H31" s="127">
        <f t="shared" si="3"/>
        <v>80.533935907970431</v>
      </c>
      <c r="I31" s="116"/>
      <c r="J31" s="25">
        <f t="shared" si="4"/>
        <v>85.85025555532485</v>
      </c>
      <c r="K31" s="137">
        <v>4.2300000000000004</v>
      </c>
      <c r="L31" s="13"/>
      <c r="M31" s="141">
        <v>4.51</v>
      </c>
      <c r="N31" s="13"/>
      <c r="O31" s="133">
        <f t="shared" si="10"/>
        <v>4.2300000000000004</v>
      </c>
      <c r="P31" s="134">
        <f t="shared" si="9"/>
        <v>99.529411764705898</v>
      </c>
      <c r="Q31" s="129">
        <v>104.4</v>
      </c>
      <c r="R31" s="33"/>
      <c r="S31" s="33"/>
      <c r="T31" s="115">
        <f t="shared" si="5"/>
        <v>104.4</v>
      </c>
      <c r="U31" s="25">
        <f t="shared" si="6"/>
        <v>104.89361702127658</v>
      </c>
      <c r="V31" s="135">
        <v>-17.8247147385581</v>
      </c>
      <c r="W31" s="135">
        <v>-9.48233861115569</v>
      </c>
      <c r="X31" s="135">
        <v>-13.6535266748569</v>
      </c>
      <c r="Y31" s="135">
        <v>-9.3374694462939498</v>
      </c>
      <c r="Z31" s="27">
        <f t="shared" si="12"/>
        <v>108.18652849740933</v>
      </c>
      <c r="AA31" s="142">
        <f t="shared" si="13"/>
        <v>108.42694300518134</v>
      </c>
      <c r="AB31" s="143">
        <f t="shared" si="14"/>
        <v>108.18652849740933</v>
      </c>
      <c r="AC31" s="12">
        <v>1793</v>
      </c>
      <c r="AD31" s="27"/>
      <c r="AE31" s="140">
        <f t="shared" si="16"/>
        <v>3.8756752941176478</v>
      </c>
      <c r="AF31" s="69"/>
      <c r="AG31" s="69"/>
      <c r="AH31" s="49">
        <v>107.283894882428</v>
      </c>
      <c r="AI31" s="49"/>
      <c r="AJ31" s="49"/>
      <c r="AK31" s="49">
        <v>105.056317534678</v>
      </c>
      <c r="AL31" s="49"/>
      <c r="AM31" s="49"/>
      <c r="AS31" s="49"/>
      <c r="AT31" s="34">
        <v>9.6638655462184905E-2</v>
      </c>
      <c r="AU31" s="34">
        <v>3.4086604417587103E-2</v>
      </c>
      <c r="AV31" s="34">
        <v>3.4516423240458997E-2</v>
      </c>
      <c r="AW31" s="34">
        <v>3.5902378074435297E-2</v>
      </c>
      <c r="AX31" s="49"/>
    </row>
    <row r="32" spans="1:50">
      <c r="A32">
        <f t="shared" si="11"/>
        <v>1794</v>
      </c>
      <c r="B32" s="9"/>
      <c r="C32" s="204">
        <v>10.64</v>
      </c>
      <c r="D32" s="205">
        <f t="shared" si="15"/>
        <v>8.0878542918179974</v>
      </c>
      <c r="E32" s="13">
        <v>19.39</v>
      </c>
      <c r="F32" s="132">
        <f t="shared" si="8"/>
        <v>93.807450411223982</v>
      </c>
      <c r="G32" s="126">
        <f t="shared" si="7"/>
        <v>63.712574850299404</v>
      </c>
      <c r="H32" s="127">
        <f t="shared" si="3"/>
        <v>89.351520131470835</v>
      </c>
      <c r="I32" s="116"/>
      <c r="J32" s="25">
        <f t="shared" si="4"/>
        <v>95.249918572331239</v>
      </c>
      <c r="K32" s="137">
        <v>4.2300000000000004</v>
      </c>
      <c r="L32" s="13"/>
      <c r="M32" s="141">
        <v>4.75</v>
      </c>
      <c r="N32" s="13"/>
      <c r="O32" s="133">
        <f t="shared" si="10"/>
        <v>4.2300000000000004</v>
      </c>
      <c r="P32" s="134">
        <f t="shared" si="9"/>
        <v>99.529411764705898</v>
      </c>
      <c r="Q32" s="129">
        <v>106.4</v>
      </c>
      <c r="R32" s="33"/>
      <c r="S32" s="33"/>
      <c r="T32" s="115">
        <f t="shared" si="5"/>
        <v>106.4</v>
      </c>
      <c r="U32" s="25">
        <f t="shared" si="6"/>
        <v>106.90307328605199</v>
      </c>
      <c r="V32" s="135">
        <v>-7.3822671287487296</v>
      </c>
      <c r="W32" s="135">
        <v>-8.2883703700061204</v>
      </c>
      <c r="X32" s="135">
        <v>-7.8353187493774197</v>
      </c>
      <c r="Y32" s="135">
        <v>-5.6476127079924101</v>
      </c>
      <c r="Z32" s="27">
        <f t="shared" si="12"/>
        <v>110.25906735751295</v>
      </c>
      <c r="AA32" s="142">
        <f t="shared" si="13"/>
        <v>116.384571099597</v>
      </c>
      <c r="AB32" s="143">
        <f t="shared" si="14"/>
        <v>110.25906735751295</v>
      </c>
      <c r="AC32" s="12">
        <v>1794</v>
      </c>
      <c r="AD32" s="27"/>
      <c r="AE32" s="140">
        <f t="shared" si="16"/>
        <v>3.8756752941176478</v>
      </c>
      <c r="AF32" s="69"/>
      <c r="AG32" s="69"/>
      <c r="AH32" s="49">
        <v>111.635671461272</v>
      </c>
      <c r="AI32" s="49"/>
      <c r="AJ32" s="49"/>
      <c r="AK32" s="49">
        <v>110.64136411897999</v>
      </c>
      <c r="AL32" s="49"/>
      <c r="AM32" s="49"/>
      <c r="AS32" s="49"/>
      <c r="AT32" s="34">
        <v>1.91570881226053E-2</v>
      </c>
      <c r="AU32" s="34">
        <v>3.7643769206951998E-2</v>
      </c>
      <c r="AV32" s="34">
        <v>0.109494126704249</v>
      </c>
      <c r="AW32" s="34">
        <v>3.8376977985528499E-2</v>
      </c>
      <c r="AX32" s="49"/>
    </row>
    <row r="33" spans="1:50">
      <c r="A33">
        <f t="shared" si="11"/>
        <v>1795</v>
      </c>
      <c r="B33" s="9"/>
      <c r="C33" s="204">
        <v>12.17</v>
      </c>
      <c r="D33" s="205">
        <f t="shared" si="15"/>
        <v>9.2508634146076147</v>
      </c>
      <c r="E33" s="13">
        <v>19.39</v>
      </c>
      <c r="F33" s="132">
        <f t="shared" si="8"/>
        <v>93.807450411223982</v>
      </c>
      <c r="G33" s="126">
        <f t="shared" si="7"/>
        <v>72.874251497005986</v>
      </c>
      <c r="H33" s="127">
        <f t="shared" si="3"/>
        <v>102.2</v>
      </c>
      <c r="I33" s="116"/>
      <c r="J33" s="25">
        <f t="shared" si="4"/>
        <v>108.94657039711193</v>
      </c>
      <c r="K33" s="137">
        <v>4.2300000000000004</v>
      </c>
      <c r="L33" s="13"/>
      <c r="M33" s="141">
        <v>4.53</v>
      </c>
      <c r="N33" s="13"/>
      <c r="O33" s="133">
        <f t="shared" si="10"/>
        <v>4.2300000000000004</v>
      </c>
      <c r="P33" s="134">
        <f t="shared" si="9"/>
        <v>99.529411764705898</v>
      </c>
      <c r="Q33" s="129">
        <v>124.1</v>
      </c>
      <c r="R33" s="33"/>
      <c r="S33" s="33"/>
      <c r="T33" s="115">
        <f t="shared" si="5"/>
        <v>124.1</v>
      </c>
      <c r="U33" s="25">
        <f t="shared" si="6"/>
        <v>124.6867612293144</v>
      </c>
      <c r="V33" s="135">
        <v>7.3333891484949696</v>
      </c>
      <c r="W33" s="135">
        <v>8.7502152234972694</v>
      </c>
      <c r="X33" s="135">
        <v>8.0418021859961204</v>
      </c>
      <c r="Y33" s="135">
        <v>-1.83912491026665</v>
      </c>
      <c r="Z33" s="27">
        <f t="shared" si="12"/>
        <v>128.60103626943004</v>
      </c>
      <c r="AA33" s="142">
        <f t="shared" si="13"/>
        <v>129.45837651122625</v>
      </c>
      <c r="AB33" s="143">
        <f t="shared" si="14"/>
        <v>128.60103626943004</v>
      </c>
      <c r="AC33" s="12">
        <v>1795</v>
      </c>
      <c r="AD33" s="27"/>
      <c r="AE33" s="140">
        <f t="shared" si="16"/>
        <v>3.8756752941176478</v>
      </c>
      <c r="AF33" s="69"/>
      <c r="AG33" s="69"/>
      <c r="AH33" s="49">
        <v>115.890591164523</v>
      </c>
      <c r="AI33" s="49"/>
      <c r="AJ33" s="49"/>
      <c r="AK33" s="49">
        <v>116.308162879956</v>
      </c>
      <c r="AL33" s="49"/>
      <c r="AM33" s="49"/>
      <c r="AS33" s="49"/>
      <c r="AT33" s="34">
        <v>0.166353383458646</v>
      </c>
      <c r="AU33" s="34">
        <v>4.0000228968922601E-2</v>
      </c>
      <c r="AV33" s="34">
        <v>0.14379084967320199</v>
      </c>
      <c r="AW33" s="34">
        <v>3.7730251379370097E-2</v>
      </c>
      <c r="AX33" s="49"/>
    </row>
    <row r="34" spans="1:50">
      <c r="A34">
        <f t="shared" si="11"/>
        <v>1796</v>
      </c>
      <c r="B34" s="9"/>
      <c r="C34" s="204">
        <v>12.81</v>
      </c>
      <c r="D34" s="205">
        <f t="shared" si="15"/>
        <v>9.7373508908071926</v>
      </c>
      <c r="E34" s="13">
        <v>19.39</v>
      </c>
      <c r="F34" s="132">
        <f t="shared" si="8"/>
        <v>93.807450411223982</v>
      </c>
      <c r="G34" s="126">
        <f t="shared" si="7"/>
        <v>76.706586826347305</v>
      </c>
      <c r="H34" s="127">
        <f t="shared" si="3"/>
        <v>107.57452752670503</v>
      </c>
      <c r="I34" s="116"/>
      <c r="J34" s="25">
        <f t="shared" si="4"/>
        <v>114.67588880747773</v>
      </c>
      <c r="K34" s="137">
        <v>4.2300000000000004</v>
      </c>
      <c r="L34" s="13"/>
      <c r="M34" s="141">
        <v>4.29</v>
      </c>
      <c r="N34" s="13"/>
      <c r="O34" s="133">
        <f t="shared" si="10"/>
        <v>4.2300000000000004</v>
      </c>
      <c r="P34" s="134">
        <f t="shared" si="9"/>
        <v>99.529411764705898</v>
      </c>
      <c r="Q34" s="129">
        <v>125.4</v>
      </c>
      <c r="R34" s="33"/>
      <c r="S34" s="33"/>
      <c r="T34" s="115">
        <f t="shared" si="5"/>
        <v>125.4</v>
      </c>
      <c r="U34" s="25">
        <f t="shared" si="6"/>
        <v>125.99290780141843</v>
      </c>
      <c r="V34" s="135">
        <v>14.0525363872106</v>
      </c>
      <c r="W34" s="135">
        <v>9.3616427171008603</v>
      </c>
      <c r="X34" s="135">
        <v>11.707089552155701</v>
      </c>
      <c r="Y34" s="135">
        <v>1.84988789219772</v>
      </c>
      <c r="Z34" s="27">
        <f t="shared" si="12"/>
        <v>129.94818652849742</v>
      </c>
      <c r="AA34" s="142">
        <f t="shared" si="13"/>
        <v>123.8839378238342</v>
      </c>
      <c r="AB34" s="143">
        <f t="shared" si="14"/>
        <v>129.94818652849742</v>
      </c>
      <c r="AC34" s="12">
        <v>1796</v>
      </c>
      <c r="AD34" s="27"/>
      <c r="AE34" s="140">
        <f t="shared" si="16"/>
        <v>3.8756752941176478</v>
      </c>
      <c r="AF34" s="69"/>
      <c r="AG34" s="69"/>
      <c r="AH34" s="49">
        <v>119.92047030494901</v>
      </c>
      <c r="AI34" s="49"/>
      <c r="AJ34" s="49"/>
      <c r="AK34" s="49">
        <v>120.05196177028201</v>
      </c>
      <c r="AL34" s="49"/>
      <c r="AM34" s="49"/>
      <c r="AS34" s="49"/>
      <c r="AT34" s="34">
        <v>1.04754230459307E-2</v>
      </c>
      <c r="AU34" s="34">
        <v>4.0738175737132801E-2</v>
      </c>
      <c r="AV34" s="34">
        <v>5.2592954990215199E-2</v>
      </c>
      <c r="AW34" s="34">
        <v>3.4168676723726199E-2</v>
      </c>
      <c r="AX34" s="49"/>
    </row>
    <row r="35" spans="1:50">
      <c r="A35">
        <f t="shared" si="11"/>
        <v>1797</v>
      </c>
      <c r="B35" s="9"/>
      <c r="C35" s="204">
        <v>12.33</v>
      </c>
      <c r="D35" s="205">
        <f t="shared" si="15"/>
        <v>9.3724852836575092</v>
      </c>
      <c r="E35" s="13">
        <v>19.39</v>
      </c>
      <c r="F35" s="132">
        <f t="shared" si="8"/>
        <v>93.807450411223982</v>
      </c>
      <c r="G35" s="126">
        <f t="shared" si="7"/>
        <v>73.832335329341319</v>
      </c>
      <c r="H35" s="127">
        <f t="shared" si="3"/>
        <v>103.54363188167626</v>
      </c>
      <c r="I35" s="116"/>
      <c r="J35" s="25">
        <f t="shared" si="4"/>
        <v>110.37889999970339</v>
      </c>
      <c r="K35" s="137">
        <v>4.2300000000000004</v>
      </c>
      <c r="L35" s="13"/>
      <c r="M35" s="141">
        <v>4.4400000000000004</v>
      </c>
      <c r="N35" s="13"/>
      <c r="O35" s="133">
        <f t="shared" si="10"/>
        <v>4.2300000000000004</v>
      </c>
      <c r="P35" s="134">
        <f t="shared" si="9"/>
        <v>99.529411764705898</v>
      </c>
      <c r="Q35" s="129">
        <v>114.7</v>
      </c>
      <c r="R35" s="33"/>
      <c r="S35" s="33"/>
      <c r="T35" s="115">
        <f t="shared" si="5"/>
        <v>114.7</v>
      </c>
      <c r="U35" s="25">
        <f t="shared" si="6"/>
        <v>115.24231678486996</v>
      </c>
      <c r="V35" s="135">
        <v>10.7154568814358</v>
      </c>
      <c r="W35" s="135">
        <v>-2.0158441809259702</v>
      </c>
      <c r="X35" s="135">
        <v>4.3498063502549202</v>
      </c>
      <c r="Y35" s="135">
        <v>5.28012891567775</v>
      </c>
      <c r="Z35" s="27">
        <f t="shared" si="12"/>
        <v>118.860103626943</v>
      </c>
      <c r="AA35" s="142">
        <f t="shared" si="13"/>
        <v>117.27530224525044</v>
      </c>
      <c r="AB35" s="143">
        <f t="shared" si="14"/>
        <v>118.860103626943</v>
      </c>
      <c r="AC35" s="12">
        <v>1797</v>
      </c>
      <c r="AD35" s="27"/>
      <c r="AE35" s="140">
        <f t="shared" si="16"/>
        <v>3.8756752941176478</v>
      </c>
      <c r="AF35" s="69"/>
      <c r="AG35" s="69"/>
      <c r="AH35" s="49">
        <v>123.68541928367399</v>
      </c>
      <c r="AI35" s="49"/>
      <c r="AJ35" s="49"/>
      <c r="AK35" s="49">
        <v>122.671954449316</v>
      </c>
      <c r="AL35" s="49"/>
      <c r="AM35" s="49"/>
      <c r="AS35" s="49"/>
      <c r="AT35" s="34">
        <v>-8.5326953748006404E-2</v>
      </c>
      <c r="AU35" s="34">
        <v>4.0703333090113897E-2</v>
      </c>
      <c r="AV35" s="34">
        <v>-3.74715314896584E-2</v>
      </c>
      <c r="AW35" s="34">
        <v>2.8959338469301599E-2</v>
      </c>
      <c r="AX35" s="49"/>
    </row>
    <row r="36" spans="1:50">
      <c r="A36">
        <f t="shared" si="11"/>
        <v>1798</v>
      </c>
      <c r="B36" s="9"/>
      <c r="C36" s="204">
        <v>11.92</v>
      </c>
      <c r="D36" s="205">
        <f t="shared" si="15"/>
        <v>9.0608292442171532</v>
      </c>
      <c r="E36" s="13">
        <v>19.39</v>
      </c>
      <c r="F36" s="132">
        <f t="shared" si="8"/>
        <v>93.807450411223982</v>
      </c>
      <c r="G36" s="126">
        <f t="shared" si="7"/>
        <v>71.377245508982043</v>
      </c>
      <c r="H36" s="127">
        <f t="shared" si="3"/>
        <v>100.10057518488087</v>
      </c>
      <c r="I36" s="116"/>
      <c r="J36" s="25">
        <f t="shared" si="4"/>
        <v>106.70855539306281</v>
      </c>
      <c r="K36" s="137">
        <v>4.25</v>
      </c>
      <c r="L36" s="13"/>
      <c r="M36" s="141">
        <v>4.3899999999999997</v>
      </c>
      <c r="N36" s="13"/>
      <c r="O36" s="133">
        <f t="shared" si="10"/>
        <v>4.25</v>
      </c>
      <c r="P36" s="134">
        <f t="shared" si="9"/>
        <v>100</v>
      </c>
      <c r="Q36" s="129">
        <v>116.6</v>
      </c>
      <c r="R36" s="33"/>
      <c r="S36" s="33"/>
      <c r="T36" s="115">
        <f t="shared" si="5"/>
        <v>116.6</v>
      </c>
      <c r="U36" s="25">
        <f t="shared" si="6"/>
        <v>116.6</v>
      </c>
      <c r="V36" s="135">
        <v>7.9824329252082098</v>
      </c>
      <c r="W36" s="135">
        <v>-1.2239826017908</v>
      </c>
      <c r="X36" s="135">
        <v>3.3792251617087001</v>
      </c>
      <c r="Y36" s="135">
        <v>8.4108733930500499</v>
      </c>
      <c r="Z36" s="27">
        <f t="shared" si="12"/>
        <v>120.82901554404145</v>
      </c>
      <c r="AA36" s="142">
        <f t="shared" si="13"/>
        <v>117.87541738629821</v>
      </c>
      <c r="AB36" s="143">
        <f t="shared" si="14"/>
        <v>120.26040841206952</v>
      </c>
      <c r="AC36" s="12">
        <v>1798</v>
      </c>
      <c r="AD36" s="27"/>
      <c r="AE36" s="140">
        <f t="shared" si="16"/>
        <v>3.8940000000000001</v>
      </c>
      <c r="AF36" s="69"/>
      <c r="AG36" s="69"/>
      <c r="AH36" s="49">
        <v>127.20664379877201</v>
      </c>
      <c r="AI36" s="49"/>
      <c r="AJ36" s="49"/>
      <c r="AK36" s="49">
        <v>126.960013986322</v>
      </c>
      <c r="AL36" s="49"/>
      <c r="AM36" s="49"/>
      <c r="AS36" s="49"/>
      <c r="AT36" s="34">
        <v>1.6564952048822901E-2</v>
      </c>
      <c r="AU36" s="34">
        <v>4.0438797079485E-2</v>
      </c>
      <c r="AV36" s="34">
        <v>-3.3251564552267597E-2</v>
      </c>
      <c r="AW36" s="34">
        <v>2.3553563849465501E-2</v>
      </c>
      <c r="AX36" s="49"/>
    </row>
    <row r="37" spans="1:50">
      <c r="A37">
        <f>A38-1</f>
        <v>1799</v>
      </c>
      <c r="B37" s="9"/>
      <c r="C37" s="204">
        <v>11.92</v>
      </c>
      <c r="D37" s="205">
        <f t="shared" si="15"/>
        <v>9.0608292442171532</v>
      </c>
      <c r="E37" s="13">
        <v>19.39</v>
      </c>
      <c r="F37" s="132">
        <f t="shared" si="8"/>
        <v>93.807450411223982</v>
      </c>
      <c r="G37" s="126">
        <f t="shared" si="7"/>
        <v>71.377245508982043</v>
      </c>
      <c r="H37" s="127">
        <f t="shared" si="3"/>
        <v>100.10057518488087</v>
      </c>
      <c r="I37" s="116"/>
      <c r="J37" s="25">
        <f t="shared" si="4"/>
        <v>106.70855539306281</v>
      </c>
      <c r="K37" s="137">
        <v>4.24</v>
      </c>
      <c r="L37" s="13"/>
      <c r="M37" s="141">
        <v>4.13</v>
      </c>
      <c r="N37" s="13"/>
      <c r="O37" s="133">
        <f t="shared" si="10"/>
        <v>4.24</v>
      </c>
      <c r="P37" s="134">
        <f t="shared" si="9"/>
        <v>99.764705882352942</v>
      </c>
      <c r="Q37" s="129">
        <v>134.6</v>
      </c>
      <c r="R37" s="33"/>
      <c r="S37" s="33"/>
      <c r="T37" s="115">
        <f t="shared" si="5"/>
        <v>134.6</v>
      </c>
      <c r="U37" s="25">
        <f t="shared" si="6"/>
        <v>134.91745283018867</v>
      </c>
      <c r="V37" s="135">
        <v>8.8937468125654302</v>
      </c>
      <c r="W37" s="135">
        <v>16.585509483821699</v>
      </c>
      <c r="X37" s="135">
        <v>12.739628148193599</v>
      </c>
      <c r="Y37" s="135">
        <v>11.192093331537</v>
      </c>
      <c r="Z37" s="27">
        <f t="shared" si="12"/>
        <v>139.48186528497411</v>
      </c>
      <c r="AA37" s="142">
        <f t="shared" si="13"/>
        <v>128.01335636154292</v>
      </c>
      <c r="AB37" s="143">
        <f t="shared" si="14"/>
        <v>139.15289862156615</v>
      </c>
      <c r="AC37" s="12">
        <v>1799</v>
      </c>
      <c r="AD37" s="27"/>
      <c r="AE37" s="140">
        <f t="shared" si="16"/>
        <v>3.884837647058824</v>
      </c>
      <c r="AF37" s="69"/>
      <c r="AG37" s="69"/>
      <c r="AH37" s="49">
        <v>130.41529535548099</v>
      </c>
      <c r="AI37" s="131">
        <v>-0.199456783479243</v>
      </c>
      <c r="AJ37" s="131"/>
      <c r="AK37" s="131">
        <v>133.04402863412699</v>
      </c>
      <c r="AL37" s="131"/>
      <c r="AM37" s="131"/>
      <c r="AS37" s="49"/>
      <c r="AT37" s="34">
        <v>0.15437392795883301</v>
      </c>
      <c r="AU37" s="34">
        <v>3.9227360888484102E-2</v>
      </c>
      <c r="AV37" s="34">
        <v>0</v>
      </c>
      <c r="AW37" s="34">
        <v>1.8738371397997999E-2</v>
      </c>
      <c r="AX37" s="49"/>
    </row>
    <row r="38" spans="1:50">
      <c r="A38">
        <v>1800</v>
      </c>
      <c r="B38" s="9"/>
      <c r="C38" s="204">
        <v>12.17</v>
      </c>
      <c r="D38" s="205">
        <f t="shared" si="15"/>
        <v>9.2508634146076147</v>
      </c>
      <c r="E38" s="144">
        <v>19.39</v>
      </c>
      <c r="F38" s="132">
        <f t="shared" si="8"/>
        <v>93.807450411223982</v>
      </c>
      <c r="G38" s="126">
        <f t="shared" si="7"/>
        <v>72.874251497005986</v>
      </c>
      <c r="H38" s="15">
        <v>102.2</v>
      </c>
      <c r="I38" s="70"/>
      <c r="J38" s="25">
        <f t="shared" si="4"/>
        <v>108.94657039711193</v>
      </c>
      <c r="K38" s="145">
        <v>4.26</v>
      </c>
      <c r="L38" s="144"/>
      <c r="M38" s="146">
        <v>4.55</v>
      </c>
      <c r="N38" s="144"/>
      <c r="O38" s="133">
        <f t="shared" si="10"/>
        <v>4.26</v>
      </c>
      <c r="P38" s="134">
        <f t="shared" si="9"/>
        <v>100.23529411764706</v>
      </c>
      <c r="Q38" s="129">
        <v>163.1</v>
      </c>
      <c r="R38" s="129"/>
      <c r="S38" s="129"/>
      <c r="T38" s="115">
        <f t="shared" si="5"/>
        <v>163.1</v>
      </c>
      <c r="U38" s="25">
        <f t="shared" si="6"/>
        <v>162.71713615023475</v>
      </c>
      <c r="V38" s="135">
        <v>12.019680837545099</v>
      </c>
      <c r="W38" s="135">
        <v>43.930933265750198</v>
      </c>
      <c r="X38" s="135">
        <v>27.975307051647601</v>
      </c>
      <c r="Y38" s="135">
        <v>13.5234442560476</v>
      </c>
      <c r="Z38" s="27">
        <f t="shared" si="12"/>
        <v>169.01554404145077</v>
      </c>
      <c r="AA38" s="142">
        <f t="shared" si="13"/>
        <v>170.89349453080021</v>
      </c>
      <c r="AB38" s="143">
        <f t="shared" si="14"/>
        <v>167.82529373129972</v>
      </c>
      <c r="AC38" s="147">
        <v>1800</v>
      </c>
      <c r="AD38" s="148">
        <f t="shared" ref="AD38:AD101" si="17">$AD$168*F38/100</f>
        <v>19.371238509917749</v>
      </c>
      <c r="AE38" s="140">
        <f t="shared" si="16"/>
        <v>3.9031623529411763</v>
      </c>
      <c r="AF38" s="149">
        <f t="shared" ref="AF38:AF101" si="18">(J38*F38/100)-H38</f>
        <v>0</v>
      </c>
      <c r="AG38" s="149">
        <v>107.018471659752</v>
      </c>
      <c r="AH38" s="150">
        <v>133.136459021051</v>
      </c>
      <c r="AI38" s="151">
        <v>-7.9859084485342596E-2</v>
      </c>
      <c r="AJ38" s="151">
        <v>111.18915542899001</v>
      </c>
      <c r="AK38" s="151">
        <v>137.59854865011499</v>
      </c>
      <c r="AL38" s="151"/>
      <c r="AM38" s="151"/>
      <c r="AS38" s="150"/>
      <c r="AT38" s="152">
        <v>0.21173848439821599</v>
      </c>
      <c r="AU38" s="152">
        <v>3.6113079250042403E-2</v>
      </c>
      <c r="AV38" s="152">
        <v>2.09688214902948E-2</v>
      </c>
      <c r="AW38" s="152">
        <v>1.4732728364661499E-2</v>
      </c>
      <c r="AX38" s="150"/>
    </row>
    <row r="39" spans="1:50">
      <c r="A39">
        <v>1801</v>
      </c>
      <c r="B39" s="9"/>
      <c r="C39" s="204">
        <v>12.33</v>
      </c>
      <c r="D39" s="205">
        <f t="shared" si="15"/>
        <v>9.3724852836575092</v>
      </c>
      <c r="E39" s="144">
        <v>19.39</v>
      </c>
      <c r="F39" s="132">
        <f t="shared" si="8"/>
        <v>93.807450411223982</v>
      </c>
      <c r="G39" s="126">
        <f t="shared" si="7"/>
        <v>73.832335329341319</v>
      </c>
      <c r="H39" s="15">
        <v>112.6</v>
      </c>
      <c r="J39" s="25">
        <f t="shared" si="4"/>
        <v>120.03310985043839</v>
      </c>
      <c r="K39" s="145">
        <v>4.29</v>
      </c>
      <c r="L39" s="144"/>
      <c r="M39" s="146">
        <v>4.38</v>
      </c>
      <c r="N39" s="144"/>
      <c r="O39" s="133">
        <f t="shared" si="10"/>
        <v>4.29</v>
      </c>
      <c r="P39" s="134">
        <f t="shared" si="9"/>
        <v>100.94117647058823</v>
      </c>
      <c r="Q39" s="129">
        <v>163.19999999999999</v>
      </c>
      <c r="R39" s="129"/>
      <c r="S39" s="129"/>
      <c r="T39" s="115">
        <f t="shared" si="5"/>
        <v>163.19999999999999</v>
      </c>
      <c r="U39" s="25">
        <f t="shared" si="6"/>
        <v>161.67832167832165</v>
      </c>
      <c r="V39" s="135">
        <v>23.9605172941848</v>
      </c>
      <c r="W39" s="135">
        <v>42.490609094355897</v>
      </c>
      <c r="X39" s="135">
        <v>33.2255631942704</v>
      </c>
      <c r="Y39" s="135">
        <v>15.3200570396573</v>
      </c>
      <c r="Z39" s="27">
        <f t="shared" si="12"/>
        <v>169.11917098445593</v>
      </c>
      <c r="AA39" s="142">
        <f t="shared" si="13"/>
        <v>164.60932642487043</v>
      </c>
      <c r="AB39" s="143">
        <f t="shared" si="14"/>
        <v>166.75386789376427</v>
      </c>
      <c r="AC39" s="147">
        <v>1801</v>
      </c>
      <c r="AD39" s="148">
        <f t="shared" si="17"/>
        <v>19.371238509917749</v>
      </c>
      <c r="AE39" s="140">
        <f t="shared" si="16"/>
        <v>3.9306494117647062</v>
      </c>
      <c r="AF39" s="149">
        <f t="shared" si="18"/>
        <v>0</v>
      </c>
      <c r="AG39" s="149">
        <v>107.289722979187</v>
      </c>
      <c r="AH39" s="150">
        <v>135.23976690917601</v>
      </c>
      <c r="AI39" s="151">
        <v>-0.25108314105410501</v>
      </c>
      <c r="AJ39" s="151">
        <v>109.36375869638</v>
      </c>
      <c r="AK39" s="151">
        <v>137.90678141362901</v>
      </c>
      <c r="AL39" s="151"/>
      <c r="AM39" s="151"/>
      <c r="AS39" s="150"/>
      <c r="AT39" s="152">
        <v>6.1312078479456905E-4</v>
      </c>
      <c r="AU39" s="152">
        <v>3.1291472567794798E-2</v>
      </c>
      <c r="AV39" s="152">
        <v>0.101761252446183</v>
      </c>
      <c r="AW39" s="152">
        <v>1.15682182852386E-2</v>
      </c>
      <c r="AX39" s="150"/>
    </row>
    <row r="40" spans="1:50">
      <c r="A40">
        <v>1802</v>
      </c>
      <c r="B40" s="9"/>
      <c r="C40" s="204">
        <v>10.39</v>
      </c>
      <c r="D40" s="205">
        <f t="shared" si="15"/>
        <v>7.8978201214275359</v>
      </c>
      <c r="E40" s="144">
        <v>19.39</v>
      </c>
      <c r="F40" s="132">
        <f t="shared" si="8"/>
        <v>93.807450411223982</v>
      </c>
      <c r="G40" s="126">
        <f t="shared" si="7"/>
        <v>62.215568862275454</v>
      </c>
      <c r="H40" s="15">
        <v>92.8</v>
      </c>
      <c r="J40" s="25">
        <f t="shared" si="4"/>
        <v>98.926044352759163</v>
      </c>
      <c r="K40" s="145">
        <v>4.3099999999999996</v>
      </c>
      <c r="L40" s="144"/>
      <c r="M40" s="146">
        <v>4.49</v>
      </c>
      <c r="N40" s="144"/>
      <c r="O40" s="133">
        <f t="shared" si="10"/>
        <v>4.3099999999999996</v>
      </c>
      <c r="P40" s="134">
        <f t="shared" si="9"/>
        <v>101.41176470588233</v>
      </c>
      <c r="Q40" s="129">
        <v>132</v>
      </c>
      <c r="R40" s="129"/>
      <c r="S40" s="129"/>
      <c r="T40" s="115">
        <f t="shared" si="5"/>
        <v>132</v>
      </c>
      <c r="U40" s="25">
        <f t="shared" si="6"/>
        <v>130.16241299303948</v>
      </c>
      <c r="V40" s="135">
        <v>3.69653847652229</v>
      </c>
      <c r="W40" s="135">
        <v>10.622876480523299</v>
      </c>
      <c r="X40" s="135">
        <v>7.1597074785228099</v>
      </c>
      <c r="Y40" s="135">
        <v>16.641581183397701</v>
      </c>
      <c r="Z40" s="27">
        <f t="shared" si="12"/>
        <v>136.78756476683938</v>
      </c>
      <c r="AA40" s="142">
        <f t="shared" si="13"/>
        <v>136.48359240069087</v>
      </c>
      <c r="AB40" s="143">
        <f t="shared" si="14"/>
        <v>134.24858444634125</v>
      </c>
      <c r="AC40" s="147">
        <v>1802</v>
      </c>
      <c r="AD40" s="148">
        <f t="shared" si="17"/>
        <v>19.371238509917749</v>
      </c>
      <c r="AE40" s="140">
        <f t="shared" si="16"/>
        <v>3.9489741176470581</v>
      </c>
      <c r="AF40" s="149">
        <f t="shared" si="18"/>
        <v>0</v>
      </c>
      <c r="AG40" s="149">
        <v>107.58038958202501</v>
      </c>
      <c r="AH40" s="150">
        <v>136.75848654334001</v>
      </c>
      <c r="AI40" s="151">
        <v>-0.22190089488095299</v>
      </c>
      <c r="AJ40" s="151">
        <v>106.79531015410601</v>
      </c>
      <c r="AK40" s="151">
        <v>135.21908475397299</v>
      </c>
      <c r="AL40" s="151"/>
      <c r="AM40" s="151"/>
      <c r="AS40" s="150"/>
      <c r="AT40" s="152">
        <v>-0.191176470588235</v>
      </c>
      <c r="AU40" s="152">
        <v>2.6714315296857999E-2</v>
      </c>
      <c r="AV40" s="152">
        <v>-0.17584369449378301</v>
      </c>
      <c r="AW40" s="152">
        <v>9.3387856267681899E-3</v>
      </c>
      <c r="AX40" s="150"/>
    </row>
    <row r="41" spans="1:50" ht="13">
      <c r="A41">
        <v>1803</v>
      </c>
      <c r="B41" s="9"/>
      <c r="C41" s="204">
        <v>10.96</v>
      </c>
      <c r="D41" s="205">
        <f t="shared" si="15"/>
        <v>8.3310980299177864</v>
      </c>
      <c r="E41" s="144">
        <v>19.39</v>
      </c>
      <c r="F41" s="132">
        <f t="shared" si="8"/>
        <v>93.807450411223982</v>
      </c>
      <c r="G41" s="126">
        <f t="shared" si="7"/>
        <v>65.628742514970057</v>
      </c>
      <c r="H41" s="15">
        <v>93.5</v>
      </c>
      <c r="I41" s="154"/>
      <c r="J41" s="25">
        <f t="shared" si="4"/>
        <v>99.672253739040755</v>
      </c>
      <c r="K41" s="145">
        <v>4.34</v>
      </c>
      <c r="L41" s="144"/>
      <c r="M41" s="146">
        <v>4.54</v>
      </c>
      <c r="N41" s="144"/>
      <c r="O41" s="133">
        <f t="shared" si="10"/>
        <v>4.34</v>
      </c>
      <c r="P41" s="134">
        <f t="shared" si="9"/>
        <v>102.11764705882354</v>
      </c>
      <c r="Q41" s="129">
        <v>133.5</v>
      </c>
      <c r="R41" s="129"/>
      <c r="S41" s="129"/>
      <c r="T41" s="115">
        <f t="shared" si="5"/>
        <v>133.5</v>
      </c>
      <c r="U41" s="25">
        <f t="shared" si="6"/>
        <v>130.7315668202765</v>
      </c>
      <c r="V41" s="135">
        <v>5.2480266785950098</v>
      </c>
      <c r="W41" s="135">
        <v>10.896094095660001</v>
      </c>
      <c r="X41" s="135">
        <v>8.0720603871275092</v>
      </c>
      <c r="Y41" s="135">
        <v>17.726721249846499</v>
      </c>
      <c r="Z41" s="27">
        <f t="shared" si="12"/>
        <v>138.34196891191709</v>
      </c>
      <c r="AA41" s="142">
        <f t="shared" si="13"/>
        <v>139.57167530224524</v>
      </c>
      <c r="AB41" s="143">
        <f t="shared" si="14"/>
        <v>134.83560564456437</v>
      </c>
      <c r="AC41" s="147">
        <v>1803</v>
      </c>
      <c r="AD41" s="148">
        <f t="shared" si="17"/>
        <v>19.371238509917749</v>
      </c>
      <c r="AE41" s="140">
        <f t="shared" si="16"/>
        <v>3.9764611764705888</v>
      </c>
      <c r="AF41" s="149">
        <f t="shared" si="18"/>
        <v>0</v>
      </c>
      <c r="AG41" s="149">
        <v>108.03738952187599</v>
      </c>
      <c r="AH41" s="150">
        <v>137.897087777937</v>
      </c>
      <c r="AI41" s="151">
        <v>-0.133611255732173</v>
      </c>
      <c r="AJ41" s="151">
        <v>106.29950509371299</v>
      </c>
      <c r="AK41" s="151">
        <v>134.09355602924299</v>
      </c>
      <c r="AL41" s="151"/>
      <c r="AM41" s="151"/>
      <c r="AS41" s="150"/>
      <c r="AT41" s="152">
        <v>1.13636363636363E-2</v>
      </c>
      <c r="AU41" s="152">
        <v>2.4026598374518301E-2</v>
      </c>
      <c r="AV41" s="152">
        <v>7.5431034482758902E-3</v>
      </c>
      <c r="AW41" s="152">
        <v>9.0403051978985207E-3</v>
      </c>
      <c r="AX41" s="150"/>
    </row>
    <row r="42" spans="1:50" ht="13">
      <c r="A42">
        <v>1804</v>
      </c>
      <c r="B42" s="9"/>
      <c r="C42" s="204">
        <v>11.44</v>
      </c>
      <c r="D42" s="205">
        <f t="shared" si="15"/>
        <v>8.6959636370674698</v>
      </c>
      <c r="E42" s="144">
        <v>19.39</v>
      </c>
      <c r="F42" s="132">
        <f t="shared" si="8"/>
        <v>93.807450411223982</v>
      </c>
      <c r="G42" s="126">
        <f t="shared" si="7"/>
        <v>68.502994011976057</v>
      </c>
      <c r="H42" s="15">
        <v>100</v>
      </c>
      <c r="I42" s="154"/>
      <c r="J42" s="25">
        <f t="shared" si="4"/>
        <v>106.60134089736979</v>
      </c>
      <c r="K42" s="145">
        <v>4.3600000000000003</v>
      </c>
      <c r="L42" s="144"/>
      <c r="M42" s="146">
        <v>4.55</v>
      </c>
      <c r="N42" s="144"/>
      <c r="O42" s="133">
        <f t="shared" si="10"/>
        <v>4.3600000000000003</v>
      </c>
      <c r="P42" s="134">
        <f t="shared" si="9"/>
        <v>102.58823529411767</v>
      </c>
      <c r="Q42" s="129">
        <v>134.30000000000001</v>
      </c>
      <c r="R42" s="129"/>
      <c r="S42" s="129"/>
      <c r="T42" s="115">
        <f t="shared" si="5"/>
        <v>134.30000000000001</v>
      </c>
      <c r="U42" s="25">
        <f t="shared" si="6"/>
        <v>130.91169724770643</v>
      </c>
      <c r="V42" s="135">
        <v>12.965264194440699</v>
      </c>
      <c r="W42" s="135">
        <v>10.8286397716964</v>
      </c>
      <c r="X42" s="135">
        <v>11.8969519830686</v>
      </c>
      <c r="Y42" s="135">
        <v>18.719363064532601</v>
      </c>
      <c r="Z42" s="27">
        <f t="shared" si="12"/>
        <v>139.17098445595857</v>
      </c>
      <c r="AA42" s="142">
        <f t="shared" si="13"/>
        <v>140.71732872769144</v>
      </c>
      <c r="AB42" s="143">
        <f t="shared" si="14"/>
        <v>135.02139088273046</v>
      </c>
      <c r="AC42" s="147">
        <v>1804</v>
      </c>
      <c r="AD42" s="148">
        <f t="shared" si="17"/>
        <v>19.371238509917749</v>
      </c>
      <c r="AE42" s="140">
        <f t="shared" si="16"/>
        <v>3.9947858823529416</v>
      </c>
      <c r="AF42" s="149">
        <f t="shared" si="18"/>
        <v>0</v>
      </c>
      <c r="AG42" s="149">
        <v>108.72113695653201</v>
      </c>
      <c r="AH42" s="150">
        <v>138.73185560192499</v>
      </c>
      <c r="AI42" s="151">
        <v>-6.1583465321851704E-4</v>
      </c>
      <c r="AJ42" s="151">
        <v>108.070268755374</v>
      </c>
      <c r="AK42" s="151">
        <v>135.32859767954201</v>
      </c>
      <c r="AL42" s="151"/>
      <c r="AM42" s="151"/>
      <c r="AS42" s="150"/>
      <c r="AT42" s="152">
        <v>5.9925093632959602E-3</v>
      </c>
      <c r="AU42" s="152">
        <v>2.2694404879211601E-2</v>
      </c>
      <c r="AV42" s="152">
        <v>6.9518716577540093E-2</v>
      </c>
      <c r="AW42" s="152">
        <v>9.8168270060724708E-3</v>
      </c>
      <c r="AX42" s="150"/>
    </row>
    <row r="43" spans="1:50" ht="13">
      <c r="A43">
        <v>1805</v>
      </c>
      <c r="B43" s="9"/>
      <c r="C43" s="204">
        <v>11.36</v>
      </c>
      <c r="D43" s="205">
        <f t="shared" si="15"/>
        <v>8.6351527025425234</v>
      </c>
      <c r="E43" s="144">
        <v>19.39</v>
      </c>
      <c r="F43" s="132">
        <f t="shared" si="8"/>
        <v>93.807450411223982</v>
      </c>
      <c r="G43" s="126">
        <f t="shared" si="7"/>
        <v>68.023952095808383</v>
      </c>
      <c r="H43" s="15">
        <v>111.9</v>
      </c>
      <c r="I43" s="154"/>
      <c r="J43" s="25">
        <f t="shared" si="4"/>
        <v>119.2869004641568</v>
      </c>
      <c r="K43" s="145">
        <v>4.3600000000000003</v>
      </c>
      <c r="L43" s="144"/>
      <c r="M43" s="146">
        <v>4.3499999999999996</v>
      </c>
      <c r="N43" s="144"/>
      <c r="O43" s="133">
        <f t="shared" si="10"/>
        <v>4.3600000000000003</v>
      </c>
      <c r="P43" s="134">
        <f t="shared" si="9"/>
        <v>102.58823529411767</v>
      </c>
      <c r="Q43" s="129">
        <v>147.1</v>
      </c>
      <c r="R43" s="129"/>
      <c r="S43" s="129"/>
      <c r="T43" s="115">
        <f t="shared" si="5"/>
        <v>147.1</v>
      </c>
      <c r="U43" s="25">
        <f t="shared" si="6"/>
        <v>143.38876146788988</v>
      </c>
      <c r="V43" s="135">
        <v>26.418533318097001</v>
      </c>
      <c r="W43" s="135">
        <v>23.108910501086001</v>
      </c>
      <c r="X43" s="135">
        <v>24.763721909591499</v>
      </c>
      <c r="Y43" s="135">
        <v>19.666845844357599</v>
      </c>
      <c r="Z43" s="27">
        <f t="shared" si="12"/>
        <v>152.43523316062175</v>
      </c>
      <c r="AA43" s="142">
        <f t="shared" si="13"/>
        <v>147.35405872193434</v>
      </c>
      <c r="AB43" s="143">
        <f t="shared" si="14"/>
        <v>147.89014593335551</v>
      </c>
      <c r="AC43" s="147">
        <v>1805</v>
      </c>
      <c r="AD43" s="148">
        <f t="shared" si="17"/>
        <v>19.371238509917749</v>
      </c>
      <c r="AE43" s="140">
        <f t="shared" si="16"/>
        <v>3.9947858823529416</v>
      </c>
      <c r="AF43" s="149">
        <f t="shared" si="18"/>
        <v>0</v>
      </c>
      <c r="AG43" s="149">
        <v>109.608472148563</v>
      </c>
      <c r="AH43" s="150">
        <v>139.260004126485</v>
      </c>
      <c r="AI43" s="151">
        <v>-3.1961437407304602E-2</v>
      </c>
      <c r="AJ43" s="151">
        <v>110.09502468136</v>
      </c>
      <c r="AK43" s="151">
        <v>138.354760135227</v>
      </c>
      <c r="AL43" s="151"/>
      <c r="AM43" s="151"/>
      <c r="AS43" s="150"/>
      <c r="AT43" s="152">
        <v>9.5309009679821102E-2</v>
      </c>
      <c r="AU43" s="152">
        <v>2.2057188269264501E-2</v>
      </c>
      <c r="AV43" s="152">
        <v>0.11899999999999999</v>
      </c>
      <c r="AW43" s="152">
        <v>1.07974290412366E-2</v>
      </c>
      <c r="AX43" s="150"/>
    </row>
    <row r="44" spans="1:50" ht="13">
      <c r="A44">
        <v>1806</v>
      </c>
      <c r="B44" s="9"/>
      <c r="C44" s="204">
        <v>11.84</v>
      </c>
      <c r="D44" s="205">
        <f t="shared" si="15"/>
        <v>9.0000183096922068</v>
      </c>
      <c r="E44" s="144">
        <v>19.39</v>
      </c>
      <c r="F44" s="132">
        <f t="shared" si="8"/>
        <v>93.807450411223982</v>
      </c>
      <c r="G44" s="126">
        <f t="shared" si="7"/>
        <v>70.898203592814369</v>
      </c>
      <c r="H44" s="15">
        <v>106.3</v>
      </c>
      <c r="I44" s="154"/>
      <c r="J44" s="25">
        <f t="shared" si="4"/>
        <v>113.31722537390409</v>
      </c>
      <c r="K44" s="145">
        <v>4.42</v>
      </c>
      <c r="L44" s="144"/>
      <c r="M44" s="146">
        <v>4.43</v>
      </c>
      <c r="N44" s="144"/>
      <c r="O44" s="133">
        <f t="shared" si="10"/>
        <v>4.42</v>
      </c>
      <c r="P44" s="134">
        <f t="shared" si="9"/>
        <v>104</v>
      </c>
      <c r="Q44" s="129">
        <v>145.30000000000001</v>
      </c>
      <c r="R44" s="129"/>
      <c r="S44" s="129"/>
      <c r="T44" s="115">
        <f t="shared" si="5"/>
        <v>145.30000000000001</v>
      </c>
      <c r="U44" s="25">
        <f t="shared" si="6"/>
        <v>139.71153846153848</v>
      </c>
      <c r="V44" s="135">
        <v>21.188116343601401</v>
      </c>
      <c r="W44" s="135">
        <v>19.2753224368054</v>
      </c>
      <c r="X44" s="135">
        <v>20.231719390203398</v>
      </c>
      <c r="Y44" s="135">
        <v>20.5482846954087</v>
      </c>
      <c r="Z44" s="27">
        <f t="shared" si="12"/>
        <v>150.56994818652851</v>
      </c>
      <c r="AA44" s="142">
        <f t="shared" si="13"/>
        <v>148.22774899251581</v>
      </c>
      <c r="AB44" s="143">
        <f t="shared" si="14"/>
        <v>144.09748435045606</v>
      </c>
      <c r="AC44" s="147">
        <v>1806</v>
      </c>
      <c r="AD44" s="148">
        <f t="shared" si="17"/>
        <v>19.371238509917749</v>
      </c>
      <c r="AE44" s="140">
        <f t="shared" si="16"/>
        <v>4.04976</v>
      </c>
      <c r="AF44" s="149">
        <f t="shared" si="18"/>
        <v>0</v>
      </c>
      <c r="AG44" s="149">
        <v>110.65512399097599</v>
      </c>
      <c r="AH44" s="150">
        <v>139.39912890677701</v>
      </c>
      <c r="AI44" s="151">
        <v>-4.31449218434364E-2</v>
      </c>
      <c r="AJ44" s="151">
        <v>109.874440162149</v>
      </c>
      <c r="AK44" s="151">
        <v>141.08306126680699</v>
      </c>
      <c r="AL44" s="151"/>
      <c r="AM44" s="151"/>
      <c r="AS44" s="150"/>
      <c r="AT44" s="152">
        <v>-1.22365737593472E-2</v>
      </c>
      <c r="AU44" s="152">
        <v>2.1287383047844902E-2</v>
      </c>
      <c r="AV44" s="152">
        <v>-5.0044682752457603E-2</v>
      </c>
      <c r="AW44" s="152">
        <v>1.17082081890522E-2</v>
      </c>
      <c r="AX44" s="150"/>
    </row>
    <row r="45" spans="1:50" ht="13">
      <c r="A45">
        <v>1807</v>
      </c>
      <c r="B45" s="9"/>
      <c r="C45" s="204">
        <v>11.2</v>
      </c>
      <c r="D45" s="205">
        <f t="shared" si="15"/>
        <v>8.5135308334926272</v>
      </c>
      <c r="E45" s="144">
        <v>19.39</v>
      </c>
      <c r="F45" s="132">
        <f t="shared" si="8"/>
        <v>93.807450411223982</v>
      </c>
      <c r="G45" s="126">
        <f t="shared" si="7"/>
        <v>67.06586826347305</v>
      </c>
      <c r="H45" s="15">
        <v>103.1</v>
      </c>
      <c r="I45" s="154"/>
      <c r="J45" s="25">
        <f t="shared" si="4"/>
        <v>109.90598246518826</v>
      </c>
      <c r="K45" s="145">
        <v>4.47</v>
      </c>
      <c r="L45" s="144"/>
      <c r="M45" s="146">
        <v>4.42</v>
      </c>
      <c r="N45" s="144"/>
      <c r="O45" s="133">
        <f t="shared" si="10"/>
        <v>4.47</v>
      </c>
      <c r="P45" s="134">
        <f t="shared" si="9"/>
        <v>105.17647058823529</v>
      </c>
      <c r="Q45" s="129">
        <v>141.69999999999999</v>
      </c>
      <c r="R45" s="129"/>
      <c r="S45" s="129"/>
      <c r="T45" s="115">
        <f t="shared" si="5"/>
        <v>141.69999999999999</v>
      </c>
      <c r="U45" s="25">
        <f t="shared" si="6"/>
        <v>134.72595078299776</v>
      </c>
      <c r="V45" s="135">
        <v>18.494295564991699</v>
      </c>
      <c r="W45" s="135">
        <v>14.186310892353999</v>
      </c>
      <c r="X45" s="135">
        <v>16.340303228672902</v>
      </c>
      <c r="Y45" s="135">
        <v>21.3937634844252</v>
      </c>
      <c r="Z45" s="27">
        <f t="shared" si="12"/>
        <v>146.83937823834194</v>
      </c>
      <c r="AA45" s="142">
        <f t="shared" si="13"/>
        <v>144.22890040299365</v>
      </c>
      <c r="AB45" s="143">
        <f t="shared" si="14"/>
        <v>138.95538477588065</v>
      </c>
      <c r="AC45" s="147">
        <v>1807</v>
      </c>
      <c r="AD45" s="148">
        <f t="shared" si="17"/>
        <v>19.371238509917749</v>
      </c>
      <c r="AE45" s="140">
        <f t="shared" si="16"/>
        <v>4.0955717647058822</v>
      </c>
      <c r="AF45" s="149">
        <f t="shared" si="18"/>
        <v>0</v>
      </c>
      <c r="AG45" s="149">
        <v>111.913736655292</v>
      </c>
      <c r="AH45" s="150">
        <v>139.106525456697</v>
      </c>
      <c r="AI45" s="151">
        <v>-0.14576777567940699</v>
      </c>
      <c r="AJ45" s="151">
        <v>107.977507594435</v>
      </c>
      <c r="AK45" s="151">
        <v>143.04959889971499</v>
      </c>
      <c r="AL45" s="151"/>
      <c r="AM45" s="151"/>
      <c r="AS45" s="150"/>
      <c r="AT45" s="152">
        <v>-2.47763248451481E-2</v>
      </c>
      <c r="AU45" s="152">
        <v>2.0289941932225799E-2</v>
      </c>
      <c r="AV45" s="152">
        <v>-3.0103480714957599E-2</v>
      </c>
      <c r="AW45" s="152">
        <v>1.3357287044768301E-2</v>
      </c>
      <c r="AX45" s="150"/>
    </row>
    <row r="46" spans="1:50" ht="13">
      <c r="A46">
        <v>1808</v>
      </c>
      <c r="B46" s="9"/>
      <c r="C46" s="204">
        <v>12.17</v>
      </c>
      <c r="D46" s="205">
        <f t="shared" si="15"/>
        <v>9.2508634146076147</v>
      </c>
      <c r="E46" s="144">
        <v>19.39</v>
      </c>
      <c r="F46" s="132">
        <f t="shared" si="8"/>
        <v>93.807450411223982</v>
      </c>
      <c r="G46" s="126">
        <f t="shared" si="7"/>
        <v>72.874251497005986</v>
      </c>
      <c r="H46" s="15">
        <v>91.3</v>
      </c>
      <c r="I46" s="154"/>
      <c r="J46" s="25">
        <f t="shared" si="4"/>
        <v>97.327024239298623</v>
      </c>
      <c r="K46" s="145">
        <v>4.5199999999999996</v>
      </c>
      <c r="L46" s="144"/>
      <c r="M46" s="146">
        <v>4.63</v>
      </c>
      <c r="N46" s="144"/>
      <c r="O46" s="133">
        <f t="shared" si="10"/>
        <v>4.5199999999999996</v>
      </c>
      <c r="P46" s="134">
        <f t="shared" si="9"/>
        <v>106.35294117647058</v>
      </c>
      <c r="Q46" s="129">
        <v>156.1</v>
      </c>
      <c r="R46" s="129"/>
      <c r="S46" s="129"/>
      <c r="T46" s="115">
        <f t="shared" si="5"/>
        <v>156.1</v>
      </c>
      <c r="U46" s="25">
        <f t="shared" si="6"/>
        <v>146.77544247787611</v>
      </c>
      <c r="V46" s="135">
        <v>6.6073532763053899</v>
      </c>
      <c r="W46" s="135">
        <v>26.1703303417545</v>
      </c>
      <c r="X46" s="135">
        <v>16.388841809029898</v>
      </c>
      <c r="Y46" s="135">
        <v>22.230200425094601</v>
      </c>
      <c r="Z46" s="27">
        <f t="shared" si="12"/>
        <v>161.76165803108807</v>
      </c>
      <c r="AA46" s="142">
        <f t="shared" si="13"/>
        <v>166.43477259643063</v>
      </c>
      <c r="AB46" s="143">
        <f t="shared" si="14"/>
        <v>151.3831445733413</v>
      </c>
      <c r="AC46" s="147">
        <v>1808</v>
      </c>
      <c r="AD46" s="148">
        <f t="shared" si="17"/>
        <v>19.371238509917749</v>
      </c>
      <c r="AE46" s="140">
        <f t="shared" si="16"/>
        <v>4.1413835294117645</v>
      </c>
      <c r="AF46" s="149">
        <f t="shared" si="18"/>
        <v>0</v>
      </c>
      <c r="AG46" s="149">
        <v>113.463703073123</v>
      </c>
      <c r="AH46" s="150">
        <v>138.360298001074</v>
      </c>
      <c r="AI46" s="151">
        <v>-5.8019466965147396E-3</v>
      </c>
      <c r="AJ46" s="151">
        <v>106.125072654192</v>
      </c>
      <c r="AK46" s="151">
        <v>143.92278377044801</v>
      </c>
      <c r="AL46" s="151"/>
      <c r="AM46" s="151"/>
      <c r="AS46" s="150"/>
      <c r="AT46" s="152">
        <v>0.10162314749470699</v>
      </c>
      <c r="AU46" s="152">
        <v>1.8634578071608499E-2</v>
      </c>
      <c r="AV46" s="152">
        <v>-0.11445198836081399</v>
      </c>
      <c r="AW46" s="152">
        <v>1.59352592942185E-2</v>
      </c>
      <c r="AX46" s="150"/>
    </row>
    <row r="47" spans="1:50" ht="13">
      <c r="A47">
        <v>1809</v>
      </c>
      <c r="B47" s="9"/>
      <c r="C47" s="204">
        <v>11.92</v>
      </c>
      <c r="D47" s="205">
        <f t="shared" si="15"/>
        <v>9.0608292442171532</v>
      </c>
      <c r="E47" s="144">
        <v>19.39</v>
      </c>
      <c r="F47" s="132">
        <f t="shared" si="8"/>
        <v>93.807450411223982</v>
      </c>
      <c r="G47" s="126">
        <f t="shared" si="7"/>
        <v>71.377245508982043</v>
      </c>
      <c r="H47" s="15">
        <v>103.1</v>
      </c>
      <c r="I47" s="154"/>
      <c r="J47" s="25">
        <f t="shared" si="4"/>
        <v>109.90598246518826</v>
      </c>
      <c r="K47" s="145">
        <v>4.58</v>
      </c>
      <c r="L47" s="144"/>
      <c r="M47" s="146">
        <v>4.57</v>
      </c>
      <c r="N47" s="144"/>
      <c r="O47" s="133">
        <f t="shared" si="10"/>
        <v>4.58</v>
      </c>
      <c r="P47" s="134">
        <f t="shared" si="9"/>
        <v>107.76470588235294</v>
      </c>
      <c r="Q47" s="129">
        <v>167.4</v>
      </c>
      <c r="R47" s="129"/>
      <c r="S47" s="129"/>
      <c r="T47" s="115">
        <f t="shared" si="5"/>
        <v>167.4</v>
      </c>
      <c r="U47" s="25">
        <f t="shared" si="6"/>
        <v>155.33842794759826</v>
      </c>
      <c r="V47" s="135">
        <v>19.857571771580201</v>
      </c>
      <c r="W47" s="135">
        <v>34.705854419552402</v>
      </c>
      <c r="X47" s="135">
        <v>27.2817130955663</v>
      </c>
      <c r="Y47" s="135">
        <v>23.033979128546498</v>
      </c>
      <c r="Z47" s="27">
        <f t="shared" si="12"/>
        <v>173.47150259067357</v>
      </c>
      <c r="AA47" s="142">
        <f t="shared" si="13"/>
        <v>176.16994818652847</v>
      </c>
      <c r="AB47" s="143">
        <f t="shared" si="14"/>
        <v>160.21494671584045</v>
      </c>
      <c r="AC47" s="147">
        <v>1809</v>
      </c>
      <c r="AD47" s="148">
        <f t="shared" si="17"/>
        <v>19.371238509917749</v>
      </c>
      <c r="AE47" s="140">
        <f t="shared" si="16"/>
        <v>4.1963576470588233</v>
      </c>
      <c r="AF47" s="149">
        <f t="shared" si="18"/>
        <v>0</v>
      </c>
      <c r="AG47" s="149">
        <v>115.364378809526</v>
      </c>
      <c r="AH47" s="150">
        <v>137.12718551016701</v>
      </c>
      <c r="AI47" s="151">
        <v>1.8895777522705801E-2</v>
      </c>
      <c r="AJ47" s="151">
        <v>106.682145152587</v>
      </c>
      <c r="AK47" s="151">
        <v>141.677826982266</v>
      </c>
      <c r="AL47" s="151"/>
      <c r="AM47" s="151"/>
      <c r="AS47" s="150"/>
      <c r="AT47" s="152">
        <v>7.2389493914157596E-2</v>
      </c>
      <c r="AU47" s="152">
        <v>1.5440341947420701E-2</v>
      </c>
      <c r="AV47" s="152">
        <v>0.12924424972617701</v>
      </c>
      <c r="AW47" s="152">
        <v>1.9198110945639401E-2</v>
      </c>
      <c r="AX47" s="150"/>
    </row>
    <row r="48" spans="1:50" ht="13">
      <c r="A48">
        <v>1810</v>
      </c>
      <c r="B48" s="9"/>
      <c r="C48" s="204">
        <v>11.92</v>
      </c>
      <c r="D48" s="205">
        <f t="shared" si="15"/>
        <v>9.0608292442171532</v>
      </c>
      <c r="E48" s="144">
        <v>19.39</v>
      </c>
      <c r="F48" s="132">
        <f t="shared" si="8"/>
        <v>93.807450411223982</v>
      </c>
      <c r="G48" s="126">
        <f t="shared" si="7"/>
        <v>71.377245508982043</v>
      </c>
      <c r="H48" s="15">
        <v>103.8</v>
      </c>
      <c r="I48" s="154"/>
      <c r="J48" s="25">
        <f t="shared" si="4"/>
        <v>110.65219185146985</v>
      </c>
      <c r="K48" s="145">
        <v>4.63</v>
      </c>
      <c r="L48" s="144"/>
      <c r="M48" s="146">
        <v>4.3</v>
      </c>
      <c r="N48" s="144"/>
      <c r="O48" s="133">
        <f t="shared" si="10"/>
        <v>4.63</v>
      </c>
      <c r="P48" s="134">
        <f t="shared" si="9"/>
        <v>108.94117647058823</v>
      </c>
      <c r="Q48" s="129">
        <v>165.7</v>
      </c>
      <c r="R48" s="129"/>
      <c r="S48" s="129"/>
      <c r="T48" s="115">
        <f t="shared" si="5"/>
        <v>165.7</v>
      </c>
      <c r="U48" s="25">
        <f t="shared" si="6"/>
        <v>152.10043196544277</v>
      </c>
      <c r="V48" s="135">
        <v>21.245233344853698</v>
      </c>
      <c r="W48" s="135">
        <v>31.481375920816198</v>
      </c>
      <c r="X48" s="135">
        <v>26.3633046328349</v>
      </c>
      <c r="Y48" s="135">
        <v>23.723069619750401</v>
      </c>
      <c r="Z48" s="27">
        <f t="shared" si="12"/>
        <v>171.70984455958549</v>
      </c>
      <c r="AA48" s="142">
        <f t="shared" si="13"/>
        <v>164.07829591249279</v>
      </c>
      <c r="AB48" s="143">
        <f t="shared" si="14"/>
        <v>156.87530075314186</v>
      </c>
      <c r="AC48" s="147">
        <v>1810</v>
      </c>
      <c r="AD48" s="148">
        <f t="shared" si="17"/>
        <v>19.371238509917749</v>
      </c>
      <c r="AE48" s="140">
        <f t="shared" si="16"/>
        <v>4.2421694117647055</v>
      </c>
      <c r="AF48" s="149">
        <f t="shared" si="18"/>
        <v>0</v>
      </c>
      <c r="AG48" s="149">
        <v>117.51378239882899</v>
      </c>
      <c r="AH48" s="150">
        <v>135.51032397422699</v>
      </c>
      <c r="AI48" s="151">
        <v>-9.9994670969733392E-4</v>
      </c>
      <c r="AJ48" s="151">
        <v>109.082044016051</v>
      </c>
      <c r="AK48" s="151">
        <v>136.982345048279</v>
      </c>
      <c r="AL48" s="151"/>
      <c r="AM48" s="151"/>
      <c r="AS48" s="150"/>
      <c r="AT48" s="152">
        <v>-1.01553166069296E-2</v>
      </c>
      <c r="AU48" s="152">
        <v>1.06561697353209E-2</v>
      </c>
      <c r="AV48" s="152">
        <v>6.7895247332686896E-3</v>
      </c>
      <c r="AW48" s="152">
        <v>2.1597955530717299E-2</v>
      </c>
      <c r="AX48" s="150"/>
    </row>
    <row r="49" spans="1:50" ht="13">
      <c r="A49">
        <v>1811</v>
      </c>
      <c r="B49" s="9"/>
      <c r="C49" s="204">
        <v>12.73</v>
      </c>
      <c r="D49" s="205">
        <f t="shared" si="15"/>
        <v>9.6765399562822463</v>
      </c>
      <c r="E49" s="144">
        <v>19.39</v>
      </c>
      <c r="F49" s="132">
        <f t="shared" si="8"/>
        <v>93.807450411223982</v>
      </c>
      <c r="G49" s="126">
        <f t="shared" si="7"/>
        <v>76.227544910179645</v>
      </c>
      <c r="H49" s="15">
        <v>100</v>
      </c>
      <c r="I49" s="154"/>
      <c r="J49" s="25">
        <f t="shared" si="4"/>
        <v>106.60134089736979</v>
      </c>
      <c r="K49" s="145">
        <v>5.19</v>
      </c>
      <c r="L49" s="144"/>
      <c r="M49" s="146">
        <v>3.82</v>
      </c>
      <c r="N49" s="144"/>
      <c r="O49" s="133">
        <f t="shared" si="10"/>
        <v>5.19</v>
      </c>
      <c r="P49" s="134">
        <f t="shared" si="9"/>
        <v>122.11764705882354</v>
      </c>
      <c r="Q49" s="129">
        <v>157.1</v>
      </c>
      <c r="R49" s="129"/>
      <c r="S49" s="129"/>
      <c r="T49" s="115">
        <f t="shared" si="5"/>
        <v>157.1</v>
      </c>
      <c r="U49" s="25">
        <f t="shared" si="6"/>
        <v>128.64643545279384</v>
      </c>
      <c r="V49" s="135">
        <v>17.820620290163401</v>
      </c>
      <c r="W49" s="135">
        <v>8.0854068011375499</v>
      </c>
      <c r="X49" s="135">
        <v>12.953013545650499</v>
      </c>
      <c r="Y49" s="135">
        <v>24.257919263345499</v>
      </c>
      <c r="Z49" s="27">
        <f t="shared" si="12"/>
        <v>162.79792746113989</v>
      </c>
      <c r="AA49" s="142">
        <f t="shared" si="13"/>
        <v>138.19735175590097</v>
      </c>
      <c r="AB49" s="143">
        <f t="shared" si="14"/>
        <v>132.68501602324119</v>
      </c>
      <c r="AC49" s="147">
        <v>1811</v>
      </c>
      <c r="AD49" s="148">
        <f t="shared" si="17"/>
        <v>19.371238509917749</v>
      </c>
      <c r="AE49" s="140">
        <f t="shared" si="16"/>
        <v>4.7552611764705883</v>
      </c>
      <c r="AF49" s="149">
        <f t="shared" si="18"/>
        <v>0</v>
      </c>
      <c r="AG49" s="149">
        <v>119.755388587263</v>
      </c>
      <c r="AH49" s="150">
        <v>133.679677528403</v>
      </c>
      <c r="AI49" s="151">
        <v>5.3173205473700101E-2</v>
      </c>
      <c r="AJ49" s="151">
        <v>113.83403978682399</v>
      </c>
      <c r="AK49" s="151">
        <v>131.21467882084201</v>
      </c>
      <c r="AL49" s="151"/>
      <c r="AM49" s="151"/>
      <c r="AS49" s="150"/>
      <c r="AT49" s="152">
        <v>-5.1901025950512901E-2</v>
      </c>
      <c r="AU49" s="152">
        <v>4.8004891306349202E-3</v>
      </c>
      <c r="AV49" s="152">
        <v>-3.6608863198458498E-2</v>
      </c>
      <c r="AW49" s="152">
        <v>2.26873679689438E-2</v>
      </c>
      <c r="AX49" s="150"/>
    </row>
    <row r="50" spans="1:50" ht="13">
      <c r="A50">
        <v>1812</v>
      </c>
      <c r="B50" s="9"/>
      <c r="C50" s="204">
        <v>12.89</v>
      </c>
      <c r="D50" s="205">
        <f t="shared" si="15"/>
        <v>9.7981618253321408</v>
      </c>
      <c r="E50" s="144">
        <v>19.39</v>
      </c>
      <c r="F50" s="132">
        <f t="shared" si="8"/>
        <v>93.807450411223982</v>
      </c>
      <c r="G50" s="126">
        <f t="shared" si="7"/>
        <v>77.185628742514979</v>
      </c>
      <c r="H50" s="15">
        <v>103.8</v>
      </c>
      <c r="I50" s="154"/>
      <c r="J50" s="25">
        <f t="shared" si="4"/>
        <v>110.65219185146985</v>
      </c>
      <c r="K50" s="145">
        <v>5.48</v>
      </c>
      <c r="L50" s="144"/>
      <c r="M50" s="146">
        <v>3.62</v>
      </c>
      <c r="N50" s="144"/>
      <c r="O50" s="133">
        <f t="shared" si="10"/>
        <v>5.48</v>
      </c>
      <c r="P50" s="134">
        <f t="shared" si="9"/>
        <v>128.94117647058823</v>
      </c>
      <c r="Q50" s="129">
        <v>176.8</v>
      </c>
      <c r="R50" s="129"/>
      <c r="S50" s="129"/>
      <c r="T50" s="115">
        <f t="shared" si="5"/>
        <v>176.8</v>
      </c>
      <c r="U50" s="25">
        <f t="shared" si="6"/>
        <v>137.11678832116789</v>
      </c>
      <c r="V50" s="135">
        <v>22.4740149015472</v>
      </c>
      <c r="W50" s="135">
        <v>16.646478176631099</v>
      </c>
      <c r="X50" s="135">
        <v>19.5602465390891</v>
      </c>
      <c r="Y50" s="135">
        <v>24.625377774102201</v>
      </c>
      <c r="Z50" s="27">
        <f t="shared" si="12"/>
        <v>183.21243523316062</v>
      </c>
      <c r="AA50" s="142">
        <f t="shared" si="13"/>
        <v>147.38422567645367</v>
      </c>
      <c r="AB50" s="143">
        <f t="shared" si="14"/>
        <v>141.42127756136307</v>
      </c>
      <c r="AC50" s="147">
        <v>1812</v>
      </c>
      <c r="AD50" s="148">
        <f t="shared" si="17"/>
        <v>19.371238509917749</v>
      </c>
      <c r="AE50" s="140">
        <f t="shared" si="16"/>
        <v>5.0209694117647059</v>
      </c>
      <c r="AF50" s="149">
        <f t="shared" si="18"/>
        <v>0</v>
      </c>
      <c r="AG50" s="149">
        <v>121.864134297071</v>
      </c>
      <c r="AH50" s="150">
        <v>131.853107068101</v>
      </c>
      <c r="AI50" s="151">
        <v>0.283011734499024</v>
      </c>
      <c r="AJ50" s="151">
        <v>121.973388335126</v>
      </c>
      <c r="AK50" s="151">
        <v>126.85905413621801</v>
      </c>
      <c r="AL50" s="151"/>
      <c r="AM50" s="151"/>
      <c r="AS50" s="150"/>
      <c r="AT50" s="152">
        <v>0.125397835773392</v>
      </c>
      <c r="AU50" s="152">
        <v>-1.81638703473376E-3</v>
      </c>
      <c r="AV50" s="152">
        <v>3.7999999999999902E-2</v>
      </c>
      <c r="AW50" s="152">
        <v>2.1870838871835899E-2</v>
      </c>
      <c r="AX50" s="150"/>
    </row>
    <row r="51" spans="1:50" ht="13">
      <c r="A51">
        <v>1813</v>
      </c>
      <c r="B51" s="9"/>
      <c r="C51" s="204">
        <v>15.47</v>
      </c>
      <c r="D51" s="205">
        <f t="shared" si="15"/>
        <v>11.759314463761692</v>
      </c>
      <c r="E51" s="144">
        <v>19.39</v>
      </c>
      <c r="F51" s="132">
        <f t="shared" si="8"/>
        <v>93.807450411223982</v>
      </c>
      <c r="G51" s="126">
        <f t="shared" si="7"/>
        <v>92.634730538922156</v>
      </c>
      <c r="H51" s="15">
        <v>128.5</v>
      </c>
      <c r="I51" s="154"/>
      <c r="J51" s="25">
        <f t="shared" si="4"/>
        <v>136.9827230531202</v>
      </c>
      <c r="K51" s="145">
        <v>5.76</v>
      </c>
      <c r="L51" s="144"/>
      <c r="M51" s="146">
        <v>3.75</v>
      </c>
      <c r="N51" s="144"/>
      <c r="O51" s="133">
        <f t="shared" si="10"/>
        <v>5.76</v>
      </c>
      <c r="P51" s="134">
        <f t="shared" si="9"/>
        <v>135.52941176470588</v>
      </c>
      <c r="Q51" s="129">
        <v>182.5</v>
      </c>
      <c r="R51" s="129"/>
      <c r="S51" s="129"/>
      <c r="T51" s="115">
        <f t="shared" si="5"/>
        <v>182.5</v>
      </c>
      <c r="U51" s="25">
        <f t="shared" si="6"/>
        <v>134.65711805555554</v>
      </c>
      <c r="V51" s="135">
        <v>49.3856994730425</v>
      </c>
      <c r="W51" s="135">
        <v>14.3131403239344</v>
      </c>
      <c r="X51" s="135">
        <v>31.849419898488399</v>
      </c>
      <c r="Y51" s="135">
        <v>24.6992458096137</v>
      </c>
      <c r="Z51" s="27">
        <f t="shared" si="12"/>
        <v>189.11917098445596</v>
      </c>
      <c r="AA51" s="142">
        <f t="shared" si="13"/>
        <v>157.59930915371331</v>
      </c>
      <c r="AB51" s="143">
        <f t="shared" si="14"/>
        <v>138.88439119170988</v>
      </c>
      <c r="AC51" s="147">
        <v>1813</v>
      </c>
      <c r="AD51" s="148">
        <f t="shared" si="17"/>
        <v>19.371238509917749</v>
      </c>
      <c r="AE51" s="140">
        <f t="shared" si="16"/>
        <v>5.2775152941176477</v>
      </c>
      <c r="AF51" s="149">
        <f t="shared" si="18"/>
        <v>0</v>
      </c>
      <c r="AG51" s="149">
        <v>123.483502564625</v>
      </c>
      <c r="AH51" s="150">
        <v>130.135176713443</v>
      </c>
      <c r="AI51" s="151">
        <v>0.415571133485587</v>
      </c>
      <c r="AJ51" s="151">
        <v>132.12733226890501</v>
      </c>
      <c r="AK51" s="151">
        <v>123.44480389038701</v>
      </c>
      <c r="AL51" s="151"/>
      <c r="AM51" s="151"/>
      <c r="AS51" s="150"/>
      <c r="AT51" s="152">
        <v>3.22398190045248E-2</v>
      </c>
      <c r="AU51" s="152">
        <v>-9.4511610796932204E-3</v>
      </c>
      <c r="AV51" s="152">
        <v>0.23795761078998001</v>
      </c>
      <c r="AW51" s="152">
        <v>1.7959896539236801E-2</v>
      </c>
      <c r="AX51" s="150"/>
    </row>
    <row r="52" spans="1:50" ht="13">
      <c r="A52">
        <v>1814</v>
      </c>
      <c r="B52" s="9"/>
      <c r="C52" s="204">
        <v>17</v>
      </c>
      <c r="D52" s="205">
        <f t="shared" si="15"/>
        <v>12.922323586551311</v>
      </c>
      <c r="E52" s="144">
        <v>20.100000000000001</v>
      </c>
      <c r="F52" s="132">
        <f t="shared" si="8"/>
        <v>97.242380261248186</v>
      </c>
      <c r="G52" s="126">
        <f t="shared" si="7"/>
        <v>101.79640718562875</v>
      </c>
      <c r="H52" s="15">
        <v>144.4</v>
      </c>
      <c r="I52" s="154"/>
      <c r="J52" s="25">
        <f t="shared" si="4"/>
        <v>148.49492537313432</v>
      </c>
      <c r="K52" s="145">
        <v>5.21</v>
      </c>
      <c r="L52" s="144"/>
      <c r="M52" s="146">
        <v>4.24</v>
      </c>
      <c r="N52" s="144"/>
      <c r="O52" s="133">
        <f t="shared" si="10"/>
        <v>5.21</v>
      </c>
      <c r="P52" s="134">
        <f t="shared" si="9"/>
        <v>122.58823529411765</v>
      </c>
      <c r="Q52" s="129">
        <v>166</v>
      </c>
      <c r="R52" s="129"/>
      <c r="S52" s="129"/>
      <c r="T52" s="115">
        <f t="shared" si="5"/>
        <v>166</v>
      </c>
      <c r="U52" s="25">
        <f t="shared" si="6"/>
        <v>135.41266794625719</v>
      </c>
      <c r="V52" s="135">
        <v>61.455956298686999</v>
      </c>
      <c r="W52" s="135">
        <v>15.2239626802081</v>
      </c>
      <c r="X52" s="135">
        <v>38.339959489447601</v>
      </c>
      <c r="Y52" s="135">
        <v>24.302672715123201</v>
      </c>
      <c r="Z52" s="27">
        <f t="shared" si="12"/>
        <v>172.02072538860102</v>
      </c>
      <c r="AA52" s="142">
        <f t="shared" si="13"/>
        <v>162.08175014392631</v>
      </c>
      <c r="AB52" s="143">
        <f t="shared" si="14"/>
        <v>139.6636599604189</v>
      </c>
      <c r="AC52" s="147">
        <v>1814</v>
      </c>
      <c r="AD52" s="148">
        <f t="shared" si="17"/>
        <v>20.080551523947751</v>
      </c>
      <c r="AE52" s="140">
        <f t="shared" si="16"/>
        <v>4.7735858823529416</v>
      </c>
      <c r="AF52" s="149">
        <f t="shared" si="18"/>
        <v>0</v>
      </c>
      <c r="AG52" s="149">
        <v>124.144935083324</v>
      </c>
      <c r="AH52" s="150">
        <v>128.587519513871</v>
      </c>
      <c r="AI52" s="151">
        <v>0.36222776007649399</v>
      </c>
      <c r="AJ52" s="151">
        <v>139.151984751063</v>
      </c>
      <c r="AK52" s="151">
        <v>120.734909600592</v>
      </c>
      <c r="AL52" s="151"/>
      <c r="AM52" s="151"/>
      <c r="AS52" s="150"/>
      <c r="AT52" s="152">
        <v>-9.0410958904109495E-2</v>
      </c>
      <c r="AU52" s="152">
        <v>-1.7088393095070199E-2</v>
      </c>
      <c r="AV52" s="152">
        <v>0.123735408560311</v>
      </c>
      <c r="AW52" s="152">
        <v>9.9273608822712505E-3</v>
      </c>
      <c r="AX52" s="150"/>
    </row>
    <row r="53" spans="1:50" ht="13">
      <c r="A53">
        <v>1815</v>
      </c>
      <c r="B53" s="9"/>
      <c r="C53" s="204">
        <v>14.91</v>
      </c>
      <c r="D53" s="205">
        <f t="shared" si="15"/>
        <v>11.33363792208706</v>
      </c>
      <c r="E53" s="144">
        <v>21.64</v>
      </c>
      <c r="F53" s="132">
        <f t="shared" si="8"/>
        <v>104.69279148524431</v>
      </c>
      <c r="G53" s="126">
        <f t="shared" si="7"/>
        <v>89.281437125748511</v>
      </c>
      <c r="H53" s="15">
        <v>134.80000000000001</v>
      </c>
      <c r="I53" s="154"/>
      <c r="J53" s="25">
        <f t="shared" si="4"/>
        <v>128.7576709796673</v>
      </c>
      <c r="K53" s="145">
        <v>4.99</v>
      </c>
      <c r="L53" s="144"/>
      <c r="M53" s="146">
        <v>4.9000000000000004</v>
      </c>
      <c r="N53" s="144"/>
      <c r="O53" s="133">
        <f t="shared" si="10"/>
        <v>4.99</v>
      </c>
      <c r="P53" s="134">
        <f t="shared" si="9"/>
        <v>117.41176470588235</v>
      </c>
      <c r="Q53" s="129">
        <v>140.30000000000001</v>
      </c>
      <c r="R53" s="129"/>
      <c r="S53" s="129"/>
      <c r="T53" s="115">
        <f t="shared" si="5"/>
        <v>140.30000000000001</v>
      </c>
      <c r="U53" s="25">
        <f t="shared" si="6"/>
        <v>119.49398797595192</v>
      </c>
      <c r="V53" s="135">
        <v>42.265067672518299</v>
      </c>
      <c r="W53" s="135">
        <v>-0.50246615686407103</v>
      </c>
      <c r="X53" s="135">
        <v>20.881300757827098</v>
      </c>
      <c r="Y53" s="135">
        <v>23.330309576762598</v>
      </c>
      <c r="Z53" s="27">
        <f t="shared" si="12"/>
        <v>145.38860103626945</v>
      </c>
      <c r="AA53" s="142">
        <f t="shared" si="13"/>
        <v>158.31203223949342</v>
      </c>
      <c r="AB53" s="143">
        <f t="shared" si="14"/>
        <v>123.24524697062522</v>
      </c>
      <c r="AC53" s="147">
        <v>1815</v>
      </c>
      <c r="AD53" s="148">
        <f t="shared" si="17"/>
        <v>21.619061441702947</v>
      </c>
      <c r="AE53" s="140">
        <f t="shared" si="16"/>
        <v>4.5720141176470586</v>
      </c>
      <c r="AF53" s="149">
        <f t="shared" si="18"/>
        <v>0</v>
      </c>
      <c r="AG53" s="149">
        <v>123.514938520923</v>
      </c>
      <c r="AH53" s="150">
        <v>127.287116751691</v>
      </c>
      <c r="AI53" s="151">
        <v>0.25835540156990799</v>
      </c>
      <c r="AJ53" s="151">
        <v>139.52434818820601</v>
      </c>
      <c r="AK53" s="151">
        <v>121.234084820612</v>
      </c>
      <c r="AL53" s="151"/>
      <c r="AM53" s="151"/>
      <c r="AS53" s="150"/>
      <c r="AT53" s="152">
        <v>-0.15481927710843299</v>
      </c>
      <c r="AU53" s="152">
        <v>-2.3295733370849399E-2</v>
      </c>
      <c r="AV53" s="152">
        <v>-6.6481994459833701E-2</v>
      </c>
      <c r="AW53" s="152">
        <v>-1.0539710454286399E-3</v>
      </c>
      <c r="AX53" s="150"/>
    </row>
    <row r="54" spans="1:50" ht="13">
      <c r="A54">
        <v>1816</v>
      </c>
      <c r="B54" s="9"/>
      <c r="C54" s="204">
        <v>13.62</v>
      </c>
      <c r="D54" s="205">
        <f t="shared" si="15"/>
        <v>10.353061602872286</v>
      </c>
      <c r="E54" s="144">
        <v>20.95</v>
      </c>
      <c r="F54" s="132">
        <f t="shared" si="8"/>
        <v>101.35462022254474</v>
      </c>
      <c r="G54" s="126">
        <f t="shared" si="7"/>
        <v>81.556886227544908</v>
      </c>
      <c r="H54" s="15">
        <v>119.7</v>
      </c>
      <c r="I54" s="154"/>
      <c r="J54" s="25">
        <f t="shared" si="4"/>
        <v>118.1001909307876</v>
      </c>
      <c r="K54" s="145">
        <v>4.3600000000000003</v>
      </c>
      <c r="L54" s="144"/>
      <c r="M54" s="146">
        <v>5.22</v>
      </c>
      <c r="N54" s="144"/>
      <c r="O54" s="133">
        <f t="shared" si="10"/>
        <v>4.3600000000000003</v>
      </c>
      <c r="P54" s="134">
        <f t="shared" si="9"/>
        <v>102.58823529411767</v>
      </c>
      <c r="Q54" s="129">
        <v>128.1</v>
      </c>
      <c r="R54" s="129"/>
      <c r="S54" s="129"/>
      <c r="T54" s="115">
        <f t="shared" si="5"/>
        <v>128.1</v>
      </c>
      <c r="U54" s="25">
        <f t="shared" si="6"/>
        <v>124.86811926605502</v>
      </c>
      <c r="V54" s="135">
        <v>32.123315888574098</v>
      </c>
      <c r="W54" s="135">
        <v>5.1024615709244898</v>
      </c>
      <c r="X54" s="135">
        <v>18.612888729749301</v>
      </c>
      <c r="Y54" s="135">
        <v>21.817180348407199</v>
      </c>
      <c r="Z54" s="27">
        <f t="shared" si="12"/>
        <v>132.74611398963731</v>
      </c>
      <c r="AA54" s="142">
        <f t="shared" si="13"/>
        <v>153.98549222797928</v>
      </c>
      <c r="AB54" s="143">
        <f t="shared" si="14"/>
        <v>128.7880876550839</v>
      </c>
      <c r="AC54" s="147">
        <v>1816</v>
      </c>
      <c r="AD54" s="148">
        <f t="shared" si="17"/>
        <v>20.929729075955489</v>
      </c>
      <c r="AE54" s="140">
        <f t="shared" si="16"/>
        <v>3.9947858823529416</v>
      </c>
      <c r="AF54" s="149">
        <f t="shared" si="18"/>
        <v>0</v>
      </c>
      <c r="AG54" s="149">
        <v>121.557970194343</v>
      </c>
      <c r="AH54" s="150">
        <v>126.20067451407201</v>
      </c>
      <c r="AI54" s="151">
        <v>0.27283217858188502</v>
      </c>
      <c r="AJ54" s="151">
        <v>134.650763403246</v>
      </c>
      <c r="AK54" s="151">
        <v>126.388739904031</v>
      </c>
      <c r="AL54" s="151"/>
      <c r="AM54" s="151"/>
      <c r="AS54" s="150"/>
      <c r="AT54" s="152">
        <v>-8.6956521739130502E-2</v>
      </c>
      <c r="AU54" s="152">
        <v>-2.73740578551059E-2</v>
      </c>
      <c r="AV54" s="152">
        <v>-0.112017804154302</v>
      </c>
      <c r="AW54" s="152">
        <v>-1.26732217134502E-2</v>
      </c>
      <c r="AX54" s="150"/>
    </row>
    <row r="55" spans="1:50" ht="13">
      <c r="A55">
        <v>1817</v>
      </c>
      <c r="B55" s="9"/>
      <c r="C55" s="204">
        <v>12.89</v>
      </c>
      <c r="D55" s="205">
        <f t="shared" si="15"/>
        <v>9.7981618253321408</v>
      </c>
      <c r="E55" s="144">
        <v>19.46</v>
      </c>
      <c r="F55" s="132">
        <f t="shared" si="8"/>
        <v>94.146105466860178</v>
      </c>
      <c r="G55" s="126">
        <f t="shared" si="7"/>
        <v>77.185628742514979</v>
      </c>
      <c r="H55" s="15">
        <v>119.7</v>
      </c>
      <c r="I55" s="154"/>
      <c r="J55" s="25">
        <f t="shared" si="4"/>
        <v>127.1428057553957</v>
      </c>
      <c r="K55" s="145">
        <v>4.33</v>
      </c>
      <c r="L55" s="144"/>
      <c r="M55" s="146">
        <v>4.5999999999999996</v>
      </c>
      <c r="N55" s="144"/>
      <c r="O55" s="133">
        <f t="shared" si="10"/>
        <v>4.33</v>
      </c>
      <c r="P55" s="134">
        <f t="shared" si="9"/>
        <v>101.88235294117646</v>
      </c>
      <c r="Q55" s="129">
        <v>142.9</v>
      </c>
      <c r="R55" s="129"/>
      <c r="S55" s="129"/>
      <c r="T55" s="115">
        <f t="shared" si="5"/>
        <v>142.9</v>
      </c>
      <c r="U55" s="25">
        <f t="shared" si="6"/>
        <v>140.25981524249423</v>
      </c>
      <c r="V55" s="135">
        <v>41.660983240891902</v>
      </c>
      <c r="W55" s="135">
        <v>20.747372782303401</v>
      </c>
      <c r="X55" s="135">
        <v>31.204178011597602</v>
      </c>
      <c r="Y55" s="135">
        <v>19.7738188957427</v>
      </c>
      <c r="Z55" s="27">
        <f t="shared" si="12"/>
        <v>148.08290155440415</v>
      </c>
      <c r="AA55" s="142">
        <f t="shared" si="13"/>
        <v>151.37363270005756</v>
      </c>
      <c r="AB55" s="143">
        <f t="shared" si="14"/>
        <v>144.66297311203917</v>
      </c>
      <c r="AC55" s="147">
        <v>1817</v>
      </c>
      <c r="AD55" s="148">
        <f t="shared" si="17"/>
        <v>19.441170778906624</v>
      </c>
      <c r="AE55" s="140">
        <f t="shared" si="16"/>
        <v>3.9672988235294118</v>
      </c>
      <c r="AF55" s="149">
        <f t="shared" si="18"/>
        <v>0</v>
      </c>
      <c r="AG55" s="149">
        <v>118.44043803529399</v>
      </c>
      <c r="AH55" s="150">
        <v>125.067527720665</v>
      </c>
      <c r="AI55" s="151">
        <v>0.26064552878542502</v>
      </c>
      <c r="AJ55" s="151">
        <v>127.332788489698</v>
      </c>
      <c r="AK55" s="151">
        <v>132.08392359756101</v>
      </c>
      <c r="AL55" s="151"/>
      <c r="AM55" s="151"/>
      <c r="AS55" s="150"/>
      <c r="AT55" s="152">
        <v>0.11553473848555799</v>
      </c>
      <c r="AU55" s="152">
        <v>-2.9939477933290399E-2</v>
      </c>
      <c r="AV55" s="152">
        <v>0</v>
      </c>
      <c r="AW55" s="152">
        <v>-2.3273793825525E-2</v>
      </c>
      <c r="AX55" s="150"/>
    </row>
    <row r="56" spans="1:50" ht="13">
      <c r="A56">
        <v>1818</v>
      </c>
      <c r="B56" s="9"/>
      <c r="C56" s="204">
        <v>12.33</v>
      </c>
      <c r="D56" s="205">
        <f t="shared" si="15"/>
        <v>9.3724852836575092</v>
      </c>
      <c r="E56" s="144">
        <v>19.39</v>
      </c>
      <c r="F56" s="132">
        <f t="shared" si="8"/>
        <v>93.807450411223982</v>
      </c>
      <c r="G56" s="126">
        <f t="shared" si="7"/>
        <v>73.832335329341319</v>
      </c>
      <c r="H56" s="15">
        <v>116.6</v>
      </c>
      <c r="I56" s="154"/>
      <c r="J56" s="25">
        <f t="shared" si="4"/>
        <v>124.29716348633318</v>
      </c>
      <c r="K56" s="145">
        <v>4.4400000000000004</v>
      </c>
      <c r="L56" s="144"/>
      <c r="M56" s="146">
        <v>4.5</v>
      </c>
      <c r="N56" s="144"/>
      <c r="O56" s="133">
        <f t="shared" si="10"/>
        <v>4.4400000000000004</v>
      </c>
      <c r="P56" s="134">
        <f t="shared" si="9"/>
        <v>104.47058823529413</v>
      </c>
      <c r="Q56" s="129">
        <v>149.80000000000001</v>
      </c>
      <c r="R56" s="129"/>
      <c r="S56" s="129"/>
      <c r="T56" s="115">
        <f t="shared" si="5"/>
        <v>149.80000000000001</v>
      </c>
      <c r="U56" s="25">
        <f t="shared" si="6"/>
        <v>143.38963963963965</v>
      </c>
      <c r="V56" s="135">
        <v>39.298352023509402</v>
      </c>
      <c r="W56" s="135">
        <v>24.160913556525401</v>
      </c>
      <c r="X56" s="135">
        <v>31.729632790017401</v>
      </c>
      <c r="Y56" s="135">
        <v>17.178716168268402</v>
      </c>
      <c r="Z56" s="27">
        <f t="shared" si="12"/>
        <v>155.23316062176167</v>
      </c>
      <c r="AA56" s="142">
        <f t="shared" si="13"/>
        <v>155.23316062176167</v>
      </c>
      <c r="AB56" s="143">
        <f t="shared" si="14"/>
        <v>147.8910516734351</v>
      </c>
      <c r="AC56" s="147">
        <v>1818</v>
      </c>
      <c r="AD56" s="148">
        <f t="shared" si="17"/>
        <v>19.371238509917749</v>
      </c>
      <c r="AE56" s="140">
        <f t="shared" si="16"/>
        <v>4.0680847058823533</v>
      </c>
      <c r="AF56" s="149">
        <f t="shared" si="18"/>
        <v>0</v>
      </c>
      <c r="AG56" s="149">
        <v>114.38927027354499</v>
      </c>
      <c r="AH56" s="150">
        <v>123.612304545979</v>
      </c>
      <c r="AI56" s="151">
        <v>0.11155570627902101</v>
      </c>
      <c r="AJ56" s="151">
        <v>118.02506040665899</v>
      </c>
      <c r="AK56" s="151">
        <v>133.65177134656901</v>
      </c>
      <c r="AL56" s="151"/>
      <c r="AM56" s="151"/>
      <c r="AS56" s="150"/>
      <c r="AT56" s="152">
        <v>4.82855143456963E-2</v>
      </c>
      <c r="AU56" s="152">
        <v>-3.2203929629694102E-2</v>
      </c>
      <c r="AV56" s="152">
        <v>-2.58980785296575E-2</v>
      </c>
      <c r="AW56" s="152">
        <v>-3.2192535909792902E-2</v>
      </c>
      <c r="AX56" s="150"/>
    </row>
    <row r="57" spans="1:50" ht="13">
      <c r="A57">
        <v>1819</v>
      </c>
      <c r="B57" s="9"/>
      <c r="C57" s="204">
        <v>12.33</v>
      </c>
      <c r="D57" s="205">
        <f t="shared" si="15"/>
        <v>9.3724852836575092</v>
      </c>
      <c r="E57" s="144">
        <v>19.39</v>
      </c>
      <c r="F57" s="132">
        <f t="shared" si="8"/>
        <v>93.807450411223982</v>
      </c>
      <c r="G57" s="126">
        <f t="shared" si="7"/>
        <v>73.832335329341319</v>
      </c>
      <c r="H57" s="15">
        <v>99.1</v>
      </c>
      <c r="I57" s="154"/>
      <c r="J57" s="25">
        <f t="shared" si="4"/>
        <v>105.64192882929346</v>
      </c>
      <c r="K57" s="145">
        <v>4.3600000000000003</v>
      </c>
      <c r="L57" s="144"/>
      <c r="M57" s="146">
        <v>4.51</v>
      </c>
      <c r="N57" s="144"/>
      <c r="O57" s="133">
        <f t="shared" si="10"/>
        <v>4.3600000000000003</v>
      </c>
      <c r="P57" s="134">
        <f t="shared" si="9"/>
        <v>102.58823529411767</v>
      </c>
      <c r="Q57" s="129">
        <v>138.4</v>
      </c>
      <c r="R57" s="129"/>
      <c r="S57" s="129"/>
      <c r="T57" s="115">
        <f t="shared" si="5"/>
        <v>138.4</v>
      </c>
      <c r="U57" s="25">
        <f t="shared" si="6"/>
        <v>134.90825688073392</v>
      </c>
      <c r="V57" s="135">
        <v>21.0957045304642</v>
      </c>
      <c r="W57" s="135">
        <v>15.9917491333663</v>
      </c>
      <c r="X57" s="135">
        <v>18.543726831915301</v>
      </c>
      <c r="Y57" s="135">
        <v>14.124666706642101</v>
      </c>
      <c r="Z57" s="27">
        <f t="shared" si="12"/>
        <v>143.41968911917098</v>
      </c>
      <c r="AA57" s="142">
        <f t="shared" si="13"/>
        <v>143.73839953943579</v>
      </c>
      <c r="AB57" s="143">
        <f t="shared" si="14"/>
        <v>139.14341398488378</v>
      </c>
      <c r="AC57" s="147">
        <v>1819</v>
      </c>
      <c r="AD57" s="148">
        <f t="shared" si="17"/>
        <v>19.371238509917749</v>
      </c>
      <c r="AE57" s="140">
        <f t="shared" si="16"/>
        <v>3.9947858823529416</v>
      </c>
      <c r="AF57" s="149">
        <f t="shared" si="18"/>
        <v>0</v>
      </c>
      <c r="AG57" s="149">
        <v>109.72309075851</v>
      </c>
      <c r="AH57" s="150">
        <v>121.72805788732001</v>
      </c>
      <c r="AI57" s="151">
        <v>-3.9444810775714503E-2</v>
      </c>
      <c r="AJ57" s="151">
        <v>107.274619949994</v>
      </c>
      <c r="AK57" s="151">
        <v>129.699777397237</v>
      </c>
      <c r="AL57" s="151"/>
      <c r="AM57" s="151"/>
      <c r="AS57" s="150"/>
      <c r="AT57" s="152">
        <v>-7.6101468624833093E-2</v>
      </c>
      <c r="AU57" s="152">
        <v>-3.3924606804419603E-2</v>
      </c>
      <c r="AV57" s="152">
        <v>-0.15008576329331</v>
      </c>
      <c r="AW57" s="152">
        <v>-3.85335585561387E-2</v>
      </c>
      <c r="AX57" s="150"/>
    </row>
    <row r="58" spans="1:50" ht="13">
      <c r="A58">
        <v>1820</v>
      </c>
      <c r="B58" s="9"/>
      <c r="C58" s="204">
        <v>11.36</v>
      </c>
      <c r="D58" s="205">
        <f t="shared" si="15"/>
        <v>8.6351527025425234</v>
      </c>
      <c r="E58" s="144">
        <v>19.39</v>
      </c>
      <c r="F58" s="132">
        <f t="shared" si="8"/>
        <v>93.807450411223982</v>
      </c>
      <c r="G58" s="126">
        <f t="shared" si="7"/>
        <v>68.023952095808383</v>
      </c>
      <c r="H58" s="15">
        <v>84.1</v>
      </c>
      <c r="I58" s="154"/>
      <c r="J58" s="25">
        <f t="shared" si="4"/>
        <v>89.651727694687992</v>
      </c>
      <c r="K58" s="145">
        <v>4.25</v>
      </c>
      <c r="L58" s="144"/>
      <c r="M58" s="146">
        <v>4.5199999999999996</v>
      </c>
      <c r="N58" s="144"/>
      <c r="O58" s="133">
        <f t="shared" si="10"/>
        <v>4.25</v>
      </c>
      <c r="P58" s="134">
        <f t="shared" si="9"/>
        <v>100</v>
      </c>
      <c r="Q58" s="129">
        <v>124.7</v>
      </c>
      <c r="R58" s="129"/>
      <c r="S58" s="129"/>
      <c r="T58" s="115">
        <f t="shared" si="5"/>
        <v>124.7</v>
      </c>
      <c r="U58" s="25">
        <f t="shared" si="6"/>
        <v>124.7</v>
      </c>
      <c r="V58" s="135">
        <v>5.5433230557940396</v>
      </c>
      <c r="W58" s="135">
        <v>6.1185639131246798</v>
      </c>
      <c r="X58" s="135">
        <v>5.8309434844593602</v>
      </c>
      <c r="Y58" s="135">
        <v>10.849974217739099</v>
      </c>
      <c r="Z58" s="27">
        <f t="shared" si="12"/>
        <v>129.22279792746113</v>
      </c>
      <c r="AA58" s="142">
        <f t="shared" si="13"/>
        <v>129.79712147380539</v>
      </c>
      <c r="AB58" s="143">
        <f t="shared" si="14"/>
        <v>128.61469064309662</v>
      </c>
      <c r="AC58" s="147">
        <v>1820</v>
      </c>
      <c r="AD58" s="148">
        <f t="shared" si="17"/>
        <v>19.371238509917749</v>
      </c>
      <c r="AE58" s="140">
        <f t="shared" si="16"/>
        <v>3.8940000000000001</v>
      </c>
      <c r="AF58" s="149">
        <f t="shared" si="18"/>
        <v>0</v>
      </c>
      <c r="AG58" s="149">
        <v>104.85973063687</v>
      </c>
      <c r="AH58" s="150">
        <v>119.50381759653</v>
      </c>
      <c r="AI58" s="151">
        <v>-2.6782341495263599E-2</v>
      </c>
      <c r="AJ58" s="151">
        <v>97.723487780016896</v>
      </c>
      <c r="AK58" s="151">
        <v>122.021512213557</v>
      </c>
      <c r="AL58" s="151"/>
      <c r="AM58" s="151"/>
      <c r="AS58" s="150"/>
      <c r="AT58" s="152">
        <v>-9.8988439306358394E-2</v>
      </c>
      <c r="AU58" s="152">
        <v>-3.40538088778157E-2</v>
      </c>
      <c r="AV58" s="152">
        <v>-0.151362260343087</v>
      </c>
      <c r="AW58" s="152">
        <v>-4.1338027780645797E-2</v>
      </c>
      <c r="AX58" s="150"/>
    </row>
    <row r="59" spans="1:50" ht="13">
      <c r="A59">
        <v>1821</v>
      </c>
      <c r="B59" s="9"/>
      <c r="C59" s="204">
        <v>10.96</v>
      </c>
      <c r="D59" s="205">
        <f t="shared" si="15"/>
        <v>8.3310980299177864</v>
      </c>
      <c r="E59" s="144">
        <v>19.39</v>
      </c>
      <c r="F59" s="132">
        <f t="shared" si="8"/>
        <v>93.807450411223982</v>
      </c>
      <c r="G59" s="126">
        <f t="shared" si="7"/>
        <v>65.628742514970057</v>
      </c>
      <c r="H59" s="15">
        <v>84.1</v>
      </c>
      <c r="I59" s="154"/>
      <c r="J59" s="25">
        <f t="shared" si="4"/>
        <v>89.651727694687992</v>
      </c>
      <c r="K59" s="145">
        <v>4.25</v>
      </c>
      <c r="L59" s="144"/>
      <c r="M59" s="146">
        <v>4.82</v>
      </c>
      <c r="N59" s="144"/>
      <c r="O59" s="133">
        <f t="shared" si="10"/>
        <v>4.25</v>
      </c>
      <c r="P59" s="134">
        <f t="shared" si="9"/>
        <v>100</v>
      </c>
      <c r="Q59" s="129">
        <v>107.7</v>
      </c>
      <c r="R59" s="129"/>
      <c r="S59" s="129"/>
      <c r="T59" s="115">
        <f t="shared" si="5"/>
        <v>107.7</v>
      </c>
      <c r="U59" s="25">
        <f t="shared" si="6"/>
        <v>107.7</v>
      </c>
      <c r="V59" s="135">
        <v>5.96148989353639</v>
      </c>
      <c r="W59" s="135">
        <v>-10.5199385433777</v>
      </c>
      <c r="X59" s="135">
        <v>-2.2792243249206399</v>
      </c>
      <c r="Y59" s="135">
        <v>7.6371330096874201</v>
      </c>
      <c r="Z59" s="27">
        <f t="shared" si="12"/>
        <v>111.60621761658031</v>
      </c>
      <c r="AA59" s="142">
        <f t="shared" si="13"/>
        <v>119.5426597582038</v>
      </c>
      <c r="AB59" s="143">
        <f t="shared" si="14"/>
        <v>111.08101188661996</v>
      </c>
      <c r="AC59" s="147">
        <v>1821</v>
      </c>
      <c r="AD59" s="148">
        <f t="shared" si="17"/>
        <v>19.371238509917749</v>
      </c>
      <c r="AE59" s="140">
        <f t="shared" si="16"/>
        <v>3.8940000000000001</v>
      </c>
      <c r="AF59" s="149">
        <f t="shared" si="18"/>
        <v>0</v>
      </c>
      <c r="AG59" s="149">
        <v>100.17629014771801</v>
      </c>
      <c r="AH59" s="150">
        <v>117.142132946581</v>
      </c>
      <c r="AI59" s="151">
        <v>-1.45575192588684E-2</v>
      </c>
      <c r="AJ59" s="151">
        <v>91.472144573708107</v>
      </c>
      <c r="AK59" s="151">
        <v>113.537287127109</v>
      </c>
      <c r="AL59" s="151"/>
      <c r="AM59" s="151"/>
      <c r="AS59" s="150"/>
      <c r="AT59" s="152">
        <v>-0.13632718524458701</v>
      </c>
      <c r="AU59" s="152">
        <v>-3.1965603888435203E-2</v>
      </c>
      <c r="AV59" s="152">
        <v>0</v>
      </c>
      <c r="AW59" s="152">
        <v>-4.0762631646769402E-2</v>
      </c>
      <c r="AX59" s="150"/>
    </row>
    <row r="60" spans="1:50" ht="13">
      <c r="A60">
        <v>1822</v>
      </c>
      <c r="B60" s="9"/>
      <c r="C60" s="204">
        <v>11.36</v>
      </c>
      <c r="D60" s="205">
        <f t="shared" si="15"/>
        <v>8.6351527025425234</v>
      </c>
      <c r="E60" s="144">
        <v>19.39</v>
      </c>
      <c r="F60" s="132">
        <f t="shared" si="8"/>
        <v>93.807450411223982</v>
      </c>
      <c r="G60" s="126">
        <f t="shared" si="7"/>
        <v>68.023952095808383</v>
      </c>
      <c r="H60" s="15">
        <v>84.1</v>
      </c>
      <c r="I60" s="154"/>
      <c r="J60" s="25">
        <f t="shared" si="4"/>
        <v>89.651727694687992</v>
      </c>
      <c r="K60" s="145">
        <v>4.24</v>
      </c>
      <c r="L60" s="144"/>
      <c r="M60" s="146">
        <v>4.9800000000000004</v>
      </c>
      <c r="N60" s="144"/>
      <c r="O60" s="133">
        <f t="shared" si="10"/>
        <v>4.24</v>
      </c>
      <c r="P60" s="134">
        <f t="shared" si="9"/>
        <v>99.764705882352942</v>
      </c>
      <c r="Q60" s="129">
        <v>95</v>
      </c>
      <c r="R60" s="129"/>
      <c r="S60" s="129"/>
      <c r="T60" s="115">
        <f t="shared" si="5"/>
        <v>95</v>
      </c>
      <c r="U60" s="25">
        <f t="shared" si="6"/>
        <v>95.22405660377359</v>
      </c>
      <c r="V60" s="135">
        <v>6.3604873377289302</v>
      </c>
      <c r="W60" s="135">
        <v>-22.615035514795998</v>
      </c>
      <c r="X60" s="135">
        <v>-8.1272740885335502</v>
      </c>
      <c r="Y60" s="135">
        <v>4.7184470832822596</v>
      </c>
      <c r="Z60" s="27">
        <f t="shared" si="12"/>
        <v>98.445595854922274</v>
      </c>
      <c r="AA60" s="142">
        <f t="shared" si="13"/>
        <v>108.94645941278065</v>
      </c>
      <c r="AB60" s="143">
        <f t="shared" si="14"/>
        <v>98.21341284583049</v>
      </c>
      <c r="AC60" s="147">
        <v>1822</v>
      </c>
      <c r="AD60" s="148">
        <f t="shared" si="17"/>
        <v>19.371238509917749</v>
      </c>
      <c r="AE60" s="140">
        <f t="shared" si="16"/>
        <v>3.884837647058824</v>
      </c>
      <c r="AF60" s="149">
        <f t="shared" si="18"/>
        <v>0</v>
      </c>
      <c r="AG60" s="149">
        <v>95.897872223780297</v>
      </c>
      <c r="AH60" s="150">
        <v>114.897515034478</v>
      </c>
      <c r="AI60" s="151">
        <v>-3.2995541318843503E-2</v>
      </c>
      <c r="AJ60" s="151">
        <v>87.933241748043301</v>
      </c>
      <c r="AK60" s="151">
        <v>108.06024273161999</v>
      </c>
      <c r="AL60" s="151"/>
      <c r="AM60" s="151"/>
      <c r="AS60" s="150"/>
      <c r="AT60" s="152">
        <v>-0.11792014856081701</v>
      </c>
      <c r="AU60" s="152">
        <v>-2.76834061791165E-2</v>
      </c>
      <c r="AV60" s="152">
        <v>0</v>
      </c>
      <c r="AW60" s="152">
        <v>-3.8064300543588898E-2</v>
      </c>
      <c r="AX60" s="150"/>
    </row>
    <row r="61" spans="1:50" ht="13">
      <c r="A61">
        <v>1823</v>
      </c>
      <c r="B61" s="9"/>
      <c r="C61" s="204">
        <v>10.15</v>
      </c>
      <c r="D61" s="205">
        <f t="shared" si="15"/>
        <v>7.7153873178526942</v>
      </c>
      <c r="E61" s="144">
        <v>19.39</v>
      </c>
      <c r="F61" s="132">
        <f t="shared" si="8"/>
        <v>93.807450411223982</v>
      </c>
      <c r="G61" s="126">
        <f t="shared" si="7"/>
        <v>60.778443113772461</v>
      </c>
      <c r="H61" s="15">
        <v>81.599999999999994</v>
      </c>
      <c r="I61" s="154"/>
      <c r="J61" s="25">
        <f t="shared" si="4"/>
        <v>86.986694172253749</v>
      </c>
      <c r="K61" s="145">
        <v>4.2300000000000004</v>
      </c>
      <c r="L61" s="144"/>
      <c r="M61" s="146">
        <v>4.8</v>
      </c>
      <c r="N61" s="144"/>
      <c r="O61" s="133">
        <f t="shared" si="10"/>
        <v>4.2300000000000004</v>
      </c>
      <c r="P61" s="134">
        <f t="shared" si="9"/>
        <v>99.529411764705898</v>
      </c>
      <c r="Q61" s="129">
        <v>105.4</v>
      </c>
      <c r="R61" s="129"/>
      <c r="S61" s="129"/>
      <c r="T61" s="115">
        <f t="shared" si="5"/>
        <v>105.4</v>
      </c>
      <c r="U61" s="25">
        <f t="shared" si="6"/>
        <v>105.89834515366428</v>
      </c>
      <c r="V61" s="135">
        <v>4.0805976824092403</v>
      </c>
      <c r="W61" s="135">
        <v>-11.527985119262601</v>
      </c>
      <c r="X61" s="135">
        <v>-3.7236937184266599</v>
      </c>
      <c r="Y61" s="135">
        <v>2.2270568659727599</v>
      </c>
      <c r="Z61" s="27">
        <f t="shared" si="12"/>
        <v>109.22279792746114</v>
      </c>
      <c r="AA61" s="142">
        <f t="shared" si="13"/>
        <v>116.50431778929189</v>
      </c>
      <c r="AB61" s="143">
        <f t="shared" si="14"/>
        <v>109.22279792746114</v>
      </c>
      <c r="AC61" s="147">
        <v>1823</v>
      </c>
      <c r="AD61" s="148">
        <f t="shared" si="17"/>
        <v>19.371238509917749</v>
      </c>
      <c r="AE61" s="140">
        <f t="shared" si="16"/>
        <v>3.8756752941176478</v>
      </c>
      <c r="AF61" s="149">
        <f t="shared" si="18"/>
        <v>0</v>
      </c>
      <c r="AG61" s="149">
        <v>92.144416896305401</v>
      </c>
      <c r="AH61" s="150">
        <v>112.93005362776201</v>
      </c>
      <c r="AI61" s="151">
        <v>-6.9302612005182604E-2</v>
      </c>
      <c r="AJ61" s="151">
        <v>85.915382528762095</v>
      </c>
      <c r="AK61" s="151">
        <v>107.457757245113</v>
      </c>
      <c r="AL61" s="151"/>
      <c r="AM61" s="151"/>
      <c r="AS61" s="150"/>
      <c r="AT61" s="152">
        <v>0.109473684210526</v>
      </c>
      <c r="AU61" s="152">
        <v>-2.2274245906259298E-2</v>
      </c>
      <c r="AV61" s="152">
        <v>-2.9726516052318599E-2</v>
      </c>
      <c r="AW61" s="152">
        <v>-3.40923385437161E-2</v>
      </c>
      <c r="AX61" s="150"/>
    </row>
    <row r="62" spans="1:50" ht="13">
      <c r="A62">
        <v>1824</v>
      </c>
      <c r="B62" s="9"/>
      <c r="C62" s="204">
        <v>9.35</v>
      </c>
      <c r="D62" s="205">
        <f t="shared" si="15"/>
        <v>7.1072779726032209</v>
      </c>
      <c r="E62" s="144">
        <v>19.39</v>
      </c>
      <c r="F62" s="132">
        <f t="shared" si="8"/>
        <v>93.807450411223982</v>
      </c>
      <c r="G62" s="126">
        <f t="shared" si="7"/>
        <v>55.988023952095809</v>
      </c>
      <c r="H62" s="15">
        <v>77.8</v>
      </c>
      <c r="I62" s="154"/>
      <c r="J62" s="25">
        <f t="shared" si="4"/>
        <v>82.935843218153707</v>
      </c>
      <c r="K62" s="145">
        <v>4.2300000000000004</v>
      </c>
      <c r="L62" s="144"/>
      <c r="M62" s="146">
        <v>4.87</v>
      </c>
      <c r="N62" s="144"/>
      <c r="O62" s="133">
        <f t="shared" si="10"/>
        <v>4.2300000000000004</v>
      </c>
      <c r="P62" s="134">
        <f t="shared" si="9"/>
        <v>99.529411764705898</v>
      </c>
      <c r="Q62" s="129">
        <v>110.1</v>
      </c>
      <c r="R62" s="129"/>
      <c r="S62" s="129"/>
      <c r="T62" s="115">
        <f t="shared" si="5"/>
        <v>110.1</v>
      </c>
      <c r="U62" s="25">
        <f t="shared" si="6"/>
        <v>110.62056737588651</v>
      </c>
      <c r="V62" s="135">
        <v>0.392103221615068</v>
      </c>
      <c r="W62" s="135">
        <v>-6.3800263143865603</v>
      </c>
      <c r="X62" s="135">
        <v>-2.9939615463857501</v>
      </c>
      <c r="Y62" s="135">
        <v>0.16764557348990899</v>
      </c>
      <c r="Z62" s="27">
        <f t="shared" si="12"/>
        <v>114.09326424870466</v>
      </c>
      <c r="AA62" s="142">
        <f t="shared" si="13"/>
        <v>123.47426597582037</v>
      </c>
      <c r="AB62" s="143">
        <f t="shared" si="14"/>
        <v>114.09326424870466</v>
      </c>
      <c r="AC62" s="147">
        <v>1824</v>
      </c>
      <c r="AD62" s="148">
        <f t="shared" si="17"/>
        <v>19.371238509917749</v>
      </c>
      <c r="AE62" s="140">
        <f t="shared" si="16"/>
        <v>3.8756752941176478</v>
      </c>
      <c r="AF62" s="149">
        <f t="shared" si="18"/>
        <v>0</v>
      </c>
      <c r="AG62" s="149">
        <v>88.973485474304297</v>
      </c>
      <c r="AH62" s="150">
        <v>111.206563343626</v>
      </c>
      <c r="AI62" s="151">
        <v>-1.0676784466558901E-2</v>
      </c>
      <c r="AJ62" s="151">
        <v>84.802756225589505</v>
      </c>
      <c r="AK62" s="151">
        <v>109.433794641739</v>
      </c>
      <c r="AL62" s="151"/>
      <c r="AM62" s="151"/>
      <c r="AS62" s="150"/>
      <c r="AT62" s="152">
        <v>4.45920303605312E-2</v>
      </c>
      <c r="AU62" s="152">
        <v>-1.77075206500803E-2</v>
      </c>
      <c r="AV62" s="152">
        <v>-4.6568627450980303E-2</v>
      </c>
      <c r="AW62" s="152">
        <v>-2.9315406714326898E-2</v>
      </c>
      <c r="AX62" s="150"/>
    </row>
    <row r="63" spans="1:50" ht="13">
      <c r="A63">
        <v>1825</v>
      </c>
      <c r="B63" s="9"/>
      <c r="C63" s="204">
        <v>9.59</v>
      </c>
      <c r="D63" s="205">
        <f t="shared" si="15"/>
        <v>7.2897107761780626</v>
      </c>
      <c r="E63" s="144">
        <v>19.39</v>
      </c>
      <c r="F63" s="132">
        <f t="shared" si="8"/>
        <v>93.807450411223982</v>
      </c>
      <c r="G63" s="126">
        <f t="shared" si="7"/>
        <v>57.425149700598801</v>
      </c>
      <c r="H63" s="15">
        <v>81.599999999999994</v>
      </c>
      <c r="I63" s="154"/>
      <c r="J63" s="25">
        <f t="shared" si="4"/>
        <v>86.986694172253749</v>
      </c>
      <c r="K63" s="145">
        <v>4.24</v>
      </c>
      <c r="L63" s="144"/>
      <c r="M63" s="146">
        <v>4.83</v>
      </c>
      <c r="N63" s="144"/>
      <c r="O63" s="133">
        <f t="shared" si="10"/>
        <v>4.24</v>
      </c>
      <c r="P63" s="134">
        <f t="shared" si="9"/>
        <v>99.764705882352942</v>
      </c>
      <c r="Q63" s="129">
        <v>122.1</v>
      </c>
      <c r="R63" s="129"/>
      <c r="S63" s="129"/>
      <c r="T63" s="115">
        <f t="shared" si="5"/>
        <v>122.1</v>
      </c>
      <c r="U63" s="25">
        <f t="shared" si="6"/>
        <v>122.3879716981132</v>
      </c>
      <c r="V63" s="135">
        <v>4.7852862493839101</v>
      </c>
      <c r="W63" s="135">
        <v>5.8376211027458096</v>
      </c>
      <c r="X63" s="135">
        <v>5.3114536760648603</v>
      </c>
      <c r="Y63" s="135">
        <v>-1.5146110842793199</v>
      </c>
      <c r="Z63" s="27">
        <f t="shared" si="12"/>
        <v>126.52849740932642</v>
      </c>
      <c r="AA63" s="142">
        <f t="shared" si="13"/>
        <v>135.80725388601036</v>
      </c>
      <c r="AB63" s="143">
        <f t="shared" si="14"/>
        <v>126.23008114185161</v>
      </c>
      <c r="AC63" s="147">
        <v>1825</v>
      </c>
      <c r="AD63" s="148">
        <f t="shared" si="17"/>
        <v>19.371238509917749</v>
      </c>
      <c r="AE63" s="140">
        <f t="shared" si="16"/>
        <v>3.884837647058824</v>
      </c>
      <c r="AF63" s="149">
        <f t="shared" si="18"/>
        <v>0</v>
      </c>
      <c r="AG63" s="149">
        <v>86.391095097824305</v>
      </c>
      <c r="AH63" s="150">
        <v>109.624958262989</v>
      </c>
      <c r="AI63" s="151">
        <v>-3.8812504325750001E-2</v>
      </c>
      <c r="AJ63" s="151">
        <v>84.337757971996794</v>
      </c>
      <c r="AK63" s="151">
        <v>111.21973314727801</v>
      </c>
      <c r="AL63" s="155">
        <v>112</v>
      </c>
      <c r="AM63" s="155">
        <v>84</v>
      </c>
      <c r="AS63" s="150"/>
      <c r="AT63" s="152">
        <v>0.108991825613079</v>
      </c>
      <c r="AU63" s="152">
        <v>-1.46351486896286E-2</v>
      </c>
      <c r="AV63" s="152">
        <v>4.8843187660668301E-2</v>
      </c>
      <c r="AW63" s="152">
        <v>-2.4158507897683298E-2</v>
      </c>
      <c r="AX63" s="150"/>
    </row>
    <row r="64" spans="1:50" ht="13">
      <c r="A64">
        <v>1826</v>
      </c>
      <c r="B64" s="9"/>
      <c r="C64" s="204">
        <v>9.59</v>
      </c>
      <c r="D64" s="205">
        <f t="shared" si="15"/>
        <v>7.2897107761780626</v>
      </c>
      <c r="E64" s="144">
        <v>19.39</v>
      </c>
      <c r="F64" s="132">
        <f t="shared" si="8"/>
        <v>93.807450411223982</v>
      </c>
      <c r="G64" s="126">
        <f t="shared" si="7"/>
        <v>57.425149700598801</v>
      </c>
      <c r="H64" s="15">
        <v>78.5</v>
      </c>
      <c r="I64" s="154"/>
      <c r="J64" s="25">
        <f t="shared" si="4"/>
        <v>83.682052604435285</v>
      </c>
      <c r="K64" s="145">
        <v>4.2300000000000004</v>
      </c>
      <c r="L64" s="144"/>
      <c r="M64" s="146">
        <v>4.92</v>
      </c>
      <c r="N64" s="144"/>
      <c r="O64" s="133">
        <f t="shared" si="10"/>
        <v>4.2300000000000004</v>
      </c>
      <c r="P64" s="134">
        <f t="shared" si="9"/>
        <v>99.529411764705898</v>
      </c>
      <c r="Q64" s="129">
        <v>108</v>
      </c>
      <c r="R64" s="129"/>
      <c r="S64" s="129"/>
      <c r="T64" s="115">
        <f t="shared" si="5"/>
        <v>108</v>
      </c>
      <c r="U64" s="25">
        <f t="shared" si="6"/>
        <v>108.51063829787232</v>
      </c>
      <c r="V64" s="135">
        <v>1.80042905975352</v>
      </c>
      <c r="W64" s="135">
        <v>-7.5762435044286596</v>
      </c>
      <c r="X64" s="135">
        <v>-2.8879072223375699</v>
      </c>
      <c r="Y64" s="135">
        <v>-2.9061534686466999</v>
      </c>
      <c r="Z64" s="27">
        <f t="shared" si="12"/>
        <v>111.91709844559585</v>
      </c>
      <c r="AA64" s="142">
        <f t="shared" si="13"/>
        <v>122.36269430051813</v>
      </c>
      <c r="AB64" s="143">
        <f t="shared" si="14"/>
        <v>111.91709844559585</v>
      </c>
      <c r="AC64" s="147">
        <v>1826</v>
      </c>
      <c r="AD64" s="148">
        <f t="shared" si="17"/>
        <v>19.371238509917749</v>
      </c>
      <c r="AE64" s="140">
        <f t="shared" si="16"/>
        <v>3.8756752941176478</v>
      </c>
      <c r="AF64" s="149">
        <f t="shared" si="18"/>
        <v>0</v>
      </c>
      <c r="AG64" s="149">
        <v>84.342928052170294</v>
      </c>
      <c r="AH64" s="150">
        <v>108.078686833332</v>
      </c>
      <c r="AI64" s="151">
        <v>-3.7682379203225903E-2</v>
      </c>
      <c r="AJ64" s="151">
        <v>83.641864159591705</v>
      </c>
      <c r="AK64" s="151">
        <v>110.489019440265</v>
      </c>
      <c r="AL64" s="156"/>
      <c r="AM64" s="156"/>
      <c r="AS64" s="150"/>
      <c r="AT64" s="152">
        <v>-0.115479115479115</v>
      </c>
      <c r="AU64" s="152">
        <v>-1.30860527938468E-2</v>
      </c>
      <c r="AV64" s="152">
        <v>-3.79901960784313E-2</v>
      </c>
      <c r="AW64" s="152">
        <v>-1.9219177143413799E-2</v>
      </c>
      <c r="AX64" s="150"/>
    </row>
    <row r="65" spans="1:50" ht="13">
      <c r="A65">
        <v>1827</v>
      </c>
      <c r="B65" s="9"/>
      <c r="C65" s="204">
        <v>9.67</v>
      </c>
      <c r="D65" s="205">
        <f t="shared" si="15"/>
        <v>7.3505217107030099</v>
      </c>
      <c r="E65" s="144">
        <v>19.39</v>
      </c>
      <c r="F65" s="132">
        <f t="shared" si="8"/>
        <v>93.807450411223982</v>
      </c>
      <c r="G65" s="126">
        <f t="shared" si="7"/>
        <v>57.904191616766468</v>
      </c>
      <c r="H65" s="15">
        <v>77.8</v>
      </c>
      <c r="I65" s="154"/>
      <c r="J65" s="25">
        <f t="shared" si="4"/>
        <v>82.935843218153707</v>
      </c>
      <c r="K65" s="145">
        <v>4.2300000000000004</v>
      </c>
      <c r="L65" s="144"/>
      <c r="M65" s="146">
        <v>4.9400000000000004</v>
      </c>
      <c r="N65" s="144"/>
      <c r="O65" s="133">
        <f t="shared" si="10"/>
        <v>4.2300000000000004</v>
      </c>
      <c r="P65" s="134">
        <f t="shared" si="9"/>
        <v>99.529411764705898</v>
      </c>
      <c r="Q65" s="129">
        <v>107.3</v>
      </c>
      <c r="R65" s="129"/>
      <c r="S65" s="129"/>
      <c r="T65" s="115">
        <f t="shared" si="5"/>
        <v>107.3</v>
      </c>
      <c r="U65" s="25">
        <f t="shared" si="6"/>
        <v>107.80732860520092</v>
      </c>
      <c r="V65" s="135">
        <v>1.3678139467613799</v>
      </c>
      <c r="W65" s="135">
        <v>-7.7928016119501597</v>
      </c>
      <c r="X65" s="135">
        <v>-3.2124938325943901</v>
      </c>
      <c r="Y65" s="135">
        <v>-4.0251612933205596</v>
      </c>
      <c r="Z65" s="27">
        <f t="shared" si="12"/>
        <v>111.19170984455958</v>
      </c>
      <c r="AA65" s="142">
        <f t="shared" si="13"/>
        <v>122.0637881404721</v>
      </c>
      <c r="AB65" s="143">
        <f t="shared" si="14"/>
        <v>111.19170984455958</v>
      </c>
      <c r="AC65" s="147">
        <v>1827</v>
      </c>
      <c r="AD65" s="148">
        <f t="shared" si="17"/>
        <v>19.371238509917749</v>
      </c>
      <c r="AE65" s="140">
        <f t="shared" si="16"/>
        <v>3.8756752941176478</v>
      </c>
      <c r="AF65" s="149">
        <f t="shared" si="18"/>
        <v>0</v>
      </c>
      <c r="AG65" s="149">
        <v>82.780655671668498</v>
      </c>
      <c r="AH65" s="150">
        <v>106.58834791950601</v>
      </c>
      <c r="AI65" s="151">
        <v>-3.9591767907071397E-2</v>
      </c>
      <c r="AJ65" s="151">
        <v>82.720631855983399</v>
      </c>
      <c r="AK65" s="151">
        <v>108.621855816805</v>
      </c>
      <c r="AL65" s="156"/>
      <c r="AM65" s="156"/>
      <c r="AS65" s="150"/>
      <c r="AT65" s="152">
        <v>-6.4814814814815004E-3</v>
      </c>
      <c r="AU65" s="152">
        <v>-1.1852885988650899E-2</v>
      </c>
      <c r="AV65" s="152">
        <v>-8.9171974522293303E-3</v>
      </c>
      <c r="AW65" s="152">
        <v>-1.4364932545563199E-2</v>
      </c>
      <c r="AX65" s="150"/>
    </row>
    <row r="66" spans="1:50" ht="13">
      <c r="A66">
        <v>1828</v>
      </c>
      <c r="B66" s="9"/>
      <c r="C66" s="204">
        <v>9.19</v>
      </c>
      <c r="D66" s="205">
        <f t="shared" si="15"/>
        <v>6.9856561035533264</v>
      </c>
      <c r="E66" s="144">
        <v>19.39</v>
      </c>
      <c r="F66" s="132">
        <f t="shared" si="8"/>
        <v>93.807450411223982</v>
      </c>
      <c r="G66" s="126">
        <f t="shared" si="7"/>
        <v>55.029940119760482</v>
      </c>
      <c r="H66" s="15">
        <v>76.900000000000006</v>
      </c>
      <c r="I66" s="154"/>
      <c r="J66" s="25">
        <f t="shared" si="4"/>
        <v>81.976431150077374</v>
      </c>
      <c r="K66" s="145">
        <v>4.2300000000000004</v>
      </c>
      <c r="L66" s="144"/>
      <c r="M66" s="146">
        <v>4.93</v>
      </c>
      <c r="N66" s="144"/>
      <c r="O66" s="133">
        <f t="shared" si="10"/>
        <v>4.2300000000000004</v>
      </c>
      <c r="P66" s="134">
        <f t="shared" si="9"/>
        <v>99.529411764705898</v>
      </c>
      <c r="Q66" s="129">
        <v>104.1</v>
      </c>
      <c r="R66" s="129"/>
      <c r="S66" s="129"/>
      <c r="T66" s="115">
        <f t="shared" si="5"/>
        <v>104.1</v>
      </c>
      <c r="U66" s="25">
        <f t="shared" si="6"/>
        <v>104.59219858156027</v>
      </c>
      <c r="V66" s="135">
        <v>0.69772320444522296</v>
      </c>
      <c r="W66" s="135">
        <v>-10.513215535335799</v>
      </c>
      <c r="X66" s="135">
        <v>-4.9077461654452996</v>
      </c>
      <c r="Y66" s="135">
        <v>-4.8896318095461302</v>
      </c>
      <c r="Z66" s="27">
        <f t="shared" si="12"/>
        <v>107.87564766839378</v>
      </c>
      <c r="AA66" s="142">
        <f t="shared" si="13"/>
        <v>118.18376511226251</v>
      </c>
      <c r="AB66" s="143">
        <f t="shared" si="14"/>
        <v>107.87564766839378</v>
      </c>
      <c r="AC66" s="147">
        <v>1828</v>
      </c>
      <c r="AD66" s="148">
        <f t="shared" si="17"/>
        <v>19.371238509917749</v>
      </c>
      <c r="AE66" s="140">
        <f t="shared" si="16"/>
        <v>3.8756752941176478</v>
      </c>
      <c r="AF66" s="149">
        <f t="shared" si="18"/>
        <v>0</v>
      </c>
      <c r="AG66" s="149">
        <v>81.649420010123606</v>
      </c>
      <c r="AH66" s="150">
        <v>105.18025351802901</v>
      </c>
      <c r="AI66" s="151">
        <v>-3.9319638588225403E-2</v>
      </c>
      <c r="AJ66" s="151">
        <v>81.595663408916707</v>
      </c>
      <c r="AK66" s="151">
        <v>106.385438092919</v>
      </c>
      <c r="AL66" s="156"/>
      <c r="AM66" s="156"/>
      <c r="AS66" s="150"/>
      <c r="AT66" s="152">
        <v>-2.9822926374650501E-2</v>
      </c>
      <c r="AU66" s="152">
        <v>-1.0752231926809E-2</v>
      </c>
      <c r="AV66" s="152">
        <v>-1.1568123393315999E-2</v>
      </c>
      <c r="AW66" s="152">
        <v>-9.6510023875267092E-3</v>
      </c>
      <c r="AX66" s="150"/>
    </row>
    <row r="67" spans="1:50" ht="13">
      <c r="A67">
        <v>1829</v>
      </c>
      <c r="B67" s="9"/>
      <c r="C67" s="204">
        <v>9.02</v>
      </c>
      <c r="D67" s="205">
        <f t="shared" si="15"/>
        <v>6.856432867687813</v>
      </c>
      <c r="E67" s="144">
        <v>19.39</v>
      </c>
      <c r="F67" s="132">
        <f t="shared" si="8"/>
        <v>93.807450411223982</v>
      </c>
      <c r="G67" s="126">
        <f t="shared" si="7"/>
        <v>54.011976047904191</v>
      </c>
      <c r="H67" s="15">
        <v>76.2</v>
      </c>
      <c r="I67" s="154"/>
      <c r="J67" s="25">
        <f t="shared" si="4"/>
        <v>81.230221763795782</v>
      </c>
      <c r="K67" s="145">
        <v>4.24</v>
      </c>
      <c r="L67" s="144"/>
      <c r="M67" s="146">
        <v>4.8600000000000003</v>
      </c>
      <c r="N67" s="144"/>
      <c r="O67" s="133">
        <f t="shared" si="10"/>
        <v>4.24</v>
      </c>
      <c r="P67" s="134">
        <f t="shared" si="9"/>
        <v>99.764705882352942</v>
      </c>
      <c r="Q67" s="129">
        <v>103.5</v>
      </c>
      <c r="R67" s="129"/>
      <c r="S67" s="129"/>
      <c r="T67" s="115">
        <f t="shared" si="5"/>
        <v>103.5</v>
      </c>
      <c r="U67" s="25">
        <f t="shared" si="6"/>
        <v>103.74410377358491</v>
      </c>
      <c r="V67" s="135">
        <v>0.22043912684258901</v>
      </c>
      <c r="W67" s="135">
        <v>-10.848628429579801</v>
      </c>
      <c r="X67" s="135">
        <v>-5.31409465136863</v>
      </c>
      <c r="Y67" s="135">
        <v>-5.5094355939613999</v>
      </c>
      <c r="Z67" s="27">
        <f t="shared" si="12"/>
        <v>107.25388601036269</v>
      </c>
      <c r="AA67" s="142">
        <f t="shared" si="13"/>
        <v>115.83419689119171</v>
      </c>
      <c r="AB67" s="143">
        <f t="shared" si="14"/>
        <v>107.00092873203637</v>
      </c>
      <c r="AC67" s="147">
        <v>1829</v>
      </c>
      <c r="AD67" s="148">
        <f t="shared" si="17"/>
        <v>19.371238509917749</v>
      </c>
      <c r="AE67" s="140">
        <f t="shared" si="16"/>
        <v>3.884837647058824</v>
      </c>
      <c r="AF67" s="149">
        <f t="shared" si="18"/>
        <v>0</v>
      </c>
      <c r="AG67" s="149">
        <v>80.895956564623503</v>
      </c>
      <c r="AH67" s="150">
        <v>103.894332146224</v>
      </c>
      <c r="AI67" s="151">
        <v>-8.4358603471142504E-2</v>
      </c>
      <c r="AJ67" s="151">
        <v>80.361683880809196</v>
      </c>
      <c r="AK67" s="151">
        <v>104.32301014569001</v>
      </c>
      <c r="AL67" s="156"/>
      <c r="AM67" s="156"/>
      <c r="AS67" s="150"/>
      <c r="AT67" s="152">
        <v>-5.7636887608068597E-3</v>
      </c>
      <c r="AU67" s="152">
        <v>-9.5469602160181202E-3</v>
      </c>
      <c r="AV67" s="152">
        <v>-9.1027308192458099E-3</v>
      </c>
      <c r="AW67" s="152">
        <v>-5.07813760176609E-3</v>
      </c>
      <c r="AX67" s="150"/>
    </row>
    <row r="68" spans="1:50" ht="13">
      <c r="A68">
        <v>1830</v>
      </c>
      <c r="B68" s="9"/>
      <c r="C68" s="204">
        <v>8.94</v>
      </c>
      <c r="D68" s="205">
        <f t="shared" si="15"/>
        <v>6.7956219331628658</v>
      </c>
      <c r="E68" s="144">
        <v>19.39</v>
      </c>
      <c r="F68" s="132">
        <f t="shared" si="8"/>
        <v>93.807450411223982</v>
      </c>
      <c r="G68" s="126">
        <f t="shared" si="7"/>
        <v>53.532934131736532</v>
      </c>
      <c r="H68" s="15">
        <v>72.2</v>
      </c>
      <c r="I68" s="154"/>
      <c r="J68" s="25">
        <f t="shared" si="4"/>
        <v>76.966168127900985</v>
      </c>
      <c r="K68" s="145">
        <v>4.24</v>
      </c>
      <c r="L68" s="144"/>
      <c r="M68" s="146">
        <v>4.76</v>
      </c>
      <c r="N68" s="144"/>
      <c r="O68" s="133">
        <f t="shared" si="10"/>
        <v>4.24</v>
      </c>
      <c r="P68" s="134">
        <f t="shared" si="9"/>
        <v>99.764705882352942</v>
      </c>
      <c r="Q68" s="129">
        <v>102.1</v>
      </c>
      <c r="R68" s="129"/>
      <c r="S68" s="129"/>
      <c r="T68" s="115">
        <f t="shared" si="5"/>
        <v>102.1</v>
      </c>
      <c r="U68" s="25">
        <f t="shared" si="6"/>
        <v>102.34080188679245</v>
      </c>
      <c r="V68" s="135">
        <v>-3.7837559920088402</v>
      </c>
      <c r="W68" s="135">
        <v>-11.720164289153301</v>
      </c>
      <c r="X68" s="135">
        <v>-7.7519601405810699</v>
      </c>
      <c r="Y68" s="135">
        <v>-5.8946243667633302</v>
      </c>
      <c r="Z68" s="27">
        <f t="shared" si="12"/>
        <v>105.80310880829016</v>
      </c>
      <c r="AA68" s="142">
        <f t="shared" si="13"/>
        <v>111.91617731721358</v>
      </c>
      <c r="AB68" s="143">
        <f t="shared" si="14"/>
        <v>105.55357317430835</v>
      </c>
      <c r="AC68" s="147">
        <v>1830</v>
      </c>
      <c r="AD68" s="148">
        <f t="shared" si="17"/>
        <v>19.371238509917749</v>
      </c>
      <c r="AE68" s="140">
        <f t="shared" si="16"/>
        <v>3.884837647058824</v>
      </c>
      <c r="AF68" s="149">
        <f t="shared" si="18"/>
        <v>0</v>
      </c>
      <c r="AG68" s="149">
        <v>80.470306632155001</v>
      </c>
      <c r="AH68" s="150">
        <v>102.766009786233</v>
      </c>
      <c r="AI68" s="151">
        <v>-4.5711298527015498E-2</v>
      </c>
      <c r="AJ68" s="151">
        <v>79.241530531105795</v>
      </c>
      <c r="AK68" s="151">
        <v>102.42600315456301</v>
      </c>
      <c r="AL68" s="156"/>
      <c r="AM68" s="156"/>
      <c r="AS68" s="150"/>
      <c r="AT68" s="152">
        <v>-1.35265700483092E-2</v>
      </c>
      <c r="AU68" s="152">
        <v>-8.1906474084532006E-3</v>
      </c>
      <c r="AV68" s="152">
        <v>-5.2493438320209897E-2</v>
      </c>
      <c r="AW68" s="152">
        <v>-6.6626033080102796E-4</v>
      </c>
      <c r="AX68" s="150"/>
    </row>
    <row r="69" spans="1:50" ht="13">
      <c r="A69">
        <v>1831</v>
      </c>
      <c r="B69" s="9"/>
      <c r="C69" s="204">
        <v>8.3800000000000008</v>
      </c>
      <c r="D69" s="205">
        <f t="shared" si="15"/>
        <v>6.3699453914882351</v>
      </c>
      <c r="E69" s="144">
        <v>19.39</v>
      </c>
      <c r="F69" s="132">
        <f t="shared" si="8"/>
        <v>93.807450411223982</v>
      </c>
      <c r="G69" s="126">
        <f t="shared" si="7"/>
        <v>50.179640718562887</v>
      </c>
      <c r="H69" s="15">
        <v>74.400000000000006</v>
      </c>
      <c r="I69" s="154"/>
      <c r="J69" s="25">
        <f t="shared" si="4"/>
        <v>79.311397627643132</v>
      </c>
      <c r="K69" s="145">
        <v>4.25</v>
      </c>
      <c r="L69" s="144"/>
      <c r="M69" s="146">
        <v>4.8600000000000003</v>
      </c>
      <c r="N69" s="144"/>
      <c r="O69" s="133">
        <f t="shared" si="10"/>
        <v>4.25</v>
      </c>
      <c r="P69" s="134">
        <f t="shared" si="9"/>
        <v>100</v>
      </c>
      <c r="Q69" s="129">
        <v>102.9</v>
      </c>
      <c r="R69" s="129"/>
      <c r="S69" s="129"/>
      <c r="T69" s="115">
        <f t="shared" si="5"/>
        <v>102.9</v>
      </c>
      <c r="U69" s="25">
        <f t="shared" si="6"/>
        <v>102.9</v>
      </c>
      <c r="V69" s="135">
        <v>-1.20457985807143</v>
      </c>
      <c r="W69" s="135">
        <v>-10.6189279480043</v>
      </c>
      <c r="X69" s="135">
        <v>-5.9117539030378801</v>
      </c>
      <c r="Y69" s="135">
        <v>-6.0532964387229899</v>
      </c>
      <c r="Z69" s="27">
        <f t="shared" si="12"/>
        <v>106.6321243523316</v>
      </c>
      <c r="AA69" s="142">
        <f t="shared" si="13"/>
        <v>115.16269430051814</v>
      </c>
      <c r="AB69" s="143">
        <f t="shared" si="14"/>
        <v>106.13032612008536</v>
      </c>
      <c r="AC69" s="147">
        <v>1831</v>
      </c>
      <c r="AD69" s="148">
        <f t="shared" si="17"/>
        <v>19.371238509917749</v>
      </c>
      <c r="AE69" s="140">
        <f t="shared" si="16"/>
        <v>3.8940000000000001</v>
      </c>
      <c r="AF69" s="149">
        <f t="shared" si="18"/>
        <v>0</v>
      </c>
      <c r="AG69" s="149">
        <v>80.325951944058602</v>
      </c>
      <c r="AH69" s="150">
        <v>101.828869098737</v>
      </c>
      <c r="AI69" s="151">
        <v>-2.5482268900466998E-2</v>
      </c>
      <c r="AJ69" s="151">
        <v>78.7508126589819</v>
      </c>
      <c r="AK69" s="151">
        <v>100.481511583752</v>
      </c>
      <c r="AL69" s="156"/>
      <c r="AM69" s="156"/>
      <c r="AS69" s="150"/>
      <c r="AT69" s="152">
        <v>7.8354554358473199E-3</v>
      </c>
      <c r="AU69" s="152">
        <v>-6.5990373417373202E-3</v>
      </c>
      <c r="AV69" s="152">
        <v>3.0470914127423799E-2</v>
      </c>
      <c r="AW69" s="152">
        <v>3.5244613506739998E-3</v>
      </c>
      <c r="AX69" s="150"/>
    </row>
    <row r="70" spans="1:50" ht="13">
      <c r="A70">
        <v>1832</v>
      </c>
      <c r="B70" s="9"/>
      <c r="C70" s="204">
        <v>8.3000000000000007</v>
      </c>
      <c r="D70" s="205">
        <f t="shared" si="15"/>
        <v>6.3091344569632879</v>
      </c>
      <c r="E70" s="144">
        <v>19.39</v>
      </c>
      <c r="F70" s="132">
        <f t="shared" si="8"/>
        <v>93.807450411223982</v>
      </c>
      <c r="G70" s="126">
        <f t="shared" si="7"/>
        <v>49.70059880239522</v>
      </c>
      <c r="H70" s="15">
        <v>75.3</v>
      </c>
      <c r="I70" s="154"/>
      <c r="J70" s="25">
        <f t="shared" si="4"/>
        <v>80.27080969571945</v>
      </c>
      <c r="K70" s="145">
        <v>4.24</v>
      </c>
      <c r="L70" s="144"/>
      <c r="M70" s="146">
        <v>4.8600000000000003</v>
      </c>
      <c r="N70" s="144"/>
      <c r="O70" s="133">
        <f t="shared" si="10"/>
        <v>4.24</v>
      </c>
      <c r="P70" s="134">
        <f t="shared" si="9"/>
        <v>99.764705882352942</v>
      </c>
      <c r="Q70" s="129">
        <v>98.8</v>
      </c>
      <c r="R70" s="129"/>
      <c r="S70" s="129"/>
      <c r="T70" s="115">
        <f t="shared" si="5"/>
        <v>98.8</v>
      </c>
      <c r="U70" s="25">
        <f t="shared" si="6"/>
        <v>99.033018867924525</v>
      </c>
      <c r="V70" s="135">
        <v>-2.1750177307588998E-2</v>
      </c>
      <c r="W70" s="135">
        <v>-13.9360050795581</v>
      </c>
      <c r="X70" s="135">
        <v>-6.97887762843283</v>
      </c>
      <c r="Y70" s="135">
        <v>-6.0121234783495998</v>
      </c>
      <c r="Z70" s="27">
        <f t="shared" si="12"/>
        <v>102.38341968911917</v>
      </c>
      <c r="AA70" s="142">
        <f t="shared" si="13"/>
        <v>110.5740932642487</v>
      </c>
      <c r="AB70" s="143">
        <f t="shared" si="14"/>
        <v>102.14194935966371</v>
      </c>
      <c r="AC70" s="147">
        <v>1832</v>
      </c>
      <c r="AD70" s="148">
        <f t="shared" si="17"/>
        <v>19.371238509917749</v>
      </c>
      <c r="AE70" s="140">
        <f t="shared" si="16"/>
        <v>3.884837647058824</v>
      </c>
      <c r="AF70" s="149">
        <f t="shared" si="18"/>
        <v>0</v>
      </c>
      <c r="AG70" s="149">
        <v>80.3813711653534</v>
      </c>
      <c r="AH70" s="150">
        <v>101.111832646555</v>
      </c>
      <c r="AI70" s="151">
        <v>-1.7651015083683601E-2</v>
      </c>
      <c r="AJ70" s="151">
        <v>78.647962719910694</v>
      </c>
      <c r="AK70" s="151">
        <v>98.234628845951406</v>
      </c>
      <c r="AL70" s="156"/>
      <c r="AM70" s="156"/>
      <c r="AS70" s="150"/>
      <c r="AT70" s="152">
        <v>-3.9844509232264402E-2</v>
      </c>
      <c r="AU70" s="152">
        <v>-4.74123307989208E-3</v>
      </c>
      <c r="AV70" s="152">
        <v>1.2096774193548199E-2</v>
      </c>
      <c r="AW70" s="152">
        <v>6.9155875880704499E-3</v>
      </c>
      <c r="AX70" s="150"/>
    </row>
    <row r="71" spans="1:50" ht="13">
      <c r="A71">
        <v>1833</v>
      </c>
      <c r="B71" s="9"/>
      <c r="C71" s="204">
        <v>8.14</v>
      </c>
      <c r="D71" s="205">
        <f t="shared" si="15"/>
        <v>6.1875125879133925</v>
      </c>
      <c r="E71" s="144">
        <v>19.39</v>
      </c>
      <c r="F71" s="132">
        <f t="shared" si="8"/>
        <v>93.807450411223982</v>
      </c>
      <c r="G71" s="126">
        <f t="shared" si="7"/>
        <v>48.742514970059879</v>
      </c>
      <c r="H71" s="15">
        <v>75.3</v>
      </c>
      <c r="I71" s="154"/>
      <c r="J71" s="25">
        <f t="shared" si="4"/>
        <v>80.27080969571945</v>
      </c>
      <c r="K71" s="145">
        <v>4.24</v>
      </c>
      <c r="L71" s="144"/>
      <c r="M71" s="146">
        <v>4.79</v>
      </c>
      <c r="N71" s="144"/>
      <c r="O71" s="133">
        <f t="shared" si="10"/>
        <v>4.24</v>
      </c>
      <c r="P71" s="134">
        <f t="shared" si="9"/>
        <v>99.764705882352942</v>
      </c>
      <c r="Q71" s="129">
        <v>95.7</v>
      </c>
      <c r="R71" s="129"/>
      <c r="S71" s="129"/>
      <c r="T71" s="115">
        <f t="shared" si="5"/>
        <v>95.7</v>
      </c>
      <c r="U71" s="25">
        <f t="shared" si="6"/>
        <v>95.925707547169807</v>
      </c>
      <c r="V71" s="135">
        <v>0.185015344320313</v>
      </c>
      <c r="W71" s="135">
        <v>-16.472462196716599</v>
      </c>
      <c r="X71" s="135">
        <v>-8.1437234261981306</v>
      </c>
      <c r="Y71" s="135">
        <v>-5.7963617287955396</v>
      </c>
      <c r="Z71" s="27">
        <f t="shared" si="12"/>
        <v>99.170984455958546</v>
      </c>
      <c r="AA71" s="142">
        <f t="shared" si="13"/>
        <v>105.56200345423144</v>
      </c>
      <c r="AB71" s="143">
        <f t="shared" si="14"/>
        <v>98.937090624694505</v>
      </c>
      <c r="AC71" s="147">
        <v>1833</v>
      </c>
      <c r="AD71" s="148">
        <f t="shared" si="17"/>
        <v>19.371238509917749</v>
      </c>
      <c r="AE71" s="140">
        <f t="shared" si="16"/>
        <v>3.884837647058824</v>
      </c>
      <c r="AF71" s="149">
        <f t="shared" si="18"/>
        <v>0</v>
      </c>
      <c r="AG71" s="149">
        <v>80.544983441617703</v>
      </c>
      <c r="AH71" s="150">
        <v>100.65663430151599</v>
      </c>
      <c r="AI71" s="151">
        <v>-9.8280017386732796E-2</v>
      </c>
      <c r="AJ71" s="151">
        <v>78.881142283038301</v>
      </c>
      <c r="AK71" s="151">
        <v>96.306611159270801</v>
      </c>
      <c r="AL71" s="156"/>
      <c r="AM71" s="156"/>
      <c r="AS71" s="150"/>
      <c r="AT71" s="152">
        <v>-3.1376518218623403E-2</v>
      </c>
      <c r="AU71" s="152">
        <v>-2.4419927591632301E-3</v>
      </c>
      <c r="AV71" s="152">
        <v>0</v>
      </c>
      <c r="AW71" s="152">
        <v>9.1981430545672507E-3</v>
      </c>
      <c r="AX71" s="150"/>
    </row>
    <row r="72" spans="1:50" ht="13">
      <c r="A72">
        <v>1834</v>
      </c>
      <c r="B72" s="9"/>
      <c r="C72" s="204">
        <v>8.3000000000000007</v>
      </c>
      <c r="D72" s="205">
        <f t="shared" si="15"/>
        <v>6.3091344569632879</v>
      </c>
      <c r="E72" s="144">
        <v>19.940000000000001</v>
      </c>
      <c r="F72" s="132">
        <f t="shared" si="8"/>
        <v>96.468311562651195</v>
      </c>
      <c r="G72" s="126">
        <f t="shared" si="7"/>
        <v>49.70059880239522</v>
      </c>
      <c r="H72" s="15">
        <v>71.3</v>
      </c>
      <c r="I72" s="154"/>
      <c r="J72" s="25">
        <f t="shared" si="4"/>
        <v>73.91028084252757</v>
      </c>
      <c r="K72" s="145">
        <v>4.24</v>
      </c>
      <c r="L72" s="144"/>
      <c r="M72" s="146">
        <v>4.6399999999999997</v>
      </c>
      <c r="N72" s="144"/>
      <c r="O72" s="133">
        <f t="shared" si="10"/>
        <v>4.24</v>
      </c>
      <c r="P72" s="134">
        <f t="shared" si="9"/>
        <v>99.764705882352942</v>
      </c>
      <c r="Q72" s="129">
        <v>93.4</v>
      </c>
      <c r="R72" s="129"/>
      <c r="S72" s="129"/>
      <c r="T72" s="115">
        <f t="shared" si="5"/>
        <v>93.4</v>
      </c>
      <c r="U72" s="25">
        <f t="shared" si="6"/>
        <v>93.620283018867923</v>
      </c>
      <c r="V72" s="135">
        <v>-5.98400099915008</v>
      </c>
      <c r="W72" s="135">
        <v>-18.209346651859001</v>
      </c>
      <c r="X72" s="135">
        <v>-12.096673825504499</v>
      </c>
      <c r="Y72" s="135">
        <v>-5.4409349747140103</v>
      </c>
      <c r="Z72" s="27">
        <f t="shared" si="12"/>
        <v>96.787564766839381</v>
      </c>
      <c r="AA72" s="142">
        <f t="shared" si="13"/>
        <v>99.79873344847438</v>
      </c>
      <c r="AB72" s="143">
        <f t="shared" si="14"/>
        <v>96.559292208427038</v>
      </c>
      <c r="AC72" s="147">
        <v>1834</v>
      </c>
      <c r="AD72" s="148">
        <f t="shared" si="17"/>
        <v>19.92070633768747</v>
      </c>
      <c r="AE72" s="140">
        <f t="shared" si="16"/>
        <v>3.884837647058824</v>
      </c>
      <c r="AF72" s="149">
        <f t="shared" si="18"/>
        <v>0</v>
      </c>
      <c r="AG72" s="149">
        <v>80.724194206776502</v>
      </c>
      <c r="AH72" s="150">
        <v>100.483889608986</v>
      </c>
      <c r="AI72" s="151">
        <v>-1.4087841902709401E-2</v>
      </c>
      <c r="AJ72" s="151">
        <v>79.942525344206999</v>
      </c>
      <c r="AK72" s="151">
        <v>95.573838459835997</v>
      </c>
      <c r="AL72" s="151"/>
      <c r="AM72" s="151"/>
      <c r="AS72" s="150"/>
      <c r="AT72" s="152">
        <v>-2.4033437826541201E-2</v>
      </c>
      <c r="AU72" s="152">
        <v>1.2289272267975999E-4</v>
      </c>
      <c r="AV72" s="152">
        <v>-5.3120849933598897E-2</v>
      </c>
      <c r="AW72" s="152">
        <v>1.01149642893981E-2</v>
      </c>
      <c r="AX72" s="150"/>
    </row>
    <row r="73" spans="1:50" ht="13">
      <c r="A73">
        <v>1835</v>
      </c>
      <c r="B73" s="9"/>
      <c r="C73" s="204">
        <v>8.5399999999999991</v>
      </c>
      <c r="D73" s="205">
        <f t="shared" si="15"/>
        <v>6.4915672605381278</v>
      </c>
      <c r="E73" s="144">
        <v>20.69</v>
      </c>
      <c r="F73" s="132">
        <f t="shared" si="8"/>
        <v>100.09675858732462</v>
      </c>
      <c r="G73" s="126">
        <f t="shared" si="7"/>
        <v>51.137724550898199</v>
      </c>
      <c r="H73" s="15">
        <v>79.400000000000006</v>
      </c>
      <c r="I73" s="154"/>
      <c r="J73" s="25">
        <f t="shared" si="4"/>
        <v>79.323247945867593</v>
      </c>
      <c r="K73" s="145">
        <v>4.24</v>
      </c>
      <c r="L73" s="144"/>
      <c r="M73" s="146">
        <v>4.8499999999999996</v>
      </c>
      <c r="N73" s="144"/>
      <c r="O73" s="133">
        <f t="shared" si="10"/>
        <v>4.24</v>
      </c>
      <c r="P73" s="134">
        <f t="shared" si="9"/>
        <v>99.764705882352942</v>
      </c>
      <c r="Q73" s="129">
        <v>91.3</v>
      </c>
      <c r="R73" s="129"/>
      <c r="S73" s="129"/>
      <c r="T73" s="115">
        <f t="shared" si="5"/>
        <v>91.3</v>
      </c>
      <c r="U73" s="25">
        <f t="shared" si="6"/>
        <v>91.515330188679243</v>
      </c>
      <c r="V73" s="135">
        <v>-0.39851691368117997</v>
      </c>
      <c r="W73" s="135">
        <v>-19.727686636841199</v>
      </c>
      <c r="X73" s="135">
        <v>-10.063101775261201</v>
      </c>
      <c r="Y73" s="135">
        <v>-5.0042406177322496</v>
      </c>
      <c r="Z73" s="27">
        <f t="shared" si="12"/>
        <v>94.611398963730565</v>
      </c>
      <c r="AA73" s="142">
        <f t="shared" si="13"/>
        <v>101.97006332757627</v>
      </c>
      <c r="AB73" s="143">
        <f t="shared" si="14"/>
        <v>94.388258871834978</v>
      </c>
      <c r="AC73" s="147">
        <v>1835</v>
      </c>
      <c r="AD73" s="148">
        <f t="shared" si="17"/>
        <v>20.669980648282532</v>
      </c>
      <c r="AE73" s="140">
        <f t="shared" si="16"/>
        <v>3.884837647058824</v>
      </c>
      <c r="AF73" s="149">
        <f t="shared" si="18"/>
        <v>0</v>
      </c>
      <c r="AG73" s="149">
        <v>80.823759060338404</v>
      </c>
      <c r="AH73" s="150">
        <v>100.56654777131401</v>
      </c>
      <c r="AI73" s="151">
        <v>0.122424876192631</v>
      </c>
      <c r="AJ73" s="151">
        <v>82.790571804913199</v>
      </c>
      <c r="AK73" s="151">
        <v>96.773820297349204</v>
      </c>
      <c r="AL73" s="151"/>
      <c r="AM73" s="151"/>
      <c r="AN73" s="49"/>
      <c r="AO73" s="49"/>
      <c r="AP73" s="49"/>
      <c r="AQ73" s="49"/>
      <c r="AR73" s="150"/>
      <c r="AS73" s="150"/>
      <c r="AT73" s="152">
        <v>-2.2483940042826601E-2</v>
      </c>
      <c r="AU73" s="152">
        <v>2.48828721327283E-3</v>
      </c>
      <c r="AV73" s="152">
        <v>0.113604488078541</v>
      </c>
      <c r="AW73" s="152">
        <v>9.3169064012511103E-3</v>
      </c>
      <c r="AX73" s="150"/>
    </row>
    <row r="74" spans="1:50" ht="13">
      <c r="A74">
        <v>1836</v>
      </c>
      <c r="B74" s="9"/>
      <c r="C74" s="204">
        <v>9.02</v>
      </c>
      <c r="D74" s="205">
        <f t="shared" si="15"/>
        <v>6.856432867687813</v>
      </c>
      <c r="E74" s="144">
        <v>20.69</v>
      </c>
      <c r="F74" s="132">
        <f t="shared" si="8"/>
        <v>100.09675858732462</v>
      </c>
      <c r="G74" s="126">
        <f t="shared" si="7"/>
        <v>54.011976047904191</v>
      </c>
      <c r="H74" s="15">
        <v>90.4</v>
      </c>
      <c r="I74" s="154"/>
      <c r="J74" s="25">
        <f t="shared" si="4"/>
        <v>90.312614789753511</v>
      </c>
      <c r="K74" s="145">
        <v>4.24</v>
      </c>
      <c r="L74" s="144"/>
      <c r="M74" s="146">
        <v>4.82</v>
      </c>
      <c r="N74" s="144"/>
      <c r="O74" s="133">
        <f t="shared" si="10"/>
        <v>4.24</v>
      </c>
      <c r="P74" s="134">
        <f t="shared" si="9"/>
        <v>99.764705882352942</v>
      </c>
      <c r="Q74" s="129">
        <v>102.8</v>
      </c>
      <c r="R74" s="129"/>
      <c r="S74" s="129"/>
      <c r="T74" s="115">
        <f t="shared" si="5"/>
        <v>102.8</v>
      </c>
      <c r="U74" s="25">
        <f t="shared" si="6"/>
        <v>103.04245283018868</v>
      </c>
      <c r="V74" s="135">
        <v>10.7517498947647</v>
      </c>
      <c r="W74" s="135">
        <v>-7.6184911829964701</v>
      </c>
      <c r="X74" s="135">
        <v>1.56662935588412</v>
      </c>
      <c r="Y74" s="135">
        <v>-4.6112334479854198</v>
      </c>
      <c r="Z74" s="27">
        <f t="shared" si="12"/>
        <v>106.52849740932642</v>
      </c>
      <c r="AA74" s="142">
        <f t="shared" si="13"/>
        <v>114.10385722510074</v>
      </c>
      <c r="AB74" s="143">
        <f t="shared" si="14"/>
        <v>106.27725095317236</v>
      </c>
      <c r="AC74" s="147">
        <v>1836</v>
      </c>
      <c r="AD74" s="148">
        <f t="shared" si="17"/>
        <v>20.669980648282532</v>
      </c>
      <c r="AE74" s="140">
        <f t="shared" si="16"/>
        <v>3.884837647058824</v>
      </c>
      <c r="AF74" s="149">
        <f t="shared" si="18"/>
        <v>0</v>
      </c>
      <c r="AG74" s="149">
        <v>80.676291659744606</v>
      </c>
      <c r="AH74" s="150">
        <v>100.80861909476199</v>
      </c>
      <c r="AI74" s="151">
        <v>0.13875614763462099</v>
      </c>
      <c r="AJ74" s="151">
        <v>86.239566451917298</v>
      </c>
      <c r="AK74" s="151">
        <v>99.9827867349005</v>
      </c>
      <c r="AL74" s="151"/>
      <c r="AM74" s="151"/>
      <c r="AN74" s="49"/>
      <c r="AO74" s="49"/>
      <c r="AP74" s="150"/>
      <c r="AQ74" s="150"/>
      <c r="AR74" s="150"/>
      <c r="AS74" s="150"/>
      <c r="AT74" s="152">
        <v>0.125958378970427</v>
      </c>
      <c r="AU74" s="152">
        <v>3.9474912547596899E-3</v>
      </c>
      <c r="AV74" s="152">
        <v>0.138539042821158</v>
      </c>
      <c r="AW74" s="152">
        <v>5.82246635658429E-3</v>
      </c>
      <c r="AX74" s="150"/>
    </row>
    <row r="75" spans="1:50" ht="13">
      <c r="A75">
        <v>1837</v>
      </c>
      <c r="B75" s="9"/>
      <c r="C75" s="204">
        <v>9.27</v>
      </c>
      <c r="D75" s="205">
        <f t="shared" si="15"/>
        <v>7.0464670380782737</v>
      </c>
      <c r="E75" s="144">
        <v>21.64</v>
      </c>
      <c r="F75" s="132">
        <f t="shared" si="8"/>
        <v>104.69279148524431</v>
      </c>
      <c r="G75" s="126">
        <f t="shared" si="7"/>
        <v>55.508982035928149</v>
      </c>
      <c r="H75" s="15">
        <v>91.3</v>
      </c>
      <c r="I75" s="154"/>
      <c r="J75" s="25">
        <f t="shared" si="4"/>
        <v>87.207532347504625</v>
      </c>
      <c r="K75" s="145">
        <v>4.24</v>
      </c>
      <c r="L75" s="144"/>
      <c r="M75" s="146">
        <v>5.0999999999999996</v>
      </c>
      <c r="N75" s="144"/>
      <c r="O75" s="133">
        <f t="shared" si="10"/>
        <v>4.24</v>
      </c>
      <c r="P75" s="134">
        <f t="shared" si="9"/>
        <v>99.764705882352942</v>
      </c>
      <c r="Q75" s="129">
        <v>101.9</v>
      </c>
      <c r="R75" s="129"/>
      <c r="S75" s="129"/>
      <c r="T75" s="115">
        <f t="shared" si="5"/>
        <v>101.9</v>
      </c>
      <c r="U75" s="25">
        <f t="shared" si="6"/>
        <v>102.14033018867924</v>
      </c>
      <c r="V75" s="135">
        <v>7.7970817202251297</v>
      </c>
      <c r="W75" s="135">
        <v>-7.92275016113474</v>
      </c>
      <c r="X75" s="135">
        <v>-6.2834220454802497E-2</v>
      </c>
      <c r="Y75" s="135">
        <v>-4.4374568671839301</v>
      </c>
      <c r="Z75" s="27">
        <f t="shared" si="12"/>
        <v>105.5958549222798</v>
      </c>
      <c r="AA75" s="142">
        <f t="shared" si="13"/>
        <v>119.67530224525044</v>
      </c>
      <c r="AB75" s="143">
        <f t="shared" si="14"/>
        <v>105.34680809463292</v>
      </c>
      <c r="AC75" s="147">
        <v>1837</v>
      </c>
      <c r="AD75" s="148">
        <f t="shared" si="17"/>
        <v>21.619061441702947</v>
      </c>
      <c r="AE75" s="140">
        <f t="shared" si="16"/>
        <v>3.884837647058824</v>
      </c>
      <c r="AF75" s="149">
        <f t="shared" si="18"/>
        <v>0</v>
      </c>
      <c r="AG75" s="149">
        <v>80.100168071832599</v>
      </c>
      <c r="AH75" s="150">
        <v>101.02324840787399</v>
      </c>
      <c r="AI75" s="151">
        <v>9.8898746432258794E-2</v>
      </c>
      <c r="AJ75" s="151">
        <v>87.973603470342297</v>
      </c>
      <c r="AK75" s="151">
        <v>103.512361069797</v>
      </c>
      <c r="AL75" s="151"/>
      <c r="AM75" s="151"/>
      <c r="AN75" s="49"/>
      <c r="AO75" s="49"/>
      <c r="AP75" s="150"/>
      <c r="AQ75" s="150"/>
      <c r="AR75" s="150"/>
      <c r="AS75" s="150"/>
      <c r="AT75" s="152">
        <v>-8.7548638132294802E-3</v>
      </c>
      <c r="AU75" s="152">
        <v>3.54408311672307E-3</v>
      </c>
      <c r="AV75" s="152">
        <v>9.9557522123892798E-3</v>
      </c>
      <c r="AW75" s="152">
        <v>-3.06983061371334E-4</v>
      </c>
      <c r="AX75" s="150"/>
    </row>
    <row r="76" spans="1:50" ht="13">
      <c r="A76">
        <v>1838</v>
      </c>
      <c r="B76" s="9"/>
      <c r="C76" s="204">
        <v>9.02</v>
      </c>
      <c r="D76" s="205">
        <f t="shared" si="15"/>
        <v>6.856432867687813</v>
      </c>
      <c r="E76" s="144">
        <v>20.86</v>
      </c>
      <c r="F76" s="132">
        <f t="shared" si="8"/>
        <v>100.91920657958393</v>
      </c>
      <c r="G76" s="126">
        <f t="shared" si="7"/>
        <v>54.011976047904191</v>
      </c>
      <c r="H76" s="15">
        <v>87.2</v>
      </c>
      <c r="I76" s="154"/>
      <c r="J76" s="25">
        <f t="shared" si="4"/>
        <v>86.405752636625124</v>
      </c>
      <c r="K76" s="145">
        <v>4.24</v>
      </c>
      <c r="L76" s="144"/>
      <c r="M76" s="146">
        <v>4.8899999999999997</v>
      </c>
      <c r="N76" s="144"/>
      <c r="O76" s="133">
        <f t="shared" si="10"/>
        <v>4.24</v>
      </c>
      <c r="P76" s="134">
        <f t="shared" si="9"/>
        <v>99.764705882352942</v>
      </c>
      <c r="Q76" s="129">
        <v>105.7</v>
      </c>
      <c r="R76" s="129"/>
      <c r="S76" s="129"/>
      <c r="T76" s="115">
        <f t="shared" si="5"/>
        <v>105.7</v>
      </c>
      <c r="U76" s="25">
        <f t="shared" si="6"/>
        <v>105.94929245283019</v>
      </c>
      <c r="V76" s="135">
        <v>7.1277608567377397</v>
      </c>
      <c r="W76" s="135">
        <v>-3.51143428154296</v>
      </c>
      <c r="X76" s="135">
        <v>1.8081632875973901</v>
      </c>
      <c r="Y76" s="135">
        <v>-4.5966756489995397</v>
      </c>
      <c r="Z76" s="27">
        <f t="shared" si="12"/>
        <v>109.53367875647669</v>
      </c>
      <c r="AA76" s="142">
        <f t="shared" si="13"/>
        <v>119.02659758203801</v>
      </c>
      <c r="AB76" s="143">
        <f t="shared" si="14"/>
        <v>109.27534460846614</v>
      </c>
      <c r="AC76" s="147">
        <v>1838</v>
      </c>
      <c r="AD76" s="148">
        <f t="shared" si="17"/>
        <v>20.83981615868408</v>
      </c>
      <c r="AE76" s="140">
        <f t="shared" si="16"/>
        <v>3.884837647058824</v>
      </c>
      <c r="AF76" s="149">
        <f t="shared" si="18"/>
        <v>0</v>
      </c>
      <c r="AG76" s="149">
        <v>79.011001446842599</v>
      </c>
      <c r="AH76" s="150">
        <v>101.045594348252</v>
      </c>
      <c r="AI76" s="151">
        <v>0.122840797199037</v>
      </c>
      <c r="AJ76" s="151">
        <v>87.063588228005202</v>
      </c>
      <c r="AK76" s="151">
        <v>106.683237687713</v>
      </c>
      <c r="AL76" s="151"/>
      <c r="AM76" s="151"/>
      <c r="AN76" s="49"/>
      <c r="AO76" s="49"/>
      <c r="AP76" s="150"/>
      <c r="AQ76" s="150"/>
      <c r="AR76" s="150"/>
      <c r="AS76" s="150"/>
      <c r="AT76" s="152">
        <v>3.7291462217860602E-2</v>
      </c>
      <c r="AU76" s="152">
        <v>1.5417499459023699E-3</v>
      </c>
      <c r="AV76" s="152">
        <v>-4.4906900328586997E-2</v>
      </c>
      <c r="AW76" s="152">
        <v>-7.68290330473906E-3</v>
      </c>
      <c r="AX76" s="150"/>
    </row>
    <row r="77" spans="1:50" ht="13">
      <c r="A77">
        <v>1839</v>
      </c>
      <c r="B77" s="9"/>
      <c r="C77" s="204">
        <v>9.02</v>
      </c>
      <c r="D77" s="205">
        <f t="shared" si="15"/>
        <v>6.856432867687813</v>
      </c>
      <c r="E77" s="144">
        <v>20.67</v>
      </c>
      <c r="F77" s="132">
        <f t="shared" si="8"/>
        <v>99.999999999999986</v>
      </c>
      <c r="G77" s="126">
        <f t="shared" si="7"/>
        <v>54.011976047904191</v>
      </c>
      <c r="H77" s="15">
        <v>88.8</v>
      </c>
      <c r="I77" s="154"/>
      <c r="J77" s="25">
        <f t="shared" si="4"/>
        <v>88.800000000000011</v>
      </c>
      <c r="K77" s="145">
        <v>4.25</v>
      </c>
      <c r="L77" s="144"/>
      <c r="M77" s="146">
        <v>4.99</v>
      </c>
      <c r="N77" s="144"/>
      <c r="O77" s="133">
        <f t="shared" si="10"/>
        <v>4.25</v>
      </c>
      <c r="P77" s="134">
        <f t="shared" si="9"/>
        <v>100</v>
      </c>
      <c r="Q77" s="129">
        <v>112.7</v>
      </c>
      <c r="R77" s="129"/>
      <c r="S77" s="129"/>
      <c r="T77" s="115">
        <f t="shared" si="5"/>
        <v>112.7</v>
      </c>
      <c r="U77" s="25">
        <f t="shared" si="6"/>
        <v>112.7</v>
      </c>
      <c r="V77" s="135">
        <v>9.6340695983401794</v>
      </c>
      <c r="W77" s="135">
        <v>3.8445049060147398</v>
      </c>
      <c r="X77" s="135">
        <v>6.7392872521774603</v>
      </c>
      <c r="Y77" s="135">
        <v>-5.1589083406366898</v>
      </c>
      <c r="Z77" s="27">
        <f t="shared" si="12"/>
        <v>116.78756476683938</v>
      </c>
      <c r="AA77" s="142">
        <f t="shared" si="13"/>
        <v>129.50443293033968</v>
      </c>
      <c r="AB77" s="143">
        <f t="shared" si="14"/>
        <v>116.23797622676017</v>
      </c>
      <c r="AC77" s="147">
        <v>1839</v>
      </c>
      <c r="AD77" s="148">
        <f t="shared" si="17"/>
        <v>20.649999999999995</v>
      </c>
      <c r="AE77" s="140">
        <f t="shared" si="16"/>
        <v>3.8940000000000001</v>
      </c>
      <c r="AF77" s="149">
        <f t="shared" si="18"/>
        <v>0</v>
      </c>
      <c r="AG77" s="149">
        <v>77.436403254296494</v>
      </c>
      <c r="AH77" s="150">
        <v>100.721583069415</v>
      </c>
      <c r="AI77" s="151">
        <v>-3.6628938154162398E-2</v>
      </c>
      <c r="AJ77" s="151">
        <v>83.689224935942093</v>
      </c>
      <c r="AK77" s="151">
        <v>108.34532395105499</v>
      </c>
      <c r="AL77" s="151"/>
      <c r="AM77" s="151"/>
      <c r="AN77" s="49"/>
      <c r="AO77" s="49"/>
      <c r="AP77" s="150"/>
      <c r="AQ77" s="150"/>
      <c r="AR77" s="150"/>
      <c r="AS77" s="150"/>
      <c r="AT77" s="152">
        <v>6.6225165562913899E-2</v>
      </c>
      <c r="AU77" s="152">
        <v>-1.91881058026253E-3</v>
      </c>
      <c r="AV77" s="152">
        <v>1.8348623853210899E-2</v>
      </c>
      <c r="AW77" s="152">
        <v>-1.48141284729045E-2</v>
      </c>
      <c r="AX77" s="150"/>
    </row>
    <row r="78" spans="1:50" ht="13">
      <c r="A78">
        <v>1840</v>
      </c>
      <c r="B78" s="9"/>
      <c r="C78" s="204">
        <v>8.3800000000000008</v>
      </c>
      <c r="D78" s="205">
        <f t="shared" si="15"/>
        <v>6.3699453914882351</v>
      </c>
      <c r="E78" s="144">
        <v>20.67</v>
      </c>
      <c r="F78" s="132">
        <f t="shared" si="8"/>
        <v>99.999999999999986</v>
      </c>
      <c r="G78" s="126">
        <f t="shared" si="7"/>
        <v>50.179640718562887</v>
      </c>
      <c r="H78" s="15">
        <v>75.3</v>
      </c>
      <c r="I78" s="154"/>
      <c r="J78" s="25">
        <f t="shared" si="4"/>
        <v>75.300000000000011</v>
      </c>
      <c r="K78" s="145">
        <v>4.24</v>
      </c>
      <c r="L78" s="144"/>
      <c r="M78" s="146">
        <v>5</v>
      </c>
      <c r="N78" s="144"/>
      <c r="O78" s="133">
        <f t="shared" si="10"/>
        <v>4.24</v>
      </c>
      <c r="P78" s="134">
        <f t="shared" si="9"/>
        <v>99.764705882352942</v>
      </c>
      <c r="Q78" s="129">
        <v>110.7</v>
      </c>
      <c r="R78" s="129"/>
      <c r="S78" s="129"/>
      <c r="T78" s="115">
        <f t="shared" si="5"/>
        <v>110.7</v>
      </c>
      <c r="U78" s="25">
        <f t="shared" si="6"/>
        <v>110.96108490566037</v>
      </c>
      <c r="V78" s="135">
        <v>-3.7637097609299301</v>
      </c>
      <c r="W78" s="135">
        <v>2.7141350122974202</v>
      </c>
      <c r="X78" s="135">
        <v>-0.524787374316253</v>
      </c>
      <c r="Y78" s="135">
        <v>-6.1301250999338599</v>
      </c>
      <c r="Z78" s="27">
        <f t="shared" si="12"/>
        <v>114.71502590673575</v>
      </c>
      <c r="AA78" s="142">
        <f t="shared" si="13"/>
        <v>127.46113989637306</v>
      </c>
      <c r="AB78" s="143">
        <f t="shared" si="14"/>
        <v>114.44447160035195</v>
      </c>
      <c r="AC78" s="147">
        <v>1840</v>
      </c>
      <c r="AD78" s="148">
        <f t="shared" si="17"/>
        <v>20.649999999999995</v>
      </c>
      <c r="AE78" s="140">
        <f t="shared" si="16"/>
        <v>3.884837647058824</v>
      </c>
      <c r="AF78" s="149">
        <f t="shared" si="18"/>
        <v>0</v>
      </c>
      <c r="AG78" s="149">
        <v>75.485874949247702</v>
      </c>
      <c r="AH78" s="150">
        <v>99.945784781402097</v>
      </c>
      <c r="AI78" s="151">
        <v>-6.3900233995299593E-2</v>
      </c>
      <c r="AJ78" s="151">
        <v>78.0756883958543</v>
      </c>
      <c r="AK78" s="151">
        <v>107.090781326327</v>
      </c>
      <c r="AL78" s="151"/>
      <c r="AM78" s="151"/>
      <c r="AN78" s="49"/>
      <c r="AO78" s="49"/>
      <c r="AP78" s="150"/>
      <c r="AQ78" s="150"/>
      <c r="AR78" s="150"/>
      <c r="AS78" s="150"/>
      <c r="AT78" s="152">
        <v>-1.7746228926353101E-2</v>
      </c>
      <c r="AU78" s="152">
        <v>-6.3394036616122003E-3</v>
      </c>
      <c r="AV78" s="152">
        <v>-0.152027027027027</v>
      </c>
      <c r="AW78" s="152">
        <v>-2.05817326354918E-2</v>
      </c>
      <c r="AX78" s="150"/>
    </row>
    <row r="79" spans="1:50" ht="13">
      <c r="A79">
        <v>1841</v>
      </c>
      <c r="B79" s="9"/>
      <c r="C79" s="204">
        <v>8.4600000000000009</v>
      </c>
      <c r="D79" s="205">
        <f t="shared" si="15"/>
        <v>6.4307563260131824</v>
      </c>
      <c r="E79" s="144">
        <v>20.67</v>
      </c>
      <c r="F79" s="132">
        <f t="shared" si="8"/>
        <v>99.999999999999986</v>
      </c>
      <c r="G79" s="126">
        <f t="shared" si="7"/>
        <v>50.658682634730546</v>
      </c>
      <c r="H79" s="15">
        <v>72.900000000000006</v>
      </c>
      <c r="I79" s="154"/>
      <c r="J79" s="25">
        <f t="shared" si="4"/>
        <v>72.90000000000002</v>
      </c>
      <c r="K79" s="145">
        <v>4.24</v>
      </c>
      <c r="L79" s="144"/>
      <c r="M79" s="146">
        <v>4.99</v>
      </c>
      <c r="N79" s="144"/>
      <c r="O79" s="133">
        <f t="shared" si="10"/>
        <v>4.24</v>
      </c>
      <c r="P79" s="134">
        <f t="shared" si="9"/>
        <v>99.764705882352942</v>
      </c>
      <c r="Q79" s="129">
        <v>105.5</v>
      </c>
      <c r="R79" s="129"/>
      <c r="S79" s="129"/>
      <c r="T79" s="115">
        <f t="shared" si="5"/>
        <v>105.5</v>
      </c>
      <c r="U79" s="25">
        <f t="shared" si="6"/>
        <v>105.74882075471697</v>
      </c>
      <c r="V79" s="135">
        <v>-6.0752949270349603</v>
      </c>
      <c r="W79" s="135">
        <v>-1.88345719141284</v>
      </c>
      <c r="X79" s="135">
        <v>-3.9793760592238998</v>
      </c>
      <c r="Y79" s="135">
        <v>-7.3973141288014004</v>
      </c>
      <c r="Z79" s="27">
        <f t="shared" si="12"/>
        <v>109.32642487046633</v>
      </c>
      <c r="AA79" s="142">
        <f t="shared" si="13"/>
        <v>121.23085780080601</v>
      </c>
      <c r="AB79" s="143">
        <f t="shared" si="14"/>
        <v>109.06857952879071</v>
      </c>
      <c r="AC79" s="147">
        <v>1841</v>
      </c>
      <c r="AD79" s="148">
        <f t="shared" si="17"/>
        <v>20.649999999999995</v>
      </c>
      <c r="AE79" s="140">
        <f t="shared" si="16"/>
        <v>3.884837647058824</v>
      </c>
      <c r="AF79" s="149">
        <f t="shared" si="18"/>
        <v>0</v>
      </c>
      <c r="AG79" s="149">
        <v>73.3825539542066</v>
      </c>
      <c r="AH79" s="150">
        <v>98.734853863556296</v>
      </c>
      <c r="AI79" s="151">
        <v>-0.173791611097626</v>
      </c>
      <c r="AJ79" s="151">
        <v>72.151745097461998</v>
      </c>
      <c r="AK79" s="151">
        <v>103.03999662968199</v>
      </c>
      <c r="AL79" s="151"/>
      <c r="AM79" s="151"/>
      <c r="AN79" s="49"/>
      <c r="AO79" s="49"/>
      <c r="AP79" s="150"/>
      <c r="AQ79" s="150"/>
      <c r="AR79" s="150"/>
      <c r="AS79" s="150"/>
      <c r="AT79" s="152">
        <v>-4.6973803071364E-2</v>
      </c>
      <c r="AU79" s="152">
        <v>-1.05403947365554E-2</v>
      </c>
      <c r="AV79" s="152">
        <v>-3.1872509960159202E-2</v>
      </c>
      <c r="AW79" s="152">
        <v>-2.3535162338864098E-2</v>
      </c>
      <c r="AX79" s="150"/>
    </row>
    <row r="80" spans="1:50" ht="13">
      <c r="A80">
        <v>1842</v>
      </c>
      <c r="B80" s="9"/>
      <c r="C80" s="204">
        <v>7.9</v>
      </c>
      <c r="D80" s="205">
        <f t="shared" si="15"/>
        <v>6.0050797843385499</v>
      </c>
      <c r="E80" s="144">
        <v>20.67</v>
      </c>
      <c r="F80" s="132">
        <f t="shared" si="8"/>
        <v>99.999999999999986</v>
      </c>
      <c r="G80" s="126">
        <f t="shared" si="7"/>
        <v>47.305389221556887</v>
      </c>
      <c r="H80" s="15">
        <v>65</v>
      </c>
      <c r="I80" s="154"/>
      <c r="J80" s="25">
        <f t="shared" si="4"/>
        <v>65.000000000000014</v>
      </c>
      <c r="K80" s="145">
        <v>4.24</v>
      </c>
      <c r="L80" s="144"/>
      <c r="M80" s="146">
        <v>4.8</v>
      </c>
      <c r="N80" s="144"/>
      <c r="O80" s="133">
        <f t="shared" si="10"/>
        <v>4.24</v>
      </c>
      <c r="P80" s="134">
        <f t="shared" si="9"/>
        <v>99.764705882352942</v>
      </c>
      <c r="Q80" s="129">
        <v>95.9</v>
      </c>
      <c r="R80" s="129"/>
      <c r="S80" s="129"/>
      <c r="T80" s="115">
        <f t="shared" si="5"/>
        <v>95.9</v>
      </c>
      <c r="U80" s="25">
        <f t="shared" si="6"/>
        <v>96.126179245283012</v>
      </c>
      <c r="V80" s="135">
        <v>-13.900403605937299</v>
      </c>
      <c r="W80" s="135">
        <v>-10.889165773311101</v>
      </c>
      <c r="X80" s="135">
        <v>-12.394784689624201</v>
      </c>
      <c r="Y80" s="135">
        <v>-8.7914102518934598</v>
      </c>
      <c r="Z80" s="27">
        <f t="shared" si="12"/>
        <v>99.37823834196891</v>
      </c>
      <c r="AA80" s="142">
        <f t="shared" si="13"/>
        <v>106.00345423143351</v>
      </c>
      <c r="AB80" s="143">
        <f t="shared" si="14"/>
        <v>99.14385570436994</v>
      </c>
      <c r="AC80" s="147">
        <v>1842</v>
      </c>
      <c r="AD80" s="148">
        <f t="shared" si="17"/>
        <v>20.649999999999995</v>
      </c>
      <c r="AE80" s="140">
        <f t="shared" si="16"/>
        <v>3.884837647058824</v>
      </c>
      <c r="AF80" s="149">
        <f t="shared" si="18"/>
        <v>0</v>
      </c>
      <c r="AG80" s="149">
        <v>71.347718942191193</v>
      </c>
      <c r="AH80" s="150">
        <v>97.215186847408205</v>
      </c>
      <c r="AI80" s="151">
        <v>-0.25937849858593398</v>
      </c>
      <c r="AJ80" s="151">
        <v>66.920932065200702</v>
      </c>
      <c r="AK80" s="151">
        <v>97.589762901829104</v>
      </c>
      <c r="AL80" s="151"/>
      <c r="AM80" s="151"/>
      <c r="AN80" s="49"/>
      <c r="AO80" s="49"/>
      <c r="AP80" s="150"/>
      <c r="AQ80" s="150"/>
      <c r="AR80" s="150"/>
      <c r="AS80" s="150"/>
      <c r="AT80" s="152">
        <v>-9.0995260663506994E-2</v>
      </c>
      <c r="AU80" s="152">
        <v>-1.3456217496148301E-2</v>
      </c>
      <c r="AV80" s="152">
        <v>-0.108367626886145</v>
      </c>
      <c r="AW80" s="152">
        <v>-2.3538317073299501E-2</v>
      </c>
      <c r="AX80" s="150"/>
    </row>
    <row r="81" spans="1:50" ht="13">
      <c r="A81">
        <v>1843</v>
      </c>
      <c r="B81" s="9"/>
      <c r="C81" s="204">
        <v>7.17</v>
      </c>
      <c r="D81" s="205">
        <f t="shared" si="15"/>
        <v>5.4501800067984059</v>
      </c>
      <c r="E81" s="144">
        <v>20.67</v>
      </c>
      <c r="F81" s="132">
        <f t="shared" si="8"/>
        <v>99.999999999999986</v>
      </c>
      <c r="G81" s="126">
        <f t="shared" si="7"/>
        <v>42.93413173652695</v>
      </c>
      <c r="H81" s="15">
        <v>59.4</v>
      </c>
      <c r="I81" s="154"/>
      <c r="J81" s="25">
        <f t="shared" si="4"/>
        <v>59.400000000000006</v>
      </c>
      <c r="K81" s="145">
        <v>4.24</v>
      </c>
      <c r="L81" s="144"/>
      <c r="M81" s="146">
        <v>4.79</v>
      </c>
      <c r="N81" s="144"/>
      <c r="O81" s="133">
        <f t="shared" si="10"/>
        <v>4.24</v>
      </c>
      <c r="P81" s="134">
        <f t="shared" si="9"/>
        <v>99.764705882352942</v>
      </c>
      <c r="Q81" s="129">
        <v>86.1</v>
      </c>
      <c r="R81" s="129"/>
      <c r="S81" s="129"/>
      <c r="T81" s="115">
        <f t="shared" si="5"/>
        <v>86.1</v>
      </c>
      <c r="U81" s="25">
        <f t="shared" si="6"/>
        <v>86.303066037735846</v>
      </c>
      <c r="V81" s="135">
        <v>-19.438753503599401</v>
      </c>
      <c r="W81" s="135">
        <v>-20.103865641069198</v>
      </c>
      <c r="X81" s="135">
        <v>-19.7713095723343</v>
      </c>
      <c r="Y81" s="135">
        <v>-10.1091689131684</v>
      </c>
      <c r="Z81" s="27">
        <f t="shared" si="12"/>
        <v>89.222797927461144</v>
      </c>
      <c r="AA81" s="142">
        <f t="shared" si="13"/>
        <v>94.972711571675319</v>
      </c>
      <c r="AB81" s="143">
        <f t="shared" si="14"/>
        <v>89.012366800273739</v>
      </c>
      <c r="AC81" s="147">
        <v>1843</v>
      </c>
      <c r="AD81" s="148">
        <f t="shared" si="17"/>
        <v>20.649999999999995</v>
      </c>
      <c r="AE81" s="140">
        <f t="shared" si="16"/>
        <v>3.884837647058824</v>
      </c>
      <c r="AF81" s="149">
        <f t="shared" si="18"/>
        <v>0</v>
      </c>
      <c r="AG81" s="149">
        <v>69.597823046677306</v>
      </c>
      <c r="AH81" s="150">
        <v>95.582931725852006</v>
      </c>
      <c r="AI81" s="151">
        <v>-0.22859016876488</v>
      </c>
      <c r="AJ81" s="151">
        <v>63.636204624352203</v>
      </c>
      <c r="AK81" s="151">
        <v>93.026874306916397</v>
      </c>
      <c r="AL81" s="151"/>
      <c r="AM81" s="151"/>
      <c r="AN81" s="49"/>
      <c r="AO81" s="49"/>
      <c r="AP81" s="150"/>
      <c r="AQ81" s="150"/>
      <c r="AR81" s="150"/>
      <c r="AS81" s="150"/>
      <c r="AT81" s="152">
        <v>-0.10218978102189701</v>
      </c>
      <c r="AU81" s="152">
        <v>-1.4385639714795199E-2</v>
      </c>
      <c r="AV81" s="152">
        <v>-8.6153846153846095E-2</v>
      </c>
      <c r="AW81" s="152">
        <v>-2.0538469805289401E-2</v>
      </c>
      <c r="AX81" s="150"/>
    </row>
    <row r="82" spans="1:50" ht="13">
      <c r="A82">
        <v>1844</v>
      </c>
      <c r="B82" s="9"/>
      <c r="C82" s="204">
        <v>7.25</v>
      </c>
      <c r="D82" s="205">
        <f t="shared" si="15"/>
        <v>5.5109909413233531</v>
      </c>
      <c r="E82" s="144">
        <v>20.67</v>
      </c>
      <c r="F82" s="132">
        <f t="shared" si="8"/>
        <v>99.999999999999986</v>
      </c>
      <c r="G82" s="126">
        <f t="shared" si="7"/>
        <v>43.41317365269461</v>
      </c>
      <c r="H82" s="15">
        <v>61</v>
      </c>
      <c r="I82" s="154"/>
      <c r="J82" s="25">
        <f t="shared" ref="J82:J145" si="19">H82*100/F82</f>
        <v>61.000000000000007</v>
      </c>
      <c r="K82" s="145">
        <v>4.24</v>
      </c>
      <c r="L82" s="144"/>
      <c r="M82" s="146">
        <v>4.8600000000000003</v>
      </c>
      <c r="N82" s="144"/>
      <c r="O82" s="133">
        <f t="shared" si="10"/>
        <v>4.24</v>
      </c>
      <c r="P82" s="134">
        <f t="shared" si="9"/>
        <v>99.764705882352942</v>
      </c>
      <c r="Q82" s="129">
        <v>87.6</v>
      </c>
      <c r="R82" s="129"/>
      <c r="S82" s="129"/>
      <c r="T82" s="115">
        <f t="shared" ref="T82:T145" si="20">Q82</f>
        <v>87.6</v>
      </c>
      <c r="U82" s="25">
        <f t="shared" ref="U82:U145" si="21">T82*100/P82</f>
        <v>87.806603773584911</v>
      </c>
      <c r="V82" s="135">
        <v>-17.790062325983499</v>
      </c>
      <c r="W82" s="135">
        <v>-17.9784125418361</v>
      </c>
      <c r="X82" s="135">
        <v>-17.884237433909799</v>
      </c>
      <c r="Y82" s="135">
        <v>-11.183379300962001</v>
      </c>
      <c r="Z82" s="27">
        <f t="shared" si="12"/>
        <v>90.777202072538856</v>
      </c>
      <c r="AA82" s="142">
        <f t="shared" si="13"/>
        <v>98.039378238341968</v>
      </c>
      <c r="AB82" s="143">
        <f t="shared" si="14"/>
        <v>90.56310489783948</v>
      </c>
      <c r="AC82" s="147">
        <v>1844</v>
      </c>
      <c r="AD82" s="148">
        <f t="shared" si="17"/>
        <v>20.649999999999995</v>
      </c>
      <c r="AE82" s="140">
        <f t="shared" si="16"/>
        <v>3.884837647058824</v>
      </c>
      <c r="AF82" s="149">
        <f t="shared" si="18"/>
        <v>0</v>
      </c>
      <c r="AG82" s="149">
        <v>68.285842211718901</v>
      </c>
      <c r="AH82" s="150">
        <v>94.022984623308204</v>
      </c>
      <c r="AI82" s="151">
        <v>-0.147407991480247</v>
      </c>
      <c r="AJ82" s="151">
        <v>62.9102074117976</v>
      </c>
      <c r="AK82" s="151">
        <v>91.138204041816394</v>
      </c>
      <c r="AL82" s="151"/>
      <c r="AM82" s="151"/>
      <c r="AN82" s="49"/>
      <c r="AO82" s="49"/>
      <c r="AP82" s="150"/>
      <c r="AQ82" s="150"/>
      <c r="AR82" s="150"/>
      <c r="AS82" s="150"/>
      <c r="AT82" s="152">
        <v>1.74216027874564E-2</v>
      </c>
      <c r="AU82" s="152">
        <v>-1.3402819598573999E-2</v>
      </c>
      <c r="AV82" s="152">
        <v>2.69360269360269E-2</v>
      </c>
      <c r="AW82" s="152">
        <v>-1.53311865994536E-2</v>
      </c>
      <c r="AX82" s="150"/>
    </row>
    <row r="83" spans="1:50" ht="13">
      <c r="A83">
        <v>1845</v>
      </c>
      <c r="B83" s="9"/>
      <c r="C83" s="204">
        <v>7.33</v>
      </c>
      <c r="D83" s="205">
        <f t="shared" si="15"/>
        <v>5.5718018758483003</v>
      </c>
      <c r="E83" s="144">
        <v>20.67</v>
      </c>
      <c r="F83" s="132">
        <f t="shared" si="8"/>
        <v>99.999999999999986</v>
      </c>
      <c r="G83" s="126">
        <f t="shared" ref="G83:G146" si="22">C83*100/$C$168</f>
        <v>43.892215568862277</v>
      </c>
      <c r="H83" s="15">
        <v>65.900000000000006</v>
      </c>
      <c r="I83" s="154"/>
      <c r="J83" s="25">
        <f t="shared" si="19"/>
        <v>65.90000000000002</v>
      </c>
      <c r="K83" s="145">
        <v>4.24</v>
      </c>
      <c r="L83" s="144"/>
      <c r="M83" s="146">
        <v>4.87</v>
      </c>
      <c r="N83" s="144"/>
      <c r="O83" s="133">
        <f t="shared" si="10"/>
        <v>4.24</v>
      </c>
      <c r="P83" s="134">
        <f t="shared" si="9"/>
        <v>99.764705882352942</v>
      </c>
      <c r="Q83" s="129">
        <v>90</v>
      </c>
      <c r="R83" s="129"/>
      <c r="S83" s="129"/>
      <c r="T83" s="115">
        <f t="shared" si="20"/>
        <v>90</v>
      </c>
      <c r="U83" s="25">
        <f t="shared" si="21"/>
        <v>90.212264150943398</v>
      </c>
      <c r="V83" s="135">
        <v>-12.854047779051999</v>
      </c>
      <c r="W83" s="135">
        <v>-14.9636430622379</v>
      </c>
      <c r="X83" s="135">
        <v>-13.9088454206449</v>
      </c>
      <c r="Y83" s="135">
        <v>-11.9434520102016</v>
      </c>
      <c r="Z83" s="27">
        <f t="shared" si="12"/>
        <v>93.264248704663217</v>
      </c>
      <c r="AA83" s="142">
        <f t="shared" si="13"/>
        <v>100.93264248704664</v>
      </c>
      <c r="AB83" s="143">
        <f t="shared" si="14"/>
        <v>93.044285853944686</v>
      </c>
      <c r="AC83" s="147">
        <v>1845</v>
      </c>
      <c r="AD83" s="148">
        <f t="shared" si="17"/>
        <v>20.649999999999995</v>
      </c>
      <c r="AE83" s="140">
        <f t="shared" si="16"/>
        <v>3.884837647058824</v>
      </c>
      <c r="AF83" s="149">
        <f t="shared" si="18"/>
        <v>0</v>
      </c>
      <c r="AG83" s="149">
        <v>67.462774150903101</v>
      </c>
      <c r="AH83" s="150">
        <v>92.627112346938702</v>
      </c>
      <c r="AI83" s="151">
        <v>-0.143775111642092</v>
      </c>
      <c r="AJ83" s="151">
        <v>63.943516856301002</v>
      </c>
      <c r="AK83" s="151">
        <v>91.458333867762704</v>
      </c>
      <c r="AL83" s="151"/>
      <c r="AM83" s="151"/>
      <c r="AN83" s="49"/>
      <c r="AO83" s="49"/>
      <c r="AP83" s="150"/>
      <c r="AQ83" s="150"/>
      <c r="AR83" s="150"/>
      <c r="AS83" s="150"/>
      <c r="AT83" s="152">
        <v>2.7397260273972601E-2</v>
      </c>
      <c r="AU83" s="152">
        <v>-1.14599567666335E-2</v>
      </c>
      <c r="AV83" s="152">
        <v>8.03278688524591E-2</v>
      </c>
      <c r="AW83" s="152">
        <v>-9.3681872838974299E-3</v>
      </c>
      <c r="AX83" s="150"/>
    </row>
    <row r="84" spans="1:50" ht="13">
      <c r="A84">
        <v>1846</v>
      </c>
      <c r="B84" s="9"/>
      <c r="C84" s="204">
        <v>7.41</v>
      </c>
      <c r="D84" s="205">
        <f t="shared" si="15"/>
        <v>5.6326128103732476</v>
      </c>
      <c r="E84" s="144">
        <v>20.67</v>
      </c>
      <c r="F84" s="132">
        <f t="shared" si="8"/>
        <v>99.999999999999986</v>
      </c>
      <c r="G84" s="126">
        <f t="shared" si="22"/>
        <v>44.371257485029943</v>
      </c>
      <c r="H84" s="15">
        <v>65.900000000000006</v>
      </c>
      <c r="I84" s="154"/>
      <c r="J84" s="25">
        <f t="shared" si="19"/>
        <v>65.90000000000002</v>
      </c>
      <c r="K84" s="145">
        <v>4.24</v>
      </c>
      <c r="L84" s="144"/>
      <c r="M84" s="146">
        <v>4.82</v>
      </c>
      <c r="N84" s="144"/>
      <c r="O84" s="133">
        <f t="shared" si="10"/>
        <v>4.24</v>
      </c>
      <c r="P84" s="134">
        <f t="shared" si="9"/>
        <v>99.764705882352942</v>
      </c>
      <c r="Q84" s="129">
        <v>92.9</v>
      </c>
      <c r="R84" s="129"/>
      <c r="S84" s="129"/>
      <c r="T84" s="115">
        <f t="shared" si="20"/>
        <v>92.9</v>
      </c>
      <c r="U84" s="25">
        <f t="shared" si="21"/>
        <v>93.119103773584911</v>
      </c>
      <c r="V84" s="135">
        <v>-12.8304275687674</v>
      </c>
      <c r="W84" s="135">
        <v>-11.440374628377199</v>
      </c>
      <c r="X84" s="135">
        <v>-12.1354010985723</v>
      </c>
      <c r="Y84" s="135">
        <v>-12.385806217143999</v>
      </c>
      <c r="Z84" s="27">
        <f t="shared" si="12"/>
        <v>96.269430051813472</v>
      </c>
      <c r="AA84" s="142">
        <f t="shared" si="13"/>
        <v>103.11525618883132</v>
      </c>
      <c r="AB84" s="143">
        <f t="shared" si="14"/>
        <v>96.042379509238458</v>
      </c>
      <c r="AC84" s="147">
        <v>1846</v>
      </c>
      <c r="AD84" s="148">
        <f t="shared" si="17"/>
        <v>20.649999999999995</v>
      </c>
      <c r="AE84" s="140">
        <f t="shared" si="16"/>
        <v>3.884837647058824</v>
      </c>
      <c r="AF84" s="149">
        <f t="shared" si="18"/>
        <v>0</v>
      </c>
      <c r="AG84" s="149">
        <v>67.106758155699893</v>
      </c>
      <c r="AH84" s="150">
        <v>91.424651857672302</v>
      </c>
      <c r="AI84" s="151">
        <v>-6.1662694047945499E-2</v>
      </c>
      <c r="AJ84" s="151">
        <v>65.299973582693596</v>
      </c>
      <c r="AK84" s="151">
        <v>92.402444198716395</v>
      </c>
      <c r="AL84" s="151"/>
      <c r="AM84" s="151"/>
      <c r="AN84" s="49"/>
      <c r="AO84" s="49"/>
      <c r="AP84" s="150"/>
      <c r="AQ84" s="150"/>
      <c r="AR84" s="150"/>
      <c r="AS84" s="150"/>
      <c r="AT84" s="152">
        <v>3.2222222222222201E-2</v>
      </c>
      <c r="AU84" s="152">
        <v>-9.2010066142624407E-3</v>
      </c>
      <c r="AV84" s="152">
        <v>0</v>
      </c>
      <c r="AW84" s="152">
        <v>-3.6785195513713001E-3</v>
      </c>
      <c r="AX84" s="150"/>
    </row>
    <row r="85" spans="1:50" ht="13">
      <c r="A85">
        <v>1847</v>
      </c>
      <c r="B85" s="9"/>
      <c r="C85" s="204">
        <v>7.98</v>
      </c>
      <c r="D85" s="205">
        <f t="shared" si="15"/>
        <v>6.0658907188634972</v>
      </c>
      <c r="E85" s="144">
        <v>20.67</v>
      </c>
      <c r="F85" s="132">
        <f t="shared" si="8"/>
        <v>99.999999999999986</v>
      </c>
      <c r="G85" s="126">
        <f t="shared" si="22"/>
        <v>47.784431137724553</v>
      </c>
      <c r="H85" s="15">
        <v>71.3</v>
      </c>
      <c r="I85" s="154"/>
      <c r="J85" s="25">
        <f t="shared" si="19"/>
        <v>71.300000000000011</v>
      </c>
      <c r="K85" s="145">
        <v>4.24</v>
      </c>
      <c r="L85" s="144"/>
      <c r="M85" s="146">
        <v>4.79</v>
      </c>
      <c r="N85" s="144"/>
      <c r="O85" s="133">
        <f t="shared" si="10"/>
        <v>4.24</v>
      </c>
      <c r="P85" s="134">
        <f t="shared" si="9"/>
        <v>99.764705882352942</v>
      </c>
      <c r="Q85" s="129">
        <v>104.6</v>
      </c>
      <c r="R85" s="129"/>
      <c r="S85" s="129"/>
      <c r="T85" s="115">
        <f t="shared" si="20"/>
        <v>104.6</v>
      </c>
      <c r="U85" s="25">
        <f t="shared" si="21"/>
        <v>104.84669811320755</v>
      </c>
      <c r="V85" s="135">
        <v>-7.4189194010919</v>
      </c>
      <c r="W85" s="135">
        <v>0.90059449416590498</v>
      </c>
      <c r="X85" s="135">
        <v>-3.2591624534629999</v>
      </c>
      <c r="Y85" s="135">
        <v>-12.526515032150501</v>
      </c>
      <c r="Z85" s="27">
        <f t="shared" si="12"/>
        <v>108.39378238341969</v>
      </c>
      <c r="AA85" s="142">
        <f t="shared" si="13"/>
        <v>115.3791594703512</v>
      </c>
      <c r="AB85" s="143">
        <f t="shared" si="14"/>
        <v>108.13813667025126</v>
      </c>
      <c r="AC85" s="147">
        <v>1847</v>
      </c>
      <c r="AD85" s="148">
        <f t="shared" si="17"/>
        <v>20.649999999999995</v>
      </c>
      <c r="AE85" s="140">
        <f t="shared" si="16"/>
        <v>3.884837647058824</v>
      </c>
      <c r="AF85" s="149">
        <f t="shared" si="18"/>
        <v>0</v>
      </c>
      <c r="AG85" s="149">
        <v>67.180305776070298</v>
      </c>
      <c r="AH85" s="150">
        <v>90.420468992968395</v>
      </c>
      <c r="AI85" s="151">
        <v>-0.151089196090468</v>
      </c>
      <c r="AJ85" s="151">
        <v>66.195579263706406</v>
      </c>
      <c r="AK85" s="151">
        <v>91.959604159384398</v>
      </c>
      <c r="AL85" s="155">
        <v>92</v>
      </c>
      <c r="AM85" s="155">
        <v>65</v>
      </c>
      <c r="AN85" s="49"/>
      <c r="AO85" s="49"/>
      <c r="AP85" s="150"/>
      <c r="AQ85" s="150"/>
      <c r="AR85" s="150"/>
      <c r="AS85" s="150"/>
      <c r="AT85" s="152">
        <v>0.12594187298170001</v>
      </c>
      <c r="AU85" s="152">
        <v>-6.8813523663431297E-3</v>
      </c>
      <c r="AV85" s="152">
        <v>8.1942336874051405E-2</v>
      </c>
      <c r="AW85" s="152">
        <v>1.6057294667378001E-3</v>
      </c>
      <c r="AX85" s="150"/>
    </row>
    <row r="86" spans="1:50" ht="13">
      <c r="A86">
        <v>1848</v>
      </c>
      <c r="B86" s="9"/>
      <c r="C86" s="204">
        <v>7.65</v>
      </c>
      <c r="D86" s="205">
        <f t="shared" si="15"/>
        <v>5.8150456139480893</v>
      </c>
      <c r="E86" s="144">
        <v>20.67</v>
      </c>
      <c r="F86" s="132">
        <f t="shared" si="8"/>
        <v>99.999999999999986</v>
      </c>
      <c r="G86" s="126">
        <f t="shared" si="22"/>
        <v>45.808383233532936</v>
      </c>
      <c r="H86" s="15">
        <v>65</v>
      </c>
      <c r="I86" s="154"/>
      <c r="J86" s="25">
        <f t="shared" si="19"/>
        <v>65.000000000000014</v>
      </c>
      <c r="K86" s="145">
        <v>4.24</v>
      </c>
      <c r="L86" s="144"/>
      <c r="M86" s="146">
        <v>4.87</v>
      </c>
      <c r="N86" s="144"/>
      <c r="O86" s="133">
        <f t="shared" si="10"/>
        <v>4.24</v>
      </c>
      <c r="P86" s="134">
        <f t="shared" si="9"/>
        <v>99.764705882352942</v>
      </c>
      <c r="Q86" s="129">
        <v>88.4</v>
      </c>
      <c r="R86" s="129"/>
      <c r="S86" s="129"/>
      <c r="T86" s="115">
        <f t="shared" si="20"/>
        <v>88.4</v>
      </c>
      <c r="U86" s="25">
        <f t="shared" si="21"/>
        <v>88.60849056603773</v>
      </c>
      <c r="V86" s="135">
        <v>-13.719240981987999</v>
      </c>
      <c r="W86" s="135">
        <v>-14.731514799665399</v>
      </c>
      <c r="X86" s="135">
        <v>-14.225377890826699</v>
      </c>
      <c r="Y86" s="135">
        <v>-12.3791475143966</v>
      </c>
      <c r="Z86" s="27">
        <f t="shared" si="12"/>
        <v>91.606217616580309</v>
      </c>
      <c r="AA86" s="142">
        <f t="shared" si="13"/>
        <v>99.138284398388024</v>
      </c>
      <c r="AB86" s="143">
        <f t="shared" si="14"/>
        <v>91.39016521654122</v>
      </c>
      <c r="AC86" s="147">
        <v>1848</v>
      </c>
      <c r="AD86" s="148">
        <f t="shared" si="17"/>
        <v>20.649999999999995</v>
      </c>
      <c r="AE86" s="140">
        <f t="shared" si="16"/>
        <v>3.884837647058824</v>
      </c>
      <c r="AF86" s="149">
        <f t="shared" si="18"/>
        <v>0</v>
      </c>
      <c r="AG86" s="149">
        <v>67.633860980418206</v>
      </c>
      <c r="AH86" s="150">
        <v>89.636083071709706</v>
      </c>
      <c r="AI86" s="151">
        <v>-0.14827224485311499</v>
      </c>
      <c r="AJ86" s="151">
        <v>66.046344377839105</v>
      </c>
      <c r="AK86" s="151">
        <v>88.348068141568405</v>
      </c>
      <c r="AL86" s="156"/>
      <c r="AM86" s="156"/>
      <c r="AN86" s="49"/>
      <c r="AO86" s="49"/>
      <c r="AP86" s="150"/>
      <c r="AQ86" s="150"/>
      <c r="AR86" s="150"/>
      <c r="AS86" s="150"/>
      <c r="AT86" s="152">
        <v>-0.15487571701720801</v>
      </c>
      <c r="AU86" s="152">
        <v>-4.34214495939332E-3</v>
      </c>
      <c r="AV86" s="152">
        <v>-8.83590462833099E-2</v>
      </c>
      <c r="AW86" s="152">
        <v>6.3892578345566397E-3</v>
      </c>
      <c r="AX86" s="150"/>
    </row>
    <row r="87" spans="1:50" ht="13">
      <c r="A87">
        <v>1849</v>
      </c>
      <c r="B87" s="9"/>
      <c r="C87" s="204">
        <v>7.41</v>
      </c>
      <c r="D87" s="205">
        <f t="shared" si="15"/>
        <v>5.6326128103732476</v>
      </c>
      <c r="E87" s="144">
        <v>20.67</v>
      </c>
      <c r="F87" s="132">
        <f t="shared" si="8"/>
        <v>99.999999999999986</v>
      </c>
      <c r="G87" s="126">
        <f t="shared" si="22"/>
        <v>44.371257485029943</v>
      </c>
      <c r="H87" s="15">
        <v>65</v>
      </c>
      <c r="I87" s="154"/>
      <c r="J87" s="25">
        <f t="shared" si="19"/>
        <v>65.000000000000014</v>
      </c>
      <c r="K87" s="145">
        <v>4.24</v>
      </c>
      <c r="L87" s="144"/>
      <c r="M87" s="146">
        <v>4.8099999999999996</v>
      </c>
      <c r="N87" s="144"/>
      <c r="O87" s="133">
        <f t="shared" si="10"/>
        <v>4.24</v>
      </c>
      <c r="P87" s="134">
        <f t="shared" si="9"/>
        <v>99.764705882352942</v>
      </c>
      <c r="Q87" s="129">
        <v>79.8</v>
      </c>
      <c r="R87" s="129"/>
      <c r="S87" s="129"/>
      <c r="T87" s="115">
        <f t="shared" si="20"/>
        <v>79.8</v>
      </c>
      <c r="U87" s="25">
        <f t="shared" si="21"/>
        <v>79.988207547169807</v>
      </c>
      <c r="V87" s="135">
        <v>-13.731110017418001</v>
      </c>
      <c r="W87" s="135">
        <v>-22.747462454404999</v>
      </c>
      <c r="X87" s="135">
        <v>-18.2392862359115</v>
      </c>
      <c r="Y87" s="135">
        <v>-11.864599197271</v>
      </c>
      <c r="Z87" s="27">
        <f t="shared" si="12"/>
        <v>82.69430051813471</v>
      </c>
      <c r="AA87" s="142">
        <f t="shared" si="13"/>
        <v>88.39101899827287</v>
      </c>
      <c r="AB87" s="143">
        <f t="shared" si="14"/>
        <v>82.499266790497614</v>
      </c>
      <c r="AC87" s="147">
        <v>1849</v>
      </c>
      <c r="AD87" s="148">
        <f t="shared" si="17"/>
        <v>20.649999999999995</v>
      </c>
      <c r="AE87" s="140">
        <f t="shared" si="16"/>
        <v>3.884837647058824</v>
      </c>
      <c r="AF87" s="149">
        <f t="shared" si="18"/>
        <v>0</v>
      </c>
      <c r="AG87" s="149">
        <v>68.459064679386699</v>
      </c>
      <c r="AH87" s="150">
        <v>89.236908722849194</v>
      </c>
      <c r="AI87" s="151">
        <v>-0.121397218254261</v>
      </c>
      <c r="AJ87" s="151">
        <v>65.969752982356198</v>
      </c>
      <c r="AK87" s="151">
        <v>84.069555817274903</v>
      </c>
      <c r="AL87" s="156"/>
      <c r="AM87" s="156"/>
      <c r="AN87" s="49"/>
      <c r="AO87" s="49"/>
      <c r="AP87" s="150"/>
      <c r="AQ87" s="150"/>
      <c r="AR87" s="150"/>
      <c r="AS87" s="150"/>
      <c r="AT87" s="152">
        <v>-9.7285067873303196E-2</v>
      </c>
      <c r="AU87" s="152">
        <v>-9.6303076450221495E-5</v>
      </c>
      <c r="AV87" s="152">
        <v>0</v>
      </c>
      <c r="AW87" s="152">
        <v>1.1380129690285099E-2</v>
      </c>
      <c r="AX87" s="150"/>
    </row>
    <row r="88" spans="1:50" ht="13">
      <c r="A88">
        <v>1850</v>
      </c>
      <c r="B88" s="9"/>
      <c r="C88" s="204">
        <v>7.57</v>
      </c>
      <c r="D88" s="205">
        <f t="shared" si="15"/>
        <v>5.754234679423142</v>
      </c>
      <c r="E88" s="144">
        <v>20.67</v>
      </c>
      <c r="F88" s="132">
        <f t="shared" ref="F88:F151" si="23">E88*100/$E$168</f>
        <v>99.999999999999986</v>
      </c>
      <c r="G88" s="126">
        <f t="shared" si="22"/>
        <v>45.32934131736527</v>
      </c>
      <c r="H88" s="15">
        <v>66.599999999999994</v>
      </c>
      <c r="I88" s="154"/>
      <c r="J88" s="25">
        <f t="shared" si="19"/>
        <v>66.599999999999994</v>
      </c>
      <c r="K88" s="145">
        <v>4.24</v>
      </c>
      <c r="L88" s="144"/>
      <c r="M88" s="146">
        <v>4.87</v>
      </c>
      <c r="N88" s="144"/>
      <c r="O88" s="133">
        <f t="shared" si="10"/>
        <v>4.24</v>
      </c>
      <c r="P88" s="134">
        <f t="shared" ref="P88:P151" si="24">O88*100/$O$168</f>
        <v>99.764705882352942</v>
      </c>
      <c r="Q88" s="129">
        <v>79.400000000000006</v>
      </c>
      <c r="R88" s="129"/>
      <c r="S88" s="129"/>
      <c r="T88" s="115">
        <f t="shared" si="20"/>
        <v>79.400000000000006</v>
      </c>
      <c r="U88" s="25">
        <f t="shared" si="21"/>
        <v>79.587264150943412</v>
      </c>
      <c r="V88" s="135">
        <v>-12.154244213344301</v>
      </c>
      <c r="W88" s="135">
        <v>-22.547989254063701</v>
      </c>
      <c r="X88" s="135">
        <v>-17.351116733704</v>
      </c>
      <c r="Y88" s="135">
        <v>-10.922227917926699</v>
      </c>
      <c r="Z88" s="27">
        <f t="shared" si="12"/>
        <v>82.279792746113998</v>
      </c>
      <c r="AA88" s="142">
        <f t="shared" si="13"/>
        <v>89.045020149683367</v>
      </c>
      <c r="AB88" s="143">
        <f t="shared" si="14"/>
        <v>82.085736631146759</v>
      </c>
      <c r="AC88" s="147">
        <v>1850</v>
      </c>
      <c r="AD88" s="148">
        <f t="shared" si="17"/>
        <v>20.649999999999995</v>
      </c>
      <c r="AE88" s="140">
        <f t="shared" si="16"/>
        <v>3.884837647058824</v>
      </c>
      <c r="AF88" s="149">
        <f t="shared" si="18"/>
        <v>0</v>
      </c>
      <c r="AG88" s="149">
        <v>69.621219173815007</v>
      </c>
      <c r="AH88" s="150">
        <v>89.377799744622806</v>
      </c>
      <c r="AI88" s="151">
        <v>-0.12965849567767301</v>
      </c>
      <c r="AJ88" s="151">
        <v>66.734507675242099</v>
      </c>
      <c r="AK88" s="151">
        <v>81.703097477987896</v>
      </c>
      <c r="AL88" s="156"/>
      <c r="AM88" s="156"/>
      <c r="AN88" s="49"/>
      <c r="AO88" s="49"/>
      <c r="AP88" s="150"/>
      <c r="AQ88" s="150"/>
      <c r="AR88" s="150"/>
      <c r="AS88" s="150"/>
      <c r="AT88" s="152">
        <v>-5.0125313283206898E-3</v>
      </c>
      <c r="AU88" s="152">
        <v>5.8379188788707896E-3</v>
      </c>
      <c r="AV88" s="152">
        <v>2.4615384615384501E-2</v>
      </c>
      <c r="AW88" s="152">
        <v>1.6338926130944498E-2</v>
      </c>
      <c r="AX88" s="150"/>
    </row>
    <row r="89" spans="1:50" ht="13">
      <c r="A89">
        <v>1851</v>
      </c>
      <c r="B89" s="9"/>
      <c r="C89" s="204">
        <v>7.41</v>
      </c>
      <c r="D89" s="205">
        <f t="shared" si="15"/>
        <v>5.6326128103732476</v>
      </c>
      <c r="E89" s="144">
        <v>20.67</v>
      </c>
      <c r="F89" s="132">
        <f t="shared" si="23"/>
        <v>99.999999999999986</v>
      </c>
      <c r="G89" s="126">
        <f t="shared" si="22"/>
        <v>44.371257485029943</v>
      </c>
      <c r="H89" s="15">
        <v>65.900000000000006</v>
      </c>
      <c r="I89" s="154"/>
      <c r="J89" s="25">
        <f t="shared" si="19"/>
        <v>65.90000000000002</v>
      </c>
      <c r="K89" s="145">
        <v>4.24</v>
      </c>
      <c r="L89" s="144"/>
      <c r="M89" s="146">
        <v>4.91</v>
      </c>
      <c r="N89" s="144"/>
      <c r="O89" s="133">
        <f t="shared" ref="O89:O152" si="25">K89</f>
        <v>4.24</v>
      </c>
      <c r="P89" s="134">
        <f t="shared" si="24"/>
        <v>99.764705882352942</v>
      </c>
      <c r="Q89" s="129">
        <v>77.3</v>
      </c>
      <c r="R89" s="129"/>
      <c r="S89" s="129"/>
      <c r="T89" s="115">
        <f t="shared" si="20"/>
        <v>77.3</v>
      </c>
      <c r="U89" s="25">
        <f t="shared" si="21"/>
        <v>77.482311320754718</v>
      </c>
      <c r="V89" s="135">
        <v>-12.8883612757293</v>
      </c>
      <c r="W89" s="135">
        <v>-24.063816822129301</v>
      </c>
      <c r="X89" s="135">
        <v>-18.4760890489293</v>
      </c>
      <c r="Y89" s="135">
        <v>-9.5551383839031097</v>
      </c>
      <c r="Z89" s="27">
        <f t="shared" si="12"/>
        <v>80.103626943005182</v>
      </c>
      <c r="AA89" s="142">
        <f t="shared" si="13"/>
        <v>87.401957397812325</v>
      </c>
      <c r="AB89" s="143">
        <f t="shared" si="14"/>
        <v>79.914703294554712</v>
      </c>
      <c r="AC89" s="147">
        <v>1851</v>
      </c>
      <c r="AD89" s="148">
        <f t="shared" si="17"/>
        <v>20.649999999999995</v>
      </c>
      <c r="AE89" s="140">
        <f t="shared" si="16"/>
        <v>3.884837647058824</v>
      </c>
      <c r="AF89" s="149">
        <f t="shared" si="18"/>
        <v>0</v>
      </c>
      <c r="AG89" s="149">
        <v>71.051036117748296</v>
      </c>
      <c r="AH89" s="150">
        <v>90.120840848038</v>
      </c>
      <c r="AI89" s="151">
        <v>-7.1538249183330696E-2</v>
      </c>
      <c r="AJ89" s="151">
        <v>68.786060060362502</v>
      </c>
      <c r="AK89" s="151">
        <v>82.457871476099598</v>
      </c>
      <c r="AL89" s="156"/>
      <c r="AM89" s="156"/>
      <c r="AN89" s="49"/>
      <c r="AO89" s="49"/>
      <c r="AP89" s="150"/>
      <c r="AQ89" s="150"/>
      <c r="AR89" s="150"/>
      <c r="AS89" s="150"/>
      <c r="AT89" s="152">
        <v>-2.6448362720403101E-2</v>
      </c>
      <c r="AU89" s="152">
        <v>1.24703788549858E-2</v>
      </c>
      <c r="AV89" s="152">
        <v>-1.05105105105103E-2</v>
      </c>
      <c r="AW89" s="152">
        <v>2.0912426956653199E-2</v>
      </c>
      <c r="AX89" s="150"/>
    </row>
    <row r="90" spans="1:50" ht="13">
      <c r="A90">
        <v>1852</v>
      </c>
      <c r="B90" s="9"/>
      <c r="C90" s="204">
        <v>7.49</v>
      </c>
      <c r="D90" s="205">
        <f t="shared" si="15"/>
        <v>5.6934237448981948</v>
      </c>
      <c r="E90" s="144">
        <v>20.67</v>
      </c>
      <c r="F90" s="132">
        <f t="shared" si="23"/>
        <v>99.999999999999986</v>
      </c>
      <c r="G90" s="126">
        <f t="shared" si="22"/>
        <v>44.85029940119761</v>
      </c>
      <c r="H90" s="15">
        <v>69.7</v>
      </c>
      <c r="I90" s="154"/>
      <c r="J90" s="25">
        <f t="shared" si="19"/>
        <v>69.7</v>
      </c>
      <c r="K90" s="145">
        <v>4.24</v>
      </c>
      <c r="L90" s="144"/>
      <c r="M90" s="146">
        <v>4.9000000000000004</v>
      </c>
      <c r="N90" s="144"/>
      <c r="O90" s="133">
        <f t="shared" si="25"/>
        <v>4.24</v>
      </c>
      <c r="P90" s="134">
        <f t="shared" si="24"/>
        <v>99.764705882352942</v>
      </c>
      <c r="Q90" s="129">
        <v>80.400000000000006</v>
      </c>
      <c r="R90" s="129"/>
      <c r="S90" s="129"/>
      <c r="T90" s="115">
        <f t="shared" si="20"/>
        <v>80.400000000000006</v>
      </c>
      <c r="U90" s="25">
        <f t="shared" si="21"/>
        <v>80.589622641509436</v>
      </c>
      <c r="V90" s="135">
        <v>-9.1331789105353796</v>
      </c>
      <c r="W90" s="135">
        <v>-20.365647621566701</v>
      </c>
      <c r="X90" s="135">
        <v>-14.749413266051</v>
      </c>
      <c r="Y90" s="135">
        <v>-7.8307241908973504</v>
      </c>
      <c r="Z90" s="27">
        <f t="shared" si="12"/>
        <v>83.316062176165815</v>
      </c>
      <c r="AA90" s="142">
        <f t="shared" si="13"/>
        <v>90.721934369602792</v>
      </c>
      <c r="AB90" s="143">
        <f t="shared" si="14"/>
        <v>83.119562029523919</v>
      </c>
      <c r="AC90" s="147">
        <v>1852</v>
      </c>
      <c r="AD90" s="148">
        <f t="shared" si="17"/>
        <v>20.649999999999995</v>
      </c>
      <c r="AE90" s="140">
        <f t="shared" si="16"/>
        <v>3.884837647058824</v>
      </c>
      <c r="AF90" s="149">
        <f t="shared" si="18"/>
        <v>0</v>
      </c>
      <c r="AG90" s="149">
        <v>72.649014973493706</v>
      </c>
      <c r="AH90" s="150">
        <v>91.429938746656006</v>
      </c>
      <c r="AI90" s="151">
        <v>2.85855633754988E-2</v>
      </c>
      <c r="AJ90" s="151">
        <v>72.525025849835998</v>
      </c>
      <c r="AK90" s="151">
        <v>86.828690338006098</v>
      </c>
      <c r="AL90" s="156"/>
      <c r="AM90" s="156"/>
      <c r="AN90" s="49"/>
      <c r="AO90" s="49"/>
      <c r="AP90" s="150"/>
      <c r="AQ90" s="150"/>
      <c r="AR90" s="150"/>
      <c r="AS90" s="150"/>
      <c r="AT90" s="152">
        <v>4.01034928848642E-2</v>
      </c>
      <c r="AU90" s="152">
        <v>1.8702430298238999E-2</v>
      </c>
      <c r="AV90" s="152">
        <v>5.7663125948406599E-2</v>
      </c>
      <c r="AW90" s="152">
        <v>2.4830176552374E-2</v>
      </c>
      <c r="AX90" s="150"/>
    </row>
    <row r="91" spans="1:50" ht="13">
      <c r="A91">
        <v>1853</v>
      </c>
      <c r="B91" s="9"/>
      <c r="C91" s="204">
        <v>7.49</v>
      </c>
      <c r="D91" s="205">
        <f t="shared" si="15"/>
        <v>5.6934237448981948</v>
      </c>
      <c r="E91" s="144">
        <v>20.67</v>
      </c>
      <c r="F91" s="132">
        <f t="shared" si="23"/>
        <v>99.999999999999986</v>
      </c>
      <c r="G91" s="126">
        <f t="shared" si="22"/>
        <v>44.85029940119761</v>
      </c>
      <c r="H91" s="15">
        <v>76.900000000000006</v>
      </c>
      <c r="I91" s="154"/>
      <c r="J91" s="25">
        <f t="shared" si="19"/>
        <v>76.90000000000002</v>
      </c>
      <c r="K91" s="145">
        <v>4.24</v>
      </c>
      <c r="L91" s="144"/>
      <c r="M91" s="146">
        <v>4.8899999999999997</v>
      </c>
      <c r="N91" s="144"/>
      <c r="O91" s="133">
        <f t="shared" si="25"/>
        <v>4.24</v>
      </c>
      <c r="P91" s="134">
        <f t="shared" si="24"/>
        <v>99.764705882352942</v>
      </c>
      <c r="Q91" s="129">
        <v>97.9</v>
      </c>
      <c r="R91" s="129"/>
      <c r="S91" s="129"/>
      <c r="T91" s="115">
        <f t="shared" si="20"/>
        <v>97.9</v>
      </c>
      <c r="U91" s="25">
        <f t="shared" si="21"/>
        <v>98.130896226415089</v>
      </c>
      <c r="V91" s="135">
        <v>-1.98841482372489</v>
      </c>
      <c r="W91" s="135">
        <v>-2.2441649548177498</v>
      </c>
      <c r="X91" s="135">
        <v>-2.1162898892713198</v>
      </c>
      <c r="Y91" s="135">
        <v>-5.9055884412568602</v>
      </c>
      <c r="Z91" s="27">
        <f t="shared" si="12"/>
        <v>101.45077720207254</v>
      </c>
      <c r="AA91" s="142">
        <f t="shared" si="13"/>
        <v>110.24317789291884</v>
      </c>
      <c r="AB91" s="143">
        <f t="shared" si="14"/>
        <v>101.21150650112428</v>
      </c>
      <c r="AC91" s="147">
        <v>1853</v>
      </c>
      <c r="AD91" s="148">
        <f t="shared" si="17"/>
        <v>20.649999999999995</v>
      </c>
      <c r="AE91" s="140">
        <f t="shared" si="16"/>
        <v>3.884837647058824</v>
      </c>
      <c r="AF91" s="149">
        <f t="shared" si="18"/>
        <v>0</v>
      </c>
      <c r="AG91" s="149">
        <v>74.264144842180997</v>
      </c>
      <c r="AH91" s="150">
        <v>93.142291745557898</v>
      </c>
      <c r="AI91" s="151">
        <v>0.13851702181425901</v>
      </c>
      <c r="AJ91" s="151">
        <v>77.390000735659996</v>
      </c>
      <c r="AK91" s="151">
        <v>93.6410760980703</v>
      </c>
      <c r="AL91" s="156"/>
      <c r="AM91" s="156"/>
      <c r="AN91" s="49"/>
      <c r="AO91" s="49"/>
      <c r="AP91" s="150"/>
      <c r="AQ91" s="150"/>
      <c r="AR91" s="150"/>
      <c r="AS91" s="150"/>
      <c r="AT91" s="152">
        <v>0.21766169154228801</v>
      </c>
      <c r="AU91" s="152">
        <v>2.3046239239220601E-2</v>
      </c>
      <c r="AV91" s="152">
        <v>0.103299856527977</v>
      </c>
      <c r="AW91" s="152">
        <v>2.7507489928398E-2</v>
      </c>
      <c r="AX91" s="150"/>
    </row>
    <row r="92" spans="1:50" ht="13">
      <c r="A92">
        <v>1854</v>
      </c>
      <c r="B92" s="9"/>
      <c r="C92" s="204">
        <v>8.14</v>
      </c>
      <c r="D92" s="205">
        <f t="shared" si="15"/>
        <v>6.1875125879133925</v>
      </c>
      <c r="E92" s="144">
        <v>20.67</v>
      </c>
      <c r="F92" s="132">
        <f t="shared" si="23"/>
        <v>99.999999999999986</v>
      </c>
      <c r="G92" s="126">
        <f t="shared" si="22"/>
        <v>48.742514970059879</v>
      </c>
      <c r="H92" s="15">
        <v>85.7</v>
      </c>
      <c r="I92" s="154"/>
      <c r="J92" s="25">
        <f t="shared" si="19"/>
        <v>85.700000000000017</v>
      </c>
      <c r="K92" s="145">
        <v>4.24</v>
      </c>
      <c r="L92" s="144"/>
      <c r="M92" s="146">
        <v>4.88</v>
      </c>
      <c r="N92" s="144"/>
      <c r="O92" s="133">
        <f t="shared" si="25"/>
        <v>4.24</v>
      </c>
      <c r="P92" s="134">
        <f t="shared" si="24"/>
        <v>99.764705882352942</v>
      </c>
      <c r="Q92" s="129">
        <v>105.2</v>
      </c>
      <c r="R92" s="129"/>
      <c r="S92" s="129"/>
      <c r="T92" s="115">
        <f t="shared" si="20"/>
        <v>105.2</v>
      </c>
      <c r="U92" s="25">
        <f t="shared" si="21"/>
        <v>105.44811320754717</v>
      </c>
      <c r="V92" s="135">
        <v>6.7462132787398001</v>
      </c>
      <c r="W92" s="135">
        <v>5.6499670361989303</v>
      </c>
      <c r="X92" s="135">
        <v>6.1980901574693599</v>
      </c>
      <c r="Y92" s="135">
        <v>-4.00552112808061</v>
      </c>
      <c r="Z92" s="27">
        <f t="shared" ref="Z92:Z155" si="26">100*T92/$T$28</f>
        <v>109.01554404145078</v>
      </c>
      <c r="AA92" s="142">
        <f t="shared" ref="AA92:AA155" si="27">Z92*(M92/$M$28)</f>
        <v>118.22130109383994</v>
      </c>
      <c r="AB92" s="143">
        <f t="shared" ref="AB92:AB155" si="28">Z92/(P92/$P$28)</f>
        <v>108.75843190927756</v>
      </c>
      <c r="AC92" s="147">
        <v>1854</v>
      </c>
      <c r="AD92" s="148">
        <f t="shared" si="17"/>
        <v>20.649999999999995</v>
      </c>
      <c r="AE92" s="140">
        <f t="shared" si="16"/>
        <v>3.884837647058824</v>
      </c>
      <c r="AF92" s="149">
        <f t="shared" si="18"/>
        <v>0</v>
      </c>
      <c r="AG92" s="149">
        <v>75.715924675204803</v>
      </c>
      <c r="AH92" s="150">
        <v>94.986398762357695</v>
      </c>
      <c r="AI92" s="151">
        <v>0.15722566396052701</v>
      </c>
      <c r="AJ92" s="151">
        <v>81.877905126553401</v>
      </c>
      <c r="AK92" s="151">
        <v>99.630987344653406</v>
      </c>
      <c r="AL92" s="151"/>
      <c r="AM92" s="151"/>
      <c r="AN92" s="49"/>
      <c r="AO92" s="49"/>
      <c r="AP92" s="150"/>
      <c r="AQ92" s="150"/>
      <c r="AR92" s="150"/>
      <c r="AS92" s="150"/>
      <c r="AT92" s="152">
        <v>7.4565883554647494E-2</v>
      </c>
      <c r="AU92" s="152">
        <v>2.4227982334387398E-2</v>
      </c>
      <c r="AV92" s="152">
        <v>0.114434330299089</v>
      </c>
      <c r="AW92" s="152">
        <v>2.8688011588976801E-2</v>
      </c>
      <c r="AX92" s="150"/>
    </row>
    <row r="93" spans="1:50" ht="13">
      <c r="A93">
        <v>1855</v>
      </c>
      <c r="B93" s="9"/>
      <c r="C93" s="204">
        <v>8.3800000000000008</v>
      </c>
      <c r="D93" s="205">
        <f t="shared" ref="D93:D156" si="29">C93*100/$AK$196</f>
        <v>6.3699453914882351</v>
      </c>
      <c r="E93" s="144">
        <v>20.67</v>
      </c>
      <c r="F93" s="132">
        <f t="shared" si="23"/>
        <v>99.999999999999986</v>
      </c>
      <c r="G93" s="126">
        <f t="shared" si="22"/>
        <v>50.179640718562887</v>
      </c>
      <c r="H93" s="15">
        <v>87.2</v>
      </c>
      <c r="I93" s="154"/>
      <c r="J93" s="25">
        <f t="shared" si="19"/>
        <v>87.200000000000017</v>
      </c>
      <c r="K93" s="145">
        <v>4.24</v>
      </c>
      <c r="L93" s="144"/>
      <c r="M93" s="146">
        <v>4.8899999999999997</v>
      </c>
      <c r="N93" s="144"/>
      <c r="O93" s="133">
        <f t="shared" si="25"/>
        <v>4.24</v>
      </c>
      <c r="P93" s="134">
        <f t="shared" si="24"/>
        <v>99.764705882352942</v>
      </c>
      <c r="Q93" s="129">
        <v>104.1</v>
      </c>
      <c r="R93" s="129"/>
      <c r="S93" s="129"/>
      <c r="T93" s="115">
        <f t="shared" si="20"/>
        <v>104.1</v>
      </c>
      <c r="U93" s="25">
        <f t="shared" si="21"/>
        <v>104.34551886792453</v>
      </c>
      <c r="V93" s="135">
        <v>8.1709876908963093</v>
      </c>
      <c r="W93" s="135">
        <v>5.1161033700874503</v>
      </c>
      <c r="X93" s="135">
        <v>6.6435455304918802</v>
      </c>
      <c r="Y93" s="135">
        <v>-2.3184192589477099</v>
      </c>
      <c r="Z93" s="27">
        <f t="shared" si="26"/>
        <v>107.87564766839378</v>
      </c>
      <c r="AA93" s="142">
        <f t="shared" si="27"/>
        <v>117.22487046632125</v>
      </c>
      <c r="AB93" s="143">
        <f t="shared" si="28"/>
        <v>107.62122397106268</v>
      </c>
      <c r="AC93" s="147">
        <v>1855</v>
      </c>
      <c r="AD93" s="148">
        <f t="shared" si="17"/>
        <v>20.649999999999995</v>
      </c>
      <c r="AE93" s="140">
        <f t="shared" ref="AE93:AE156" si="30">P93*$AE$168/100</f>
        <v>3.884837647058824</v>
      </c>
      <c r="AF93" s="149">
        <f t="shared" si="18"/>
        <v>0</v>
      </c>
      <c r="AG93" s="149">
        <v>76.850211975538002</v>
      </c>
      <c r="AH93" s="150">
        <v>96.740335797214399</v>
      </c>
      <c r="AI93" s="151">
        <v>0.11140481715180101</v>
      </c>
      <c r="AJ93" s="151">
        <v>84.322325852681601</v>
      </c>
      <c r="AK93" s="151">
        <v>103.020690633426</v>
      </c>
      <c r="AL93" s="151"/>
      <c r="AM93" s="151"/>
      <c r="AN93" s="49"/>
      <c r="AO93" s="49"/>
      <c r="AP93" s="150"/>
      <c r="AQ93" s="150"/>
      <c r="AR93" s="150"/>
      <c r="AS93" s="150"/>
      <c r="AT93" s="152">
        <v>-1.0456273764258599E-2</v>
      </c>
      <c r="AU93" s="152">
        <v>2.2919990763226299E-2</v>
      </c>
      <c r="AV93" s="152">
        <v>1.7502917152858798E-2</v>
      </c>
      <c r="AW93" s="152">
        <v>2.8873309704357801E-2</v>
      </c>
      <c r="AX93" s="150"/>
    </row>
    <row r="94" spans="1:50" ht="13">
      <c r="A94">
        <v>1856</v>
      </c>
      <c r="B94" s="9"/>
      <c r="C94" s="204">
        <v>8.2200000000000006</v>
      </c>
      <c r="D94" s="205">
        <f t="shared" si="29"/>
        <v>6.2483235224383407</v>
      </c>
      <c r="E94" s="144">
        <v>20.67</v>
      </c>
      <c r="F94" s="132">
        <f t="shared" si="23"/>
        <v>99.999999999999986</v>
      </c>
      <c r="G94" s="126">
        <f t="shared" si="22"/>
        <v>49.221556886227553</v>
      </c>
      <c r="H94" s="15">
        <v>83.2</v>
      </c>
      <c r="I94" s="154"/>
      <c r="J94" s="25">
        <f t="shared" si="19"/>
        <v>83.200000000000017</v>
      </c>
      <c r="K94" s="145">
        <v>4.24</v>
      </c>
      <c r="L94" s="144"/>
      <c r="M94" s="146">
        <v>4.91</v>
      </c>
      <c r="N94" s="144"/>
      <c r="O94" s="133">
        <f t="shared" si="25"/>
        <v>4.24</v>
      </c>
      <c r="P94" s="134">
        <f t="shared" si="24"/>
        <v>99.764705882352942</v>
      </c>
      <c r="Q94" s="129">
        <v>104.1</v>
      </c>
      <c r="R94" s="129"/>
      <c r="S94" s="129"/>
      <c r="T94" s="115">
        <f t="shared" si="20"/>
        <v>104.1</v>
      </c>
      <c r="U94" s="25">
        <f t="shared" si="21"/>
        <v>104.34551886792453</v>
      </c>
      <c r="V94" s="135">
        <v>4.0861907067822596</v>
      </c>
      <c r="W94" s="135">
        <v>5.6736182259751002</v>
      </c>
      <c r="X94" s="135">
        <v>4.8799044663786804</v>
      </c>
      <c r="Y94" s="135">
        <v>-0.93014372858178396</v>
      </c>
      <c r="Z94" s="27">
        <f t="shared" si="26"/>
        <v>107.87564766839378</v>
      </c>
      <c r="AA94" s="142">
        <f t="shared" si="27"/>
        <v>117.70431778929189</v>
      </c>
      <c r="AB94" s="143">
        <f t="shared" si="28"/>
        <v>107.62122397106268</v>
      </c>
      <c r="AC94" s="147">
        <v>1856</v>
      </c>
      <c r="AD94" s="148">
        <f t="shared" si="17"/>
        <v>20.649999999999995</v>
      </c>
      <c r="AE94" s="140">
        <f t="shared" si="30"/>
        <v>3.884837647058824</v>
      </c>
      <c r="AF94" s="149">
        <f t="shared" si="18"/>
        <v>0</v>
      </c>
      <c r="AG94" s="149">
        <v>77.612704999401601</v>
      </c>
      <c r="AH94" s="150">
        <v>98.286414862663094</v>
      </c>
      <c r="AI94" s="151">
        <v>0.169551509945322</v>
      </c>
      <c r="AJ94" s="151">
        <v>84.330881368692204</v>
      </c>
      <c r="AK94" s="151">
        <v>103.95879007184099</v>
      </c>
      <c r="AL94" s="151"/>
      <c r="AM94" s="151"/>
      <c r="AN94" s="49"/>
      <c r="AO94" s="49"/>
      <c r="AP94" s="150"/>
      <c r="AQ94" s="150"/>
      <c r="AR94" s="150"/>
      <c r="AS94" s="150"/>
      <c r="AT94" s="152">
        <v>0</v>
      </c>
      <c r="AU94" s="152">
        <v>2.0297974717427399E-2</v>
      </c>
      <c r="AV94" s="152">
        <v>-4.5871559633027498E-2</v>
      </c>
      <c r="AW94" s="152">
        <v>2.9422415631889201E-2</v>
      </c>
      <c r="AX94" s="150"/>
    </row>
    <row r="95" spans="1:50" ht="13">
      <c r="A95">
        <v>1857</v>
      </c>
      <c r="B95" s="9"/>
      <c r="C95" s="204">
        <v>8.4600000000000009</v>
      </c>
      <c r="D95" s="205">
        <f t="shared" si="29"/>
        <v>6.4307563260131824</v>
      </c>
      <c r="E95" s="144">
        <v>20.7</v>
      </c>
      <c r="F95" s="132">
        <f t="shared" si="23"/>
        <v>100.14513788098692</v>
      </c>
      <c r="G95" s="126">
        <f t="shared" si="22"/>
        <v>50.658682634730546</v>
      </c>
      <c r="H95" s="15">
        <v>88.1</v>
      </c>
      <c r="I95" s="154"/>
      <c r="J95" s="25">
        <f t="shared" si="19"/>
        <v>87.972318840579717</v>
      </c>
      <c r="K95" s="145">
        <v>4.24</v>
      </c>
      <c r="L95" s="144"/>
      <c r="M95" s="146">
        <v>4.8899999999999997</v>
      </c>
      <c r="N95" s="144"/>
      <c r="O95" s="133">
        <f t="shared" si="25"/>
        <v>4.24</v>
      </c>
      <c r="P95" s="134">
        <f t="shared" si="24"/>
        <v>99.764705882352942</v>
      </c>
      <c r="Q95" s="129">
        <v>108.2</v>
      </c>
      <c r="R95" s="129"/>
      <c r="S95" s="129"/>
      <c r="T95" s="115">
        <f t="shared" si="20"/>
        <v>108.2</v>
      </c>
      <c r="U95" s="25">
        <f t="shared" si="21"/>
        <v>108.45518867924528</v>
      </c>
      <c r="V95" s="135">
        <v>8.7621046204352595</v>
      </c>
      <c r="W95" s="135">
        <v>10.3319049435121</v>
      </c>
      <c r="X95" s="135">
        <v>9.5470047819736603</v>
      </c>
      <c r="Y95" s="135">
        <v>0.16306421618796699</v>
      </c>
      <c r="Z95" s="27">
        <f t="shared" si="26"/>
        <v>112.12435233160622</v>
      </c>
      <c r="AA95" s="142">
        <f t="shared" si="27"/>
        <v>121.84179620034543</v>
      </c>
      <c r="AB95" s="143">
        <f t="shared" si="28"/>
        <v>111.85990810440904</v>
      </c>
      <c r="AC95" s="147">
        <v>1857</v>
      </c>
      <c r="AD95" s="148">
        <f t="shared" si="17"/>
        <v>20.679970972423799</v>
      </c>
      <c r="AE95" s="140">
        <f t="shared" si="30"/>
        <v>3.884837647058824</v>
      </c>
      <c r="AF95" s="149">
        <f t="shared" si="18"/>
        <v>0</v>
      </c>
      <c r="AG95" s="149">
        <v>78.052599883261095</v>
      </c>
      <c r="AH95" s="150">
        <v>99.582644613266893</v>
      </c>
      <c r="AI95" s="151">
        <v>-6.8490403567991699E-3</v>
      </c>
      <c r="AJ95" s="151">
        <v>82.470414845005493</v>
      </c>
      <c r="AK95" s="151">
        <v>103.023659556209</v>
      </c>
      <c r="AL95" s="151"/>
      <c r="AM95" s="151"/>
      <c r="AN95" s="49"/>
      <c r="AO95" s="49"/>
      <c r="AP95" s="150"/>
      <c r="AQ95" s="150"/>
      <c r="AR95" s="150"/>
      <c r="AS95" s="150"/>
      <c r="AT95" s="152">
        <v>3.9385206532180597E-2</v>
      </c>
      <c r="AU95" s="152">
        <v>1.7203881743405602E-2</v>
      </c>
      <c r="AV95" s="152">
        <v>5.8894230769230602E-2</v>
      </c>
      <c r="AW95" s="152">
        <v>3.1580656803404598E-2</v>
      </c>
      <c r="AX95" s="150"/>
    </row>
    <row r="96" spans="1:50" ht="13">
      <c r="A96">
        <v>1858</v>
      </c>
      <c r="B96" s="9"/>
      <c r="C96" s="204">
        <v>7.98</v>
      </c>
      <c r="D96" s="205">
        <f t="shared" si="29"/>
        <v>6.0658907188634972</v>
      </c>
      <c r="E96" s="144">
        <v>20.67</v>
      </c>
      <c r="F96" s="132">
        <f t="shared" si="23"/>
        <v>99.999999999999986</v>
      </c>
      <c r="G96" s="126">
        <f t="shared" si="22"/>
        <v>47.784431137724553</v>
      </c>
      <c r="H96" s="15">
        <v>73.8</v>
      </c>
      <c r="I96" s="154"/>
      <c r="J96" s="25">
        <f t="shared" si="19"/>
        <v>73.800000000000011</v>
      </c>
      <c r="K96" s="145">
        <v>4.24</v>
      </c>
      <c r="L96" s="144"/>
      <c r="M96" s="146">
        <v>4.8600000000000003</v>
      </c>
      <c r="N96" s="144"/>
      <c r="O96" s="133">
        <f t="shared" si="25"/>
        <v>4.24</v>
      </c>
      <c r="P96" s="134">
        <f t="shared" si="24"/>
        <v>99.764705882352942</v>
      </c>
      <c r="Q96" s="129">
        <v>93.8</v>
      </c>
      <c r="R96" s="129"/>
      <c r="S96" s="129"/>
      <c r="T96" s="115">
        <f t="shared" si="20"/>
        <v>93.8</v>
      </c>
      <c r="U96" s="25">
        <f t="shared" si="21"/>
        <v>94.021226415094333</v>
      </c>
      <c r="V96" s="135">
        <v>-5.5109882741070404</v>
      </c>
      <c r="W96" s="135">
        <v>-3.56962397712832</v>
      </c>
      <c r="X96" s="135">
        <v>-4.54030612561768</v>
      </c>
      <c r="Y96" s="135">
        <v>1.0230638104819301</v>
      </c>
      <c r="Z96" s="27">
        <f t="shared" si="26"/>
        <v>97.202072538860108</v>
      </c>
      <c r="AA96" s="142">
        <f t="shared" si="27"/>
        <v>104.97823834196892</v>
      </c>
      <c r="AB96" s="143">
        <f t="shared" si="28"/>
        <v>96.972822367777894</v>
      </c>
      <c r="AC96" s="147">
        <v>1858</v>
      </c>
      <c r="AD96" s="148">
        <f t="shared" si="17"/>
        <v>20.649999999999995</v>
      </c>
      <c r="AE96" s="140">
        <f t="shared" si="30"/>
        <v>3.884837647058824</v>
      </c>
      <c r="AF96" s="149">
        <f t="shared" si="18"/>
        <v>0</v>
      </c>
      <c r="AG96" s="149">
        <v>78.274965713588003</v>
      </c>
      <c r="AH96" s="150">
        <v>100.64726955496199</v>
      </c>
      <c r="AI96" s="151">
        <v>2.6976532671337899E-2</v>
      </c>
      <c r="AJ96" s="151">
        <v>78.930808995811006</v>
      </c>
      <c r="AK96" s="151">
        <v>100.910742958895</v>
      </c>
      <c r="AL96" s="151"/>
      <c r="AM96" s="151"/>
      <c r="AN96" s="49"/>
      <c r="AO96" s="49"/>
      <c r="AP96" s="150"/>
      <c r="AQ96" s="150"/>
      <c r="AR96" s="150"/>
      <c r="AS96" s="150"/>
      <c r="AT96" s="152">
        <v>-0.13308687615526801</v>
      </c>
      <c r="AU96" s="152">
        <v>1.42766796404015E-2</v>
      </c>
      <c r="AV96" s="152">
        <v>-0.162315550510783</v>
      </c>
      <c r="AW96" s="152">
        <v>3.5840420898088303E-2</v>
      </c>
      <c r="AX96" s="150"/>
    </row>
    <row r="97" spans="1:50" ht="13">
      <c r="A97">
        <v>1859</v>
      </c>
      <c r="B97" s="9"/>
      <c r="C97" s="204">
        <v>8.06</v>
      </c>
      <c r="D97" s="205">
        <f t="shared" si="29"/>
        <v>6.1267016533884444</v>
      </c>
      <c r="E97" s="144">
        <v>20.67</v>
      </c>
      <c r="F97" s="132">
        <f t="shared" si="23"/>
        <v>99.999999999999986</v>
      </c>
      <c r="G97" s="126">
        <f t="shared" si="22"/>
        <v>48.26347305389222</v>
      </c>
      <c r="H97" s="15">
        <v>76.3</v>
      </c>
      <c r="I97" s="154"/>
      <c r="J97" s="25">
        <f t="shared" si="19"/>
        <v>76.300000000000011</v>
      </c>
      <c r="K97" s="145">
        <v>4.24</v>
      </c>
      <c r="L97" s="144"/>
      <c r="M97" s="146">
        <v>4.9000000000000004</v>
      </c>
      <c r="N97" s="144"/>
      <c r="O97" s="133">
        <f t="shared" si="25"/>
        <v>4.24</v>
      </c>
      <c r="P97" s="134">
        <f t="shared" si="24"/>
        <v>99.764705882352942</v>
      </c>
      <c r="Q97" s="129">
        <v>96.9</v>
      </c>
      <c r="R97" s="129"/>
      <c r="S97" s="129"/>
      <c r="T97" s="115">
        <f t="shared" si="20"/>
        <v>96.9</v>
      </c>
      <c r="U97" s="25">
        <f t="shared" si="21"/>
        <v>97.128537735849051</v>
      </c>
      <c r="V97" s="135">
        <v>-3.1228056828069999</v>
      </c>
      <c r="W97" s="135">
        <v>6.8463124750252305E-2</v>
      </c>
      <c r="X97" s="135">
        <v>-1.52717127902837</v>
      </c>
      <c r="Y97" s="135">
        <v>1.80555369507835</v>
      </c>
      <c r="Z97" s="27">
        <f t="shared" si="26"/>
        <v>100.41450777202073</v>
      </c>
      <c r="AA97" s="142">
        <f t="shared" si="27"/>
        <v>109.34024179620036</v>
      </c>
      <c r="AB97" s="143">
        <f t="shared" si="28"/>
        <v>100.1776811027471</v>
      </c>
      <c r="AC97" s="147">
        <v>1859</v>
      </c>
      <c r="AD97" s="148">
        <f t="shared" si="17"/>
        <v>20.649999999999995</v>
      </c>
      <c r="AE97" s="140">
        <f t="shared" si="30"/>
        <v>3.884837647058824</v>
      </c>
      <c r="AF97" s="149">
        <f t="shared" si="18"/>
        <v>0</v>
      </c>
      <c r="AG97" s="149">
        <v>78.485345578021096</v>
      </c>
      <c r="AH97" s="150">
        <v>101.586907747553</v>
      </c>
      <c r="AI97" s="151">
        <v>-6.02182040239702E-3</v>
      </c>
      <c r="AJ97" s="151">
        <v>75.778474920296503</v>
      </c>
      <c r="AK97" s="151">
        <v>100.114264300192</v>
      </c>
      <c r="AL97" s="151"/>
      <c r="AM97" s="151"/>
      <c r="AN97" s="49"/>
      <c r="AO97" s="49"/>
      <c r="AP97" s="150"/>
      <c r="AQ97" s="150"/>
      <c r="AR97" s="150"/>
      <c r="AS97" s="150"/>
      <c r="AT97" s="152">
        <v>3.30490405117271E-2</v>
      </c>
      <c r="AU97" s="152">
        <v>1.23771494555437E-2</v>
      </c>
      <c r="AV97" s="152">
        <v>3.3875338753387503E-2</v>
      </c>
      <c r="AW97" s="152">
        <v>4.29672313347828E-2</v>
      </c>
      <c r="AX97" s="150"/>
    </row>
    <row r="98" spans="1:50">
      <c r="A98">
        <v>1860</v>
      </c>
      <c r="B98" s="9"/>
      <c r="C98" s="205">
        <v>8.06</v>
      </c>
      <c r="D98" s="205">
        <f t="shared" si="29"/>
        <v>6.1267016533884444</v>
      </c>
      <c r="E98" s="144">
        <v>20.67</v>
      </c>
      <c r="F98" s="132">
        <f t="shared" si="23"/>
        <v>99.999999999999986</v>
      </c>
      <c r="G98" s="126">
        <f t="shared" si="22"/>
        <v>48.26347305389222</v>
      </c>
      <c r="H98" s="15">
        <v>73.8</v>
      </c>
      <c r="I98" s="158"/>
      <c r="J98" s="25">
        <f t="shared" si="19"/>
        <v>73.800000000000011</v>
      </c>
      <c r="K98" s="145">
        <v>4.24</v>
      </c>
      <c r="L98" s="144"/>
      <c r="M98" s="146">
        <v>4.8499999999999996</v>
      </c>
      <c r="N98" s="144"/>
      <c r="O98" s="133">
        <f t="shared" si="25"/>
        <v>4.24</v>
      </c>
      <c r="P98" s="134">
        <f t="shared" si="24"/>
        <v>99.764705882352942</v>
      </c>
      <c r="Q98" s="129">
        <v>102.1</v>
      </c>
      <c r="R98" s="129"/>
      <c r="S98" s="129"/>
      <c r="T98" s="115">
        <f t="shared" si="20"/>
        <v>102.1</v>
      </c>
      <c r="U98" s="25">
        <f t="shared" si="21"/>
        <v>102.34080188679245</v>
      </c>
      <c r="V98" s="135">
        <v>-5.74306531162705</v>
      </c>
      <c r="W98" s="135">
        <v>5.7956170703670002</v>
      </c>
      <c r="X98" s="135">
        <v>2.6275879369976E-2</v>
      </c>
      <c r="Y98" s="135">
        <v>2.61059881139446</v>
      </c>
      <c r="Z98" s="27">
        <f t="shared" si="26"/>
        <v>105.80310880829016</v>
      </c>
      <c r="AA98" s="142">
        <f t="shared" si="27"/>
        <v>114.03223949337939</v>
      </c>
      <c r="AB98" s="143">
        <f t="shared" si="28"/>
        <v>105.55357317430835</v>
      </c>
      <c r="AC98" s="147">
        <v>1860</v>
      </c>
      <c r="AD98" s="148">
        <f t="shared" si="17"/>
        <v>20.649999999999995</v>
      </c>
      <c r="AE98" s="140">
        <f t="shared" si="30"/>
        <v>3.884837647058824</v>
      </c>
      <c r="AF98" s="149">
        <f t="shared" si="18"/>
        <v>0</v>
      </c>
      <c r="AG98" s="149">
        <v>78.844532907063495</v>
      </c>
      <c r="AH98" s="150">
        <v>102.441604555293</v>
      </c>
      <c r="AI98" s="151">
        <v>-5.0223694677751299E-2</v>
      </c>
      <c r="AJ98" s="151">
        <v>73.3695540523792</v>
      </c>
      <c r="AK98" s="151">
        <v>100.821533280762</v>
      </c>
      <c r="AL98" s="151"/>
      <c r="AM98" s="151"/>
      <c r="AN98" s="150"/>
      <c r="AO98" s="150"/>
      <c r="AP98" s="150"/>
      <c r="AQ98" s="150"/>
      <c r="AR98" s="150"/>
      <c r="AS98" s="150"/>
      <c r="AT98" s="152">
        <v>5.3663570691434299E-2</v>
      </c>
      <c r="AU98" s="152">
        <v>1.0892436678004E-2</v>
      </c>
      <c r="AV98" s="152">
        <v>-3.2765399737876802E-2</v>
      </c>
      <c r="AW98" s="152">
        <v>5.1745051818241801E-2</v>
      </c>
      <c r="AX98" s="150"/>
    </row>
    <row r="99" spans="1:50">
      <c r="A99">
        <v>1861</v>
      </c>
      <c r="B99" s="9"/>
      <c r="C99" s="205">
        <v>8.5399999999999991</v>
      </c>
      <c r="D99" s="205">
        <f t="shared" si="29"/>
        <v>6.4915672605381278</v>
      </c>
      <c r="E99" s="144">
        <v>20.67</v>
      </c>
      <c r="F99" s="132">
        <f t="shared" si="23"/>
        <v>99.999999999999986</v>
      </c>
      <c r="G99" s="126">
        <f t="shared" si="22"/>
        <v>51.137724550898199</v>
      </c>
      <c r="H99" s="15">
        <v>70.599999999999994</v>
      </c>
      <c r="I99" s="158"/>
      <c r="J99" s="25">
        <f t="shared" si="19"/>
        <v>70.599999999999994</v>
      </c>
      <c r="K99" s="145">
        <v>4.24</v>
      </c>
      <c r="L99" s="144"/>
      <c r="M99" s="146">
        <v>4.7699999999999996</v>
      </c>
      <c r="N99" s="144"/>
      <c r="O99" s="133">
        <f t="shared" si="25"/>
        <v>4.24</v>
      </c>
      <c r="P99" s="134">
        <f t="shared" si="24"/>
        <v>99.764705882352942</v>
      </c>
      <c r="Q99" s="129">
        <v>101</v>
      </c>
      <c r="R99" s="129"/>
      <c r="S99" s="129"/>
      <c r="T99" s="115">
        <f t="shared" si="20"/>
        <v>101</v>
      </c>
      <c r="U99" s="25">
        <f t="shared" si="21"/>
        <v>101.23820754716981</v>
      </c>
      <c r="V99" s="135">
        <v>-9.0714848665295307</v>
      </c>
      <c r="W99" s="135">
        <v>5.2013078414642901</v>
      </c>
      <c r="X99" s="135">
        <v>-1.93508851253262</v>
      </c>
      <c r="Y99" s="135">
        <v>3.5049368511064598</v>
      </c>
      <c r="Z99" s="27">
        <f t="shared" si="26"/>
        <v>104.66321243523316</v>
      </c>
      <c r="AA99" s="142">
        <f t="shared" si="27"/>
        <v>110.94300518134713</v>
      </c>
      <c r="AB99" s="143">
        <f t="shared" si="28"/>
        <v>104.41636523609347</v>
      </c>
      <c r="AC99" s="147">
        <v>1861</v>
      </c>
      <c r="AD99" s="148">
        <f t="shared" si="17"/>
        <v>20.649999999999995</v>
      </c>
      <c r="AE99" s="140">
        <f t="shared" si="30"/>
        <v>3.884837647058824</v>
      </c>
      <c r="AF99" s="149">
        <f t="shared" si="18"/>
        <v>0</v>
      </c>
      <c r="AG99" s="149">
        <v>79.491467675438102</v>
      </c>
      <c r="AH99" s="150">
        <v>103.206436264961</v>
      </c>
      <c r="AI99" s="151">
        <v>-1.9319252420626699E-2</v>
      </c>
      <c r="AJ99" s="151">
        <v>72.234029519211006</v>
      </c>
      <c r="AK99" s="151">
        <v>102.211771501204</v>
      </c>
      <c r="AL99" s="151"/>
      <c r="AM99" s="151"/>
      <c r="AN99" s="150"/>
      <c r="AO99" s="150"/>
      <c r="AP99" s="150"/>
      <c r="AQ99" s="150"/>
      <c r="AR99" s="150"/>
      <c r="AS99" s="150"/>
      <c r="AT99" s="152">
        <v>-1.07737512242898E-2</v>
      </c>
      <c r="AU99" s="152">
        <v>9.4164057075158299E-3</v>
      </c>
      <c r="AV99" s="152">
        <v>-4.3360433604336002E-2</v>
      </c>
      <c r="AW99" s="152">
        <v>6.0866927127405303E-2</v>
      </c>
      <c r="AX99" s="150"/>
    </row>
    <row r="100" spans="1:50">
      <c r="A100">
        <v>1862</v>
      </c>
      <c r="B100" s="9"/>
      <c r="C100" s="205">
        <v>9.75</v>
      </c>
      <c r="D100" s="205">
        <f t="shared" si="29"/>
        <v>7.4113326452279571</v>
      </c>
      <c r="E100" s="144">
        <v>23.42</v>
      </c>
      <c r="F100" s="132">
        <f t="shared" si="23"/>
        <v>113.30430575713594</v>
      </c>
      <c r="G100" s="126">
        <f t="shared" si="22"/>
        <v>58.383233532934135</v>
      </c>
      <c r="H100" s="15">
        <v>82.5</v>
      </c>
      <c r="I100" s="158"/>
      <c r="J100" s="25">
        <f t="shared" si="19"/>
        <v>72.812766865926562</v>
      </c>
      <c r="K100" s="145">
        <v>4.24</v>
      </c>
      <c r="L100" s="144"/>
      <c r="M100" s="146">
        <v>5.56</v>
      </c>
      <c r="N100" s="144"/>
      <c r="O100" s="133">
        <f t="shared" si="25"/>
        <v>4.24</v>
      </c>
      <c r="P100" s="134">
        <f t="shared" si="24"/>
        <v>99.764705882352942</v>
      </c>
      <c r="Q100" s="129">
        <v>104.1</v>
      </c>
      <c r="R100" s="129"/>
      <c r="S100" s="129"/>
      <c r="T100" s="115">
        <f t="shared" si="20"/>
        <v>104.1</v>
      </c>
      <c r="U100" s="25">
        <f t="shared" si="21"/>
        <v>104.34551886792453</v>
      </c>
      <c r="V100" s="135">
        <v>-6.9977820534767901</v>
      </c>
      <c r="W100" s="135">
        <v>8.8050245803073999</v>
      </c>
      <c r="X100" s="135">
        <v>0.90362126341530502</v>
      </c>
      <c r="Y100" s="135">
        <v>4.5294622765702703</v>
      </c>
      <c r="Z100" s="27">
        <f t="shared" si="26"/>
        <v>107.87564766839378</v>
      </c>
      <c r="AA100" s="142">
        <f t="shared" si="27"/>
        <v>133.28635578583766</v>
      </c>
      <c r="AB100" s="143">
        <f t="shared" si="28"/>
        <v>107.62122397106268</v>
      </c>
      <c r="AC100" s="147">
        <v>1862</v>
      </c>
      <c r="AD100" s="148">
        <f t="shared" si="17"/>
        <v>23.397339138848569</v>
      </c>
      <c r="AE100" s="140">
        <f t="shared" si="30"/>
        <v>3.884837647058824</v>
      </c>
      <c r="AF100" s="149">
        <f t="shared" si="18"/>
        <v>0</v>
      </c>
      <c r="AG100" s="149">
        <v>80.514644528797206</v>
      </c>
      <c r="AH100" s="150">
        <v>103.87506311778201</v>
      </c>
      <c r="AI100" s="151">
        <v>-2.27151767294432E-2</v>
      </c>
      <c r="AJ100" s="151">
        <v>73.045366430483895</v>
      </c>
      <c r="AK100" s="151">
        <v>103.957022801863</v>
      </c>
      <c r="AL100" s="151"/>
      <c r="AM100" s="151"/>
      <c r="AN100" s="150"/>
      <c r="AO100" s="150"/>
      <c r="AP100" s="150"/>
      <c r="AQ100" s="150"/>
      <c r="AR100" s="150"/>
      <c r="AS100" s="150"/>
      <c r="AT100" s="152">
        <v>3.0693069306930599E-2</v>
      </c>
      <c r="AU100" s="152">
        <v>7.9706322839471801E-3</v>
      </c>
      <c r="AV100" s="152">
        <v>0.168555240793201</v>
      </c>
      <c r="AW100" s="152">
        <v>6.8180797525651898E-2</v>
      </c>
      <c r="AX100" s="150"/>
    </row>
    <row r="101" spans="1:50">
      <c r="A101">
        <v>1863</v>
      </c>
      <c r="B101" s="9"/>
      <c r="C101" s="205">
        <v>12.17</v>
      </c>
      <c r="D101" s="205">
        <f t="shared" si="29"/>
        <v>9.2508634146076147</v>
      </c>
      <c r="E101" s="144">
        <v>30.02</v>
      </c>
      <c r="F101" s="132">
        <f t="shared" si="23"/>
        <v>145.23463957426222</v>
      </c>
      <c r="G101" s="126">
        <f t="shared" si="22"/>
        <v>72.874251497005986</v>
      </c>
      <c r="H101" s="15">
        <v>105.4</v>
      </c>
      <c r="I101" s="158"/>
      <c r="J101" s="25">
        <f t="shared" si="19"/>
        <v>72.572218520986013</v>
      </c>
      <c r="K101" s="145">
        <v>4.24</v>
      </c>
      <c r="L101" s="144"/>
      <c r="M101" s="146">
        <v>7.08</v>
      </c>
      <c r="N101" s="144"/>
      <c r="O101" s="133">
        <f t="shared" si="25"/>
        <v>4.24</v>
      </c>
      <c r="P101" s="134">
        <f t="shared" si="24"/>
        <v>99.764705882352942</v>
      </c>
      <c r="Q101" s="129">
        <v>106.2</v>
      </c>
      <c r="R101" s="129"/>
      <c r="S101" s="129"/>
      <c r="T101" s="115">
        <f t="shared" si="20"/>
        <v>106.2</v>
      </c>
      <c r="U101" s="25">
        <f t="shared" si="21"/>
        <v>106.4504716981132</v>
      </c>
      <c r="V101" s="135">
        <v>-7.3816745784312703</v>
      </c>
      <c r="W101" s="135">
        <v>11.3862755896848</v>
      </c>
      <c r="X101" s="135">
        <v>2.00230050562674</v>
      </c>
      <c r="Y101" s="135">
        <v>5.6706692965054399</v>
      </c>
      <c r="Z101" s="27">
        <f t="shared" si="26"/>
        <v>110.05181347150258</v>
      </c>
      <c r="AA101" s="142">
        <f t="shared" si="27"/>
        <v>173.14818652849738</v>
      </c>
      <c r="AB101" s="143">
        <f t="shared" si="28"/>
        <v>109.79225730765471</v>
      </c>
      <c r="AC101" s="147">
        <v>1863</v>
      </c>
      <c r="AD101" s="148">
        <f t="shared" si="17"/>
        <v>29.990953072085144</v>
      </c>
      <c r="AE101" s="140">
        <f t="shared" si="30"/>
        <v>3.884837647058824</v>
      </c>
      <c r="AF101" s="149">
        <f t="shared" si="18"/>
        <v>0</v>
      </c>
      <c r="AG101" s="149">
        <v>81.913643436038498</v>
      </c>
      <c r="AH101" s="150">
        <v>104.421080992334</v>
      </c>
      <c r="AI101" s="151">
        <v>1.36681023170069E-2</v>
      </c>
      <c r="AJ101" s="151">
        <v>75.932353389486195</v>
      </c>
      <c r="AK101" s="151">
        <v>105.392073856016</v>
      </c>
      <c r="AL101" s="151"/>
      <c r="AM101" s="151"/>
      <c r="AN101" s="150"/>
      <c r="AO101" s="150"/>
      <c r="AP101" s="150"/>
      <c r="AQ101" s="150"/>
      <c r="AR101" s="150"/>
      <c r="AS101" s="150"/>
      <c r="AT101" s="152">
        <v>2.0172910662824201E-2</v>
      </c>
      <c r="AU101" s="152">
        <v>6.3747905778478702E-3</v>
      </c>
      <c r="AV101" s="152">
        <v>0.27757575757575698</v>
      </c>
      <c r="AW101" s="152">
        <v>7.0492329669042897E-2</v>
      </c>
      <c r="AX101" s="150"/>
    </row>
    <row r="102" spans="1:50">
      <c r="A102">
        <v>1864</v>
      </c>
      <c r="B102" s="9"/>
      <c r="C102" s="205">
        <v>15.23</v>
      </c>
      <c r="D102" s="205">
        <f t="shared" si="29"/>
        <v>11.576881660186851</v>
      </c>
      <c r="E102" s="144">
        <v>42.03</v>
      </c>
      <c r="F102" s="132">
        <f t="shared" si="23"/>
        <v>203.33817126269955</v>
      </c>
      <c r="G102" s="126">
        <f t="shared" si="22"/>
        <v>91.197604790419163</v>
      </c>
      <c r="H102" s="15">
        <v>153.1</v>
      </c>
      <c r="I102" s="158"/>
      <c r="J102" s="25">
        <f t="shared" si="19"/>
        <v>75.293290506780878</v>
      </c>
      <c r="K102" s="145">
        <v>4.24</v>
      </c>
      <c r="L102" s="144"/>
      <c r="M102" s="146">
        <v>9.9700000000000006</v>
      </c>
      <c r="N102" s="144"/>
      <c r="O102" s="133">
        <f t="shared" si="25"/>
        <v>4.24</v>
      </c>
      <c r="P102" s="134">
        <f t="shared" si="24"/>
        <v>99.764705882352942</v>
      </c>
      <c r="Q102" s="129">
        <v>108.2</v>
      </c>
      <c r="R102" s="129"/>
      <c r="S102" s="129"/>
      <c r="T102" s="115">
        <f t="shared" si="20"/>
        <v>108.2</v>
      </c>
      <c r="U102" s="25">
        <f t="shared" si="21"/>
        <v>108.45518867924528</v>
      </c>
      <c r="V102" s="135">
        <v>-4.8128801473552496</v>
      </c>
      <c r="W102" s="135">
        <v>13.8645883329076</v>
      </c>
      <c r="X102" s="135">
        <v>4.5258540927761599</v>
      </c>
      <c r="Y102" s="135">
        <v>6.8787937094999698</v>
      </c>
      <c r="Z102" s="27">
        <f t="shared" si="26"/>
        <v>112.12435233160622</v>
      </c>
      <c r="AA102" s="142">
        <f t="shared" si="27"/>
        <v>248.41773172135865</v>
      </c>
      <c r="AB102" s="143">
        <f t="shared" si="28"/>
        <v>111.85990810440904</v>
      </c>
      <c r="AC102" s="147">
        <v>1864</v>
      </c>
      <c r="AD102" s="148">
        <f t="shared" ref="AD102:AD165" si="31">$AD$168*F102/100</f>
        <v>41.989332365747451</v>
      </c>
      <c r="AE102" s="140">
        <f t="shared" si="30"/>
        <v>3.884837647058824</v>
      </c>
      <c r="AF102" s="149">
        <f t="shared" ref="AF102:AF165" si="32">(J102*F102/100)-H102</f>
        <v>0</v>
      </c>
      <c r="AG102" s="149">
        <v>83.611097920771996</v>
      </c>
      <c r="AH102" s="150">
        <v>104.82243513601399</v>
      </c>
      <c r="AI102" s="151">
        <v>0.226236765168981</v>
      </c>
      <c r="AJ102" s="151">
        <v>80.948656856011496</v>
      </c>
      <c r="AK102" s="151">
        <v>105.969370402983</v>
      </c>
      <c r="AL102" s="151"/>
      <c r="AM102" s="151"/>
      <c r="AN102" s="150"/>
      <c r="AO102" s="150"/>
      <c r="AP102" s="150"/>
      <c r="AQ102" s="150"/>
      <c r="AR102" s="150"/>
      <c r="AS102" s="150"/>
      <c r="AT102" s="152">
        <v>1.88323917137476E-2</v>
      </c>
      <c r="AU102" s="152">
        <v>4.6757791299976001E-3</v>
      </c>
      <c r="AV102" s="152">
        <v>0.45256166982922102</v>
      </c>
      <c r="AW102" s="152">
        <v>6.5610934646315094E-2</v>
      </c>
      <c r="AX102" s="150"/>
    </row>
    <row r="103" spans="1:50">
      <c r="A103">
        <v>1865</v>
      </c>
      <c r="B103" s="9"/>
      <c r="C103" s="205">
        <v>15.79</v>
      </c>
      <c r="D103" s="205">
        <f t="shared" si="29"/>
        <v>12.002558201861481</v>
      </c>
      <c r="E103" s="144">
        <v>32.520000000000003</v>
      </c>
      <c r="F103" s="132">
        <f t="shared" si="23"/>
        <v>157.32946298984035</v>
      </c>
      <c r="G103" s="126">
        <f t="shared" si="22"/>
        <v>94.550898203592823</v>
      </c>
      <c r="H103" s="15">
        <v>146.6</v>
      </c>
      <c r="I103" s="158"/>
      <c r="J103" s="25">
        <f t="shared" si="19"/>
        <v>93.180258302583027</v>
      </c>
      <c r="K103" s="145">
        <v>4.24</v>
      </c>
      <c r="L103" s="144"/>
      <c r="M103" s="146">
        <v>7.69</v>
      </c>
      <c r="N103" s="144"/>
      <c r="O103" s="133">
        <f t="shared" si="25"/>
        <v>4.24</v>
      </c>
      <c r="P103" s="134">
        <f t="shared" si="24"/>
        <v>99.764705882352942</v>
      </c>
      <c r="Q103" s="129">
        <v>104.1</v>
      </c>
      <c r="R103" s="129"/>
      <c r="S103" s="129"/>
      <c r="T103" s="115">
        <f t="shared" si="20"/>
        <v>104.1</v>
      </c>
      <c r="U103" s="25">
        <f t="shared" si="21"/>
        <v>104.34551886792453</v>
      </c>
      <c r="V103" s="135">
        <v>12.918883533788801</v>
      </c>
      <c r="W103" s="135">
        <v>10.2095094338104</v>
      </c>
      <c r="X103" s="135">
        <v>11.5641964837996</v>
      </c>
      <c r="Y103" s="135">
        <v>8.0673876262330602</v>
      </c>
      <c r="Z103" s="27">
        <f t="shared" si="26"/>
        <v>107.87564766839378</v>
      </c>
      <c r="AA103" s="142">
        <f t="shared" si="27"/>
        <v>184.34749568221071</v>
      </c>
      <c r="AB103" s="143">
        <f t="shared" si="28"/>
        <v>107.62122397106268</v>
      </c>
      <c r="AC103" s="147">
        <v>1865</v>
      </c>
      <c r="AD103" s="148">
        <f t="shared" si="31"/>
        <v>32.488534107402032</v>
      </c>
      <c r="AE103" s="140">
        <f t="shared" si="30"/>
        <v>3.884837647058824</v>
      </c>
      <c r="AF103" s="149">
        <f t="shared" si="32"/>
        <v>0</v>
      </c>
      <c r="AG103" s="149">
        <v>85.436405072247197</v>
      </c>
      <c r="AH103" s="150">
        <v>105.076959986297</v>
      </c>
      <c r="AI103" s="151">
        <v>0.27440569918812902</v>
      </c>
      <c r="AJ103" s="151">
        <v>87.033825493358094</v>
      </c>
      <c r="AK103" s="151">
        <v>105.480666896749</v>
      </c>
      <c r="AL103" s="151"/>
      <c r="AM103" s="151"/>
      <c r="AN103" s="150"/>
      <c r="AO103" s="150"/>
      <c r="AP103" s="150"/>
      <c r="AQ103" s="150"/>
      <c r="AR103" s="150"/>
      <c r="AS103" s="150"/>
      <c r="AT103" s="152">
        <v>-3.7892791127541597E-2</v>
      </c>
      <c r="AU103" s="152">
        <v>3.05847768202579E-3</v>
      </c>
      <c r="AV103" s="152">
        <v>-4.2455911169170399E-2</v>
      </c>
      <c r="AW103" s="152">
        <v>5.3416857825272397E-2</v>
      </c>
      <c r="AX103" s="150"/>
    </row>
    <row r="104" spans="1:50">
      <c r="A104">
        <v>1866</v>
      </c>
      <c r="B104" s="9"/>
      <c r="C104" s="205">
        <v>15.39</v>
      </c>
      <c r="D104" s="205">
        <f t="shared" si="29"/>
        <v>11.698503529236746</v>
      </c>
      <c r="E104" s="144">
        <v>29.13</v>
      </c>
      <c r="F104" s="132">
        <f t="shared" si="23"/>
        <v>140.92888243831638</v>
      </c>
      <c r="G104" s="126">
        <f t="shared" si="22"/>
        <v>92.155688622754496</v>
      </c>
      <c r="H104" s="15">
        <v>137.9</v>
      </c>
      <c r="I104" s="158"/>
      <c r="J104" s="25">
        <f t="shared" si="19"/>
        <v>97.850772399588067</v>
      </c>
      <c r="K104" s="145">
        <v>4.24</v>
      </c>
      <c r="L104" s="144"/>
      <c r="M104" s="146">
        <v>6.88</v>
      </c>
      <c r="N104" s="144"/>
      <c r="O104" s="133">
        <f t="shared" si="25"/>
        <v>4.24</v>
      </c>
      <c r="P104" s="134">
        <f t="shared" si="24"/>
        <v>99.764705882352942</v>
      </c>
      <c r="Q104" s="129">
        <v>105.2</v>
      </c>
      <c r="R104" s="129"/>
      <c r="S104" s="129"/>
      <c r="T104" s="115">
        <f t="shared" si="20"/>
        <v>105.2</v>
      </c>
      <c r="U104" s="25">
        <f t="shared" si="21"/>
        <v>105.44811320754717</v>
      </c>
      <c r="V104" s="135">
        <v>17.423898759038501</v>
      </c>
      <c r="W104" s="135">
        <v>11.7506046767506</v>
      </c>
      <c r="X104" s="135">
        <v>14.5872517178945</v>
      </c>
      <c r="Y104" s="135">
        <v>9.1264737612166904</v>
      </c>
      <c r="Z104" s="27">
        <f t="shared" si="26"/>
        <v>109.01554404145078</v>
      </c>
      <c r="AA104" s="142">
        <f t="shared" si="27"/>
        <v>166.67265400115141</v>
      </c>
      <c r="AB104" s="143">
        <f t="shared" si="28"/>
        <v>108.75843190927756</v>
      </c>
      <c r="AC104" s="147">
        <v>1866</v>
      </c>
      <c r="AD104" s="148">
        <f t="shared" si="31"/>
        <v>29.101814223512328</v>
      </c>
      <c r="AE104" s="140">
        <f t="shared" si="30"/>
        <v>3.884837647058824</v>
      </c>
      <c r="AF104" s="149">
        <f t="shared" si="32"/>
        <v>0</v>
      </c>
      <c r="AG104" s="149">
        <v>87.135951000505898</v>
      </c>
      <c r="AH104" s="150">
        <v>105.218465629298</v>
      </c>
      <c r="AI104" s="151">
        <v>0.22227572724061601</v>
      </c>
      <c r="AJ104" s="151">
        <v>91.247855679487003</v>
      </c>
      <c r="AK104" s="151">
        <v>104.534594323636</v>
      </c>
      <c r="AL104" s="151"/>
      <c r="AM104" s="151"/>
      <c r="AN104" s="150"/>
      <c r="AO104" s="150"/>
      <c r="AP104" s="150"/>
      <c r="AQ104" s="150"/>
      <c r="AR104" s="150"/>
      <c r="AS104" s="150"/>
      <c r="AT104" s="152">
        <v>1.0566762728146099E-2</v>
      </c>
      <c r="AU104" s="152">
        <v>1.8493321013993999E-3</v>
      </c>
      <c r="AV104" s="152">
        <v>-5.9345156889495099E-2</v>
      </c>
      <c r="AW104" s="152">
        <v>3.7659851925547903E-2</v>
      </c>
      <c r="AX104" s="150"/>
    </row>
    <row r="105" spans="1:50">
      <c r="A105">
        <v>1867</v>
      </c>
      <c r="B105" s="9"/>
      <c r="C105" s="205">
        <v>14.34</v>
      </c>
      <c r="D105" s="205">
        <f t="shared" si="29"/>
        <v>10.900360013596812</v>
      </c>
      <c r="E105" s="144">
        <v>28.57</v>
      </c>
      <c r="F105" s="132">
        <f t="shared" si="23"/>
        <v>138.2196419932269</v>
      </c>
      <c r="G105" s="126">
        <f t="shared" si="22"/>
        <v>85.868263473053901</v>
      </c>
      <c r="H105" s="15">
        <v>128.5</v>
      </c>
      <c r="J105" s="25">
        <f t="shared" si="19"/>
        <v>92.967973398669926</v>
      </c>
      <c r="K105" s="145">
        <v>4.24</v>
      </c>
      <c r="L105" s="144"/>
      <c r="M105" s="146">
        <v>6.75</v>
      </c>
      <c r="N105" s="144"/>
      <c r="O105" s="133">
        <f t="shared" si="25"/>
        <v>4.24</v>
      </c>
      <c r="P105" s="134">
        <f t="shared" si="24"/>
        <v>99.764705882352942</v>
      </c>
      <c r="Q105" s="129">
        <v>103.1</v>
      </c>
      <c r="R105" s="129"/>
      <c r="S105" s="129"/>
      <c r="T105" s="115">
        <f t="shared" si="20"/>
        <v>103.1</v>
      </c>
      <c r="U105" s="25">
        <f t="shared" si="21"/>
        <v>103.34316037735849</v>
      </c>
      <c r="V105" s="135">
        <v>12.372447822431599</v>
      </c>
      <c r="W105" s="135">
        <v>10.0674590066084</v>
      </c>
      <c r="X105" s="135">
        <v>11.219953414520001</v>
      </c>
      <c r="Y105" s="135">
        <v>9.9810429175385007</v>
      </c>
      <c r="Z105" s="27">
        <f t="shared" si="26"/>
        <v>106.83937823834196</v>
      </c>
      <c r="AA105" s="142">
        <f t="shared" si="27"/>
        <v>160.25906735751295</v>
      </c>
      <c r="AB105" s="143">
        <f t="shared" si="28"/>
        <v>106.58739857268552</v>
      </c>
      <c r="AC105" s="147">
        <v>1867</v>
      </c>
      <c r="AD105" s="148">
        <f t="shared" si="31"/>
        <v>28.542356071601354</v>
      </c>
      <c r="AE105" s="140">
        <f t="shared" si="30"/>
        <v>3.884837647058824</v>
      </c>
      <c r="AF105" s="149">
        <f t="shared" si="32"/>
        <v>0</v>
      </c>
      <c r="AG105" s="149">
        <v>88.533757764867602</v>
      </c>
      <c r="AH105" s="150">
        <v>105.273092551269</v>
      </c>
      <c r="AI105" s="151">
        <v>0.18523173324620301</v>
      </c>
      <c r="AJ105" s="151">
        <v>92.706135294573201</v>
      </c>
      <c r="AK105" s="151">
        <v>103.349561371051</v>
      </c>
      <c r="AL105" s="151"/>
      <c r="AM105" s="151"/>
      <c r="AN105" s="150"/>
      <c r="AO105" s="150"/>
      <c r="AP105" s="150"/>
      <c r="AQ105" s="150"/>
      <c r="AR105" s="150"/>
      <c r="AS105" s="150"/>
      <c r="AT105" s="152">
        <v>-1.9961977186311802E-2</v>
      </c>
      <c r="AU105" s="152">
        <v>9.6527556748968396E-4</v>
      </c>
      <c r="AV105" s="152">
        <v>-6.8165337200870202E-2</v>
      </c>
      <c r="AW105" s="152">
        <v>2.1130941976829899E-2</v>
      </c>
      <c r="AX105" s="150"/>
    </row>
    <row r="106" spans="1:50">
      <c r="A106">
        <v>1868</v>
      </c>
      <c r="B106" s="9"/>
      <c r="C106" s="205">
        <v>13.78</v>
      </c>
      <c r="D106" s="205">
        <f t="shared" si="29"/>
        <v>10.47468347192218</v>
      </c>
      <c r="E106" s="144">
        <v>28.88</v>
      </c>
      <c r="F106" s="132">
        <f t="shared" si="23"/>
        <v>139.71940009675856</v>
      </c>
      <c r="G106" s="126">
        <f t="shared" si="22"/>
        <v>82.514970059880241</v>
      </c>
      <c r="H106" s="15">
        <v>125.3</v>
      </c>
      <c r="J106" s="25">
        <f t="shared" si="19"/>
        <v>89.679743767313042</v>
      </c>
      <c r="K106" s="145">
        <v>4.24</v>
      </c>
      <c r="L106" s="144"/>
      <c r="M106" s="146">
        <v>6.83</v>
      </c>
      <c r="N106" s="144"/>
      <c r="O106" s="133">
        <f t="shared" si="25"/>
        <v>4.24</v>
      </c>
      <c r="P106" s="134">
        <f t="shared" si="24"/>
        <v>99.764705882352942</v>
      </c>
      <c r="Q106" s="129">
        <v>102.1</v>
      </c>
      <c r="R106" s="129"/>
      <c r="S106" s="129"/>
      <c r="T106" s="115">
        <f t="shared" si="20"/>
        <v>102.1</v>
      </c>
      <c r="U106" s="25">
        <f t="shared" si="21"/>
        <v>102.34080188679245</v>
      </c>
      <c r="V106" s="135">
        <v>8.9048130180055693</v>
      </c>
      <c r="W106" s="135">
        <v>9.4796765287872695</v>
      </c>
      <c r="X106" s="135">
        <v>9.1922447733964194</v>
      </c>
      <c r="Y106" s="135">
        <v>10.6106936778529</v>
      </c>
      <c r="Z106" s="27">
        <f t="shared" si="26"/>
        <v>105.80310880829016</v>
      </c>
      <c r="AA106" s="142">
        <f t="shared" si="27"/>
        <v>160.58560736902709</v>
      </c>
      <c r="AB106" s="143">
        <f t="shared" si="28"/>
        <v>105.55357317430835</v>
      </c>
      <c r="AC106" s="147">
        <v>1868</v>
      </c>
      <c r="AD106" s="148">
        <f t="shared" si="31"/>
        <v>28.852056119980638</v>
      </c>
      <c r="AE106" s="140">
        <f t="shared" si="30"/>
        <v>3.884837647058824</v>
      </c>
      <c r="AF106" s="149">
        <f t="shared" si="32"/>
        <v>0</v>
      </c>
      <c r="AG106" s="149">
        <v>89.561187914646396</v>
      </c>
      <c r="AH106" s="150">
        <v>105.26889658216901</v>
      </c>
      <c r="AI106" s="151">
        <v>0.18752510045054099</v>
      </c>
      <c r="AJ106" s="151">
        <v>92.7314336589627</v>
      </c>
      <c r="AK106" s="151">
        <v>102.43577861852</v>
      </c>
      <c r="AL106" s="151"/>
      <c r="AM106" s="151"/>
      <c r="AN106" s="150"/>
      <c r="AO106" s="150"/>
      <c r="AP106" s="150"/>
      <c r="AQ106" s="150"/>
      <c r="AR106" s="150"/>
      <c r="AS106" s="150"/>
      <c r="AT106" s="152">
        <v>-9.6993210475266704E-3</v>
      </c>
      <c r="AU106" s="152">
        <v>4.10415565935376E-4</v>
      </c>
      <c r="AV106" s="152">
        <v>-2.49027237354085E-2</v>
      </c>
      <c r="AW106" s="152">
        <v>5.6511029206567998E-3</v>
      </c>
      <c r="AX106" s="150"/>
    </row>
    <row r="107" spans="1:50">
      <c r="A107">
        <v>1869</v>
      </c>
      <c r="B107" s="9"/>
      <c r="C107" s="205">
        <v>13.21</v>
      </c>
      <c r="D107" s="205">
        <f t="shared" si="29"/>
        <v>10.04140556343193</v>
      </c>
      <c r="E107" s="144">
        <v>27.49</v>
      </c>
      <c r="F107" s="132">
        <f t="shared" si="23"/>
        <v>132.99467827769715</v>
      </c>
      <c r="G107" s="126">
        <f t="shared" si="22"/>
        <v>79.101796407185631</v>
      </c>
      <c r="H107" s="15">
        <v>119.7</v>
      </c>
      <c r="J107" s="25">
        <f t="shared" si="19"/>
        <v>90.003601309567117</v>
      </c>
      <c r="K107" s="145">
        <v>4.24</v>
      </c>
      <c r="L107" s="144"/>
      <c r="M107" s="146">
        <v>6.48</v>
      </c>
      <c r="N107" s="144"/>
      <c r="O107" s="133">
        <f t="shared" si="25"/>
        <v>4.24</v>
      </c>
      <c r="P107" s="134">
        <f t="shared" si="24"/>
        <v>99.764705882352942</v>
      </c>
      <c r="Q107" s="129">
        <v>101</v>
      </c>
      <c r="R107" s="129"/>
      <c r="S107" s="129"/>
      <c r="T107" s="115">
        <f t="shared" si="20"/>
        <v>101</v>
      </c>
      <c r="U107" s="25">
        <f t="shared" si="21"/>
        <v>101.23820754716981</v>
      </c>
      <c r="V107" s="135">
        <v>9.0412766397981201</v>
      </c>
      <c r="W107" s="135">
        <v>8.7768805092138003</v>
      </c>
      <c r="X107" s="135">
        <v>8.9090785745059602</v>
      </c>
      <c r="Y107" s="135">
        <v>11.007413729784099</v>
      </c>
      <c r="Z107" s="27">
        <f t="shared" si="26"/>
        <v>104.66321243523316</v>
      </c>
      <c r="AA107" s="142">
        <f t="shared" si="27"/>
        <v>150.71502590673578</v>
      </c>
      <c r="AB107" s="143">
        <f t="shared" si="28"/>
        <v>104.41636523609347</v>
      </c>
      <c r="AC107" s="147">
        <v>1869</v>
      </c>
      <c r="AD107" s="148">
        <f t="shared" si="31"/>
        <v>27.463401064344456</v>
      </c>
      <c r="AE107" s="140">
        <f t="shared" si="30"/>
        <v>3.884837647058824</v>
      </c>
      <c r="AF107" s="149">
        <f t="shared" si="32"/>
        <v>0</v>
      </c>
      <c r="AG107" s="149">
        <v>90.194066421507998</v>
      </c>
      <c r="AH107" s="150">
        <v>105.214302626444</v>
      </c>
      <c r="AI107" s="151">
        <v>0.22031559792878899</v>
      </c>
      <c r="AJ107" s="151">
        <v>92.737808328143601</v>
      </c>
      <c r="AK107" s="151">
        <v>102.29026952188801</v>
      </c>
      <c r="AL107" s="151"/>
      <c r="AM107" s="151"/>
      <c r="AN107" s="150"/>
      <c r="AO107" s="150"/>
      <c r="AP107" s="150"/>
      <c r="AQ107" s="150"/>
      <c r="AR107" s="150"/>
      <c r="AS107" s="150"/>
      <c r="AT107" s="152">
        <v>-1.07737512242898E-2</v>
      </c>
      <c r="AU107" s="152">
        <v>-2.04129451628036E-5</v>
      </c>
      <c r="AV107" s="152">
        <v>-4.4692737430167502E-2</v>
      </c>
      <c r="AW107" s="152">
        <v>-7.8516530932104794E-3</v>
      </c>
      <c r="AX107" s="150"/>
    </row>
    <row r="108" spans="1:50">
      <c r="A108">
        <v>1870</v>
      </c>
      <c r="B108" s="9"/>
      <c r="C108" s="205">
        <v>12.65</v>
      </c>
      <c r="D108" s="205">
        <f t="shared" si="29"/>
        <v>9.6157290217572982</v>
      </c>
      <c r="E108" s="144">
        <v>23.75</v>
      </c>
      <c r="F108" s="132">
        <f t="shared" si="23"/>
        <v>114.90082244799225</v>
      </c>
      <c r="G108" s="126">
        <f t="shared" si="22"/>
        <v>75.748502994011986</v>
      </c>
      <c r="H108" s="15">
        <v>107</v>
      </c>
      <c r="J108" s="25">
        <f t="shared" si="19"/>
        <v>93.123789473684212</v>
      </c>
      <c r="K108" s="145">
        <v>4.24</v>
      </c>
      <c r="L108" s="144"/>
      <c r="M108" s="146">
        <v>5.59</v>
      </c>
      <c r="N108" s="144"/>
      <c r="O108" s="133">
        <f t="shared" si="25"/>
        <v>4.24</v>
      </c>
      <c r="P108" s="134">
        <f t="shared" si="24"/>
        <v>99.764705882352942</v>
      </c>
      <c r="Q108" s="129">
        <v>99</v>
      </c>
      <c r="R108" s="129"/>
      <c r="S108" s="129"/>
      <c r="T108" s="115">
        <f t="shared" si="20"/>
        <v>99</v>
      </c>
      <c r="U108" s="25">
        <f t="shared" si="21"/>
        <v>99.23349056603773</v>
      </c>
      <c r="V108" s="135">
        <v>11.972120981846899</v>
      </c>
      <c r="W108" s="135">
        <v>7.1487133743373104</v>
      </c>
      <c r="X108" s="135">
        <v>9.5604171780920808</v>
      </c>
      <c r="Y108" s="135">
        <v>11.1490062719118</v>
      </c>
      <c r="Z108" s="27">
        <f t="shared" si="26"/>
        <v>102.59067357512953</v>
      </c>
      <c r="AA108" s="142">
        <f t="shared" si="27"/>
        <v>127.440414507772</v>
      </c>
      <c r="AB108" s="143">
        <f t="shared" si="28"/>
        <v>102.34871443933913</v>
      </c>
      <c r="AC108" s="147">
        <v>1870</v>
      </c>
      <c r="AD108" s="148">
        <f t="shared" si="31"/>
        <v>23.727019835510401</v>
      </c>
      <c r="AE108" s="140">
        <f t="shared" si="30"/>
        <v>3.884837647058824</v>
      </c>
      <c r="AF108" s="149">
        <f t="shared" si="32"/>
        <v>0</v>
      </c>
      <c r="AG108" s="149">
        <v>90.409506377971596</v>
      </c>
      <c r="AH108" s="150">
        <v>105.088046622718</v>
      </c>
      <c r="AI108" s="151">
        <v>0.21005651805678099</v>
      </c>
      <c r="AJ108" s="151">
        <v>93.1255056379498</v>
      </c>
      <c r="AK108" s="151">
        <v>103.364797997491</v>
      </c>
      <c r="AL108" s="151"/>
      <c r="AM108" s="151"/>
      <c r="AN108" s="150"/>
      <c r="AO108" s="150"/>
      <c r="AP108" s="150"/>
      <c r="AQ108" s="150"/>
      <c r="AR108" s="150"/>
      <c r="AS108" s="150"/>
      <c r="AT108" s="152">
        <v>-1.9801980198019799E-2</v>
      </c>
      <c r="AU108" s="152">
        <v>-6.3347237383876002E-4</v>
      </c>
      <c r="AV108" s="152">
        <v>-0.10609857978279</v>
      </c>
      <c r="AW108" s="152">
        <v>-1.8754852181571399E-2</v>
      </c>
      <c r="AX108" s="150"/>
    </row>
    <row r="109" spans="1:50">
      <c r="A109">
        <v>1871</v>
      </c>
      <c r="B109" s="9"/>
      <c r="C109" s="205">
        <v>11.84</v>
      </c>
      <c r="D109" s="205">
        <f t="shared" si="29"/>
        <v>9.0000183096922068</v>
      </c>
      <c r="E109" s="144">
        <v>23.09</v>
      </c>
      <c r="F109" s="132">
        <f t="shared" si="23"/>
        <v>111.70778906627962</v>
      </c>
      <c r="G109" s="126">
        <f t="shared" si="22"/>
        <v>70.898203592814369</v>
      </c>
      <c r="H109" s="15">
        <v>103.1</v>
      </c>
      <c r="I109" s="159"/>
      <c r="J109" s="25">
        <f t="shared" si="19"/>
        <v>92.294369857080994</v>
      </c>
      <c r="K109" s="145">
        <v>4.24</v>
      </c>
      <c r="L109" s="144"/>
      <c r="M109" s="146">
        <v>5.46</v>
      </c>
      <c r="N109" s="144"/>
      <c r="O109" s="133">
        <f t="shared" si="25"/>
        <v>4.24</v>
      </c>
      <c r="P109" s="134">
        <f t="shared" si="24"/>
        <v>99.764705882352942</v>
      </c>
      <c r="Q109" s="129">
        <v>103.1</v>
      </c>
      <c r="R109" s="129"/>
      <c r="S109" s="129"/>
      <c r="T109" s="115">
        <f t="shared" si="20"/>
        <v>103.1</v>
      </c>
      <c r="U109" s="25">
        <f t="shared" si="21"/>
        <v>103.34316037735849</v>
      </c>
      <c r="V109" s="135">
        <v>10.947628338189499</v>
      </c>
      <c r="W109" s="135">
        <v>11.6248367111302</v>
      </c>
      <c r="X109" s="135">
        <v>11.2862325246598</v>
      </c>
      <c r="Y109" s="135">
        <v>10.992291151262799</v>
      </c>
      <c r="Z109" s="27">
        <f t="shared" si="26"/>
        <v>106.83937823834196</v>
      </c>
      <c r="AA109" s="142">
        <f t="shared" si="27"/>
        <v>129.63177892918824</v>
      </c>
      <c r="AB109" s="143">
        <f t="shared" si="28"/>
        <v>106.58739857268552</v>
      </c>
      <c r="AC109" s="147">
        <v>1871</v>
      </c>
      <c r="AD109" s="148">
        <f t="shared" si="31"/>
        <v>23.06765844218674</v>
      </c>
      <c r="AE109" s="140">
        <f t="shared" si="30"/>
        <v>3.884837647058824</v>
      </c>
      <c r="AF109" s="149">
        <f t="shared" si="32"/>
        <v>0</v>
      </c>
      <c r="AG109" s="149">
        <v>90.182680212341197</v>
      </c>
      <c r="AH109" s="150">
        <v>104.82872148335299</v>
      </c>
      <c r="AI109" s="151">
        <v>0.24688934162261</v>
      </c>
      <c r="AJ109" s="151">
        <v>93.382169148167407</v>
      </c>
      <c r="AK109" s="151">
        <v>105.747704787705</v>
      </c>
      <c r="AL109" s="151"/>
      <c r="AM109" s="151"/>
      <c r="AN109" s="150"/>
      <c r="AO109" s="150"/>
      <c r="AP109" s="150"/>
      <c r="AQ109" s="150"/>
      <c r="AR109" s="150"/>
      <c r="AS109" s="150"/>
      <c r="AT109" s="152">
        <v>4.1414141414141299E-2</v>
      </c>
      <c r="AU109" s="152">
        <v>-1.84255851091766E-3</v>
      </c>
      <c r="AV109" s="152">
        <v>-3.6448598130841101E-2</v>
      </c>
      <c r="AW109" s="152">
        <v>-2.6804431304595099E-2</v>
      </c>
      <c r="AX109" s="150"/>
    </row>
    <row r="110" spans="1:50">
      <c r="A110">
        <v>1872</v>
      </c>
      <c r="B110" s="9"/>
      <c r="C110" s="205">
        <v>11.84</v>
      </c>
      <c r="D110" s="205">
        <f t="shared" si="29"/>
        <v>9.0000183096922068</v>
      </c>
      <c r="E110" s="144">
        <v>23.24</v>
      </c>
      <c r="F110" s="132">
        <f t="shared" si="23"/>
        <v>112.43347847121431</v>
      </c>
      <c r="G110" s="126">
        <f t="shared" si="22"/>
        <v>70.898203592814369</v>
      </c>
      <c r="H110" s="15">
        <v>107.8</v>
      </c>
      <c r="I110" s="159"/>
      <c r="J110" s="25">
        <f t="shared" si="19"/>
        <v>95.878915662650613</v>
      </c>
      <c r="K110" s="145">
        <v>4.24</v>
      </c>
      <c r="L110" s="144"/>
      <c r="M110" s="146">
        <v>5.45</v>
      </c>
      <c r="N110" s="144"/>
      <c r="O110" s="133">
        <f t="shared" si="25"/>
        <v>4.24</v>
      </c>
      <c r="P110" s="134">
        <f t="shared" si="24"/>
        <v>99.764705882352942</v>
      </c>
      <c r="Q110" s="129">
        <v>112.4</v>
      </c>
      <c r="R110" s="129"/>
      <c r="S110" s="129"/>
      <c r="T110" s="115">
        <f t="shared" si="20"/>
        <v>112.4</v>
      </c>
      <c r="U110" s="25">
        <f t="shared" si="21"/>
        <v>112.66509433962264</v>
      </c>
      <c r="V110" s="135">
        <v>14.338081002863399</v>
      </c>
      <c r="W110" s="135">
        <v>21.304931267088101</v>
      </c>
      <c r="X110" s="135">
        <v>17.821506134975799</v>
      </c>
      <c r="Y110" s="135">
        <v>10.478202323925901</v>
      </c>
      <c r="Z110" s="27">
        <f t="shared" si="26"/>
        <v>116.47668393782384</v>
      </c>
      <c r="AA110" s="142">
        <f t="shared" si="27"/>
        <v>141.06620610247555</v>
      </c>
      <c r="AB110" s="143">
        <f t="shared" si="28"/>
        <v>116.20197477759314</v>
      </c>
      <c r="AC110" s="147">
        <v>1872</v>
      </c>
      <c r="AD110" s="148">
        <f t="shared" si="31"/>
        <v>23.217513304305754</v>
      </c>
      <c r="AE110" s="140">
        <f t="shared" si="30"/>
        <v>3.884837647058824</v>
      </c>
      <c r="AF110" s="149">
        <f t="shared" si="32"/>
        <v>0</v>
      </c>
      <c r="AG110" s="149">
        <v>89.515865289141303</v>
      </c>
      <c r="AH110" s="150">
        <v>104.316039654479</v>
      </c>
      <c r="AI110" s="151">
        <v>0.21033822695812299</v>
      </c>
      <c r="AJ110" s="151">
        <v>92.993607205932307</v>
      </c>
      <c r="AK110" s="151">
        <v>108.139064635739</v>
      </c>
      <c r="AL110" s="151"/>
      <c r="AM110" s="151"/>
      <c r="AN110" s="150"/>
      <c r="AO110" s="150"/>
      <c r="AP110" s="150"/>
      <c r="AQ110" s="150"/>
      <c r="AR110" s="150"/>
      <c r="AS110" s="150"/>
      <c r="AT110" s="152">
        <v>9.0203685741998094E-2</v>
      </c>
      <c r="AU110" s="152">
        <v>-4.2531522254665001E-3</v>
      </c>
      <c r="AV110" s="152">
        <v>4.5586808923375299E-2</v>
      </c>
      <c r="AW110" s="152">
        <v>-3.2619764698462901E-2</v>
      </c>
      <c r="AX110" s="150"/>
    </row>
    <row r="111" spans="1:50">
      <c r="A111">
        <v>1873</v>
      </c>
      <c r="B111" s="9"/>
      <c r="C111" s="205">
        <v>11.6</v>
      </c>
      <c r="D111" s="205">
        <f t="shared" si="29"/>
        <v>8.8175855061173642</v>
      </c>
      <c r="E111" s="144">
        <v>23.52</v>
      </c>
      <c r="F111" s="132">
        <f t="shared" si="23"/>
        <v>113.78809869375907</v>
      </c>
      <c r="G111" s="126">
        <f t="shared" si="22"/>
        <v>69.461077844311376</v>
      </c>
      <c r="H111" s="15">
        <v>105.4</v>
      </c>
      <c r="I111" s="159"/>
      <c r="J111" s="25">
        <f t="shared" si="19"/>
        <v>92.628316326530609</v>
      </c>
      <c r="K111" s="145">
        <v>4.24</v>
      </c>
      <c r="L111" s="144"/>
      <c r="M111" s="146">
        <v>5.55</v>
      </c>
      <c r="N111" s="144"/>
      <c r="O111" s="133">
        <f t="shared" si="25"/>
        <v>4.24</v>
      </c>
      <c r="P111" s="134">
        <f t="shared" si="24"/>
        <v>99.764705882352942</v>
      </c>
      <c r="Q111" s="129">
        <v>114.4</v>
      </c>
      <c r="R111" s="129"/>
      <c r="S111" s="129"/>
      <c r="T111" s="115">
        <f t="shared" si="20"/>
        <v>114.4</v>
      </c>
      <c r="U111" s="25">
        <f t="shared" si="21"/>
        <v>114.66981132075472</v>
      </c>
      <c r="V111" s="135">
        <v>10.883761269906501</v>
      </c>
      <c r="W111" s="135">
        <v>23.638696950229399</v>
      </c>
      <c r="X111" s="135">
        <v>17.261229110067902</v>
      </c>
      <c r="Y111" s="135">
        <v>9.5506131597236905</v>
      </c>
      <c r="Z111" s="27">
        <f t="shared" si="26"/>
        <v>118.54922279792746</v>
      </c>
      <c r="AA111" s="142">
        <f t="shared" si="27"/>
        <v>146.21070811744386</v>
      </c>
      <c r="AB111" s="143">
        <f t="shared" si="28"/>
        <v>118.26962557434746</v>
      </c>
      <c r="AC111" s="147">
        <v>1873</v>
      </c>
      <c r="AD111" s="148">
        <f t="shared" si="31"/>
        <v>23.497242380261245</v>
      </c>
      <c r="AE111" s="140">
        <f t="shared" si="30"/>
        <v>3.884837647058824</v>
      </c>
      <c r="AF111" s="149">
        <f t="shared" si="32"/>
        <v>0</v>
      </c>
      <c r="AG111" s="149">
        <v>88.432512170772995</v>
      </c>
      <c r="AH111" s="150">
        <v>103.414526367398</v>
      </c>
      <c r="AI111" s="151">
        <v>0.17733170034040199</v>
      </c>
      <c r="AJ111" s="151">
        <v>91.084905108991506</v>
      </c>
      <c r="AK111" s="151">
        <v>108.42638402223599</v>
      </c>
      <c r="AL111" s="155">
        <v>110</v>
      </c>
      <c r="AM111" s="155">
        <v>91</v>
      </c>
      <c r="AN111" s="150"/>
      <c r="AO111" s="150"/>
      <c r="AP111" s="150"/>
      <c r="AQ111" s="150"/>
      <c r="AR111" s="150"/>
      <c r="AS111" s="150"/>
      <c r="AT111" s="152">
        <v>1.7793594306049799E-2</v>
      </c>
      <c r="AU111" s="152">
        <v>-8.0381673873016705E-3</v>
      </c>
      <c r="AV111" s="152">
        <v>-2.2263450834879302E-2</v>
      </c>
      <c r="AW111" s="152">
        <v>-3.6916668267618399E-2</v>
      </c>
      <c r="AX111" s="150"/>
    </row>
    <row r="112" spans="1:50">
      <c r="A112">
        <v>1874</v>
      </c>
      <c r="B112" s="9"/>
      <c r="C112" s="205">
        <v>11.04</v>
      </c>
      <c r="D112" s="205">
        <f t="shared" si="29"/>
        <v>8.3919089644427327</v>
      </c>
      <c r="E112" s="144">
        <v>22.99</v>
      </c>
      <c r="F112" s="132">
        <f t="shared" si="23"/>
        <v>111.2239961296565</v>
      </c>
      <c r="G112" s="126">
        <f t="shared" si="22"/>
        <v>66.107784431137731</v>
      </c>
      <c r="H112" s="15">
        <v>100</v>
      </c>
      <c r="I112" s="159"/>
      <c r="J112" s="25">
        <f t="shared" si="19"/>
        <v>89.908655937364074</v>
      </c>
      <c r="K112" s="145">
        <v>4.24</v>
      </c>
      <c r="L112" s="144"/>
      <c r="M112" s="146">
        <v>5.42</v>
      </c>
      <c r="N112" s="144"/>
      <c r="O112" s="133">
        <f t="shared" si="25"/>
        <v>4.24</v>
      </c>
      <c r="P112" s="134">
        <f t="shared" si="24"/>
        <v>99.764705882352942</v>
      </c>
      <c r="Q112" s="129">
        <v>105.2</v>
      </c>
      <c r="R112" s="129"/>
      <c r="S112" s="129"/>
      <c r="T112" s="115">
        <f t="shared" si="20"/>
        <v>105.2</v>
      </c>
      <c r="U112" s="25">
        <f t="shared" si="21"/>
        <v>105.44811320754717</v>
      </c>
      <c r="V112" s="135">
        <v>7.9549514333562898</v>
      </c>
      <c r="W112" s="135">
        <v>14.735852829095499</v>
      </c>
      <c r="X112" s="135">
        <v>11.345402131225899</v>
      </c>
      <c r="Y112" s="135">
        <v>8.2268300665893506</v>
      </c>
      <c r="Z112" s="27">
        <f t="shared" si="26"/>
        <v>109.01554404145078</v>
      </c>
      <c r="AA112" s="142">
        <f t="shared" si="27"/>
        <v>131.30316637881404</v>
      </c>
      <c r="AB112" s="143">
        <f t="shared" si="28"/>
        <v>108.75843190927756</v>
      </c>
      <c r="AC112" s="147">
        <v>1874</v>
      </c>
      <c r="AD112" s="148">
        <f t="shared" si="31"/>
        <v>22.967755200774064</v>
      </c>
      <c r="AE112" s="140">
        <f t="shared" si="30"/>
        <v>3.884837647058824</v>
      </c>
      <c r="AF112" s="149">
        <f t="shared" si="32"/>
        <v>0</v>
      </c>
      <c r="AG112" s="149">
        <v>87.020012766745793</v>
      </c>
      <c r="AH112" s="150">
        <v>102.071846456863</v>
      </c>
      <c r="AI112" s="151">
        <v>7.7358196410687294E-2</v>
      </c>
      <c r="AJ112" s="151">
        <v>87.753279086447606</v>
      </c>
      <c r="AK112" s="151">
        <v>105.994147882592</v>
      </c>
      <c r="AL112" s="155"/>
      <c r="AM112" s="155"/>
      <c r="AN112" s="150"/>
      <c r="AO112" s="150"/>
      <c r="AP112" s="150"/>
      <c r="AQ112" s="150"/>
      <c r="AR112" s="150"/>
      <c r="AS112" s="150"/>
      <c r="AT112" s="152">
        <v>-8.0419580419580403E-2</v>
      </c>
      <c r="AU112" s="152">
        <v>-1.24259494865649E-2</v>
      </c>
      <c r="AV112" s="152">
        <v>-5.1233396584440198E-2</v>
      </c>
      <c r="AW112" s="152">
        <v>-3.9628892180287201E-2</v>
      </c>
      <c r="AX112" s="150"/>
    </row>
    <row r="113" spans="1:50">
      <c r="A113">
        <v>1875</v>
      </c>
      <c r="B113" s="9"/>
      <c r="C113" s="205">
        <v>10.64</v>
      </c>
      <c r="D113" s="205">
        <f t="shared" si="29"/>
        <v>8.0878542918179974</v>
      </c>
      <c r="E113" s="144">
        <v>23.75</v>
      </c>
      <c r="F113" s="132">
        <f t="shared" si="23"/>
        <v>114.90082244799225</v>
      </c>
      <c r="G113" s="126">
        <f t="shared" si="22"/>
        <v>63.712574850299404</v>
      </c>
      <c r="H113" s="15">
        <v>93.5</v>
      </c>
      <c r="I113" s="159"/>
      <c r="J113" s="25">
        <f t="shared" si="19"/>
        <v>81.374526315789481</v>
      </c>
      <c r="K113" s="145">
        <v>4.24</v>
      </c>
      <c r="L113" s="144"/>
      <c r="M113" s="146">
        <v>5.59</v>
      </c>
      <c r="N113" s="144"/>
      <c r="O113" s="133">
        <f t="shared" si="25"/>
        <v>4.24</v>
      </c>
      <c r="P113" s="134">
        <f t="shared" si="24"/>
        <v>99.764705882352942</v>
      </c>
      <c r="Q113" s="129">
        <v>99</v>
      </c>
      <c r="R113" s="129"/>
      <c r="S113" s="129"/>
      <c r="T113" s="115">
        <f t="shared" si="20"/>
        <v>99</v>
      </c>
      <c r="U113" s="25">
        <f t="shared" si="21"/>
        <v>99.23349056603773</v>
      </c>
      <c r="V113" s="135">
        <v>-0.79806621274962397</v>
      </c>
      <c r="W113" s="135">
        <v>8.81613713275107</v>
      </c>
      <c r="X113" s="135">
        <v>4.0090354600007201</v>
      </c>
      <c r="Y113" s="135">
        <v>6.6012656119594402</v>
      </c>
      <c r="Z113" s="27">
        <f t="shared" si="26"/>
        <v>102.59067357512953</v>
      </c>
      <c r="AA113" s="142">
        <f t="shared" si="27"/>
        <v>127.440414507772</v>
      </c>
      <c r="AB113" s="143">
        <f t="shared" si="28"/>
        <v>102.34871443933913</v>
      </c>
      <c r="AC113" s="147">
        <v>1875</v>
      </c>
      <c r="AD113" s="148">
        <f t="shared" si="31"/>
        <v>23.727019835510401</v>
      </c>
      <c r="AE113" s="140">
        <f t="shared" si="30"/>
        <v>3.884837647058824</v>
      </c>
      <c r="AF113" s="149">
        <f t="shared" si="32"/>
        <v>0</v>
      </c>
      <c r="AG113" s="149">
        <v>85.407633864861793</v>
      </c>
      <c r="AH113" s="150">
        <v>100.347819493955</v>
      </c>
      <c r="AI113" s="151">
        <v>3.7468858459094E-2</v>
      </c>
      <c r="AJ113" s="151">
        <v>83.607643664406197</v>
      </c>
      <c r="AK113" s="151">
        <v>102.294713144791</v>
      </c>
      <c r="AL113" s="155"/>
      <c r="AM113" s="155"/>
      <c r="AN113" s="150"/>
      <c r="AO113" s="150"/>
      <c r="AP113" s="150"/>
      <c r="AQ113" s="150"/>
      <c r="AR113" s="150"/>
      <c r="AS113" s="150"/>
      <c r="AT113" s="152">
        <v>-5.8935361216730001E-2</v>
      </c>
      <c r="AU113" s="152">
        <v>-1.6386526396464401E-2</v>
      </c>
      <c r="AV113" s="152">
        <v>-6.5000000000000002E-2</v>
      </c>
      <c r="AW113" s="152">
        <v>-4.0543654430367199E-2</v>
      </c>
      <c r="AX113" s="150"/>
    </row>
    <row r="114" spans="1:50">
      <c r="A114">
        <v>1876</v>
      </c>
      <c r="B114" s="9"/>
      <c r="C114" s="205">
        <v>10.39</v>
      </c>
      <c r="D114" s="205">
        <f t="shared" si="29"/>
        <v>7.8978201214275359</v>
      </c>
      <c r="E114" s="144">
        <v>23.05</v>
      </c>
      <c r="F114" s="132">
        <f t="shared" si="23"/>
        <v>111.51427189163037</v>
      </c>
      <c r="G114" s="126">
        <f t="shared" si="22"/>
        <v>62.215568862275454</v>
      </c>
      <c r="H114" s="15">
        <v>87.2</v>
      </c>
      <c r="I114" s="159"/>
      <c r="J114" s="25">
        <f t="shared" si="19"/>
        <v>78.196268980477228</v>
      </c>
      <c r="K114" s="145">
        <v>4.24</v>
      </c>
      <c r="L114" s="144"/>
      <c r="M114" s="146">
        <v>5.42</v>
      </c>
      <c r="N114" s="144"/>
      <c r="O114" s="133">
        <f t="shared" si="25"/>
        <v>4.24</v>
      </c>
      <c r="P114" s="134">
        <f t="shared" si="24"/>
        <v>99.764705882352942</v>
      </c>
      <c r="Q114" s="129">
        <v>97.9</v>
      </c>
      <c r="R114" s="129"/>
      <c r="S114" s="129"/>
      <c r="T114" s="115">
        <f t="shared" si="20"/>
        <v>97.9</v>
      </c>
      <c r="U114" s="25">
        <f t="shared" si="21"/>
        <v>98.130896226415089</v>
      </c>
      <c r="V114" s="135">
        <v>-4.1850093743736103</v>
      </c>
      <c r="W114" s="135">
        <v>7.9993072507836196</v>
      </c>
      <c r="X114" s="135">
        <v>1.907148938205</v>
      </c>
      <c r="Y114" s="135">
        <v>4.79951808391694</v>
      </c>
      <c r="Z114" s="27">
        <f t="shared" si="26"/>
        <v>101.45077720207254</v>
      </c>
      <c r="AA114" s="142">
        <f t="shared" si="27"/>
        <v>122.19182498560737</v>
      </c>
      <c r="AB114" s="143">
        <f t="shared" si="28"/>
        <v>101.21150650112428</v>
      </c>
      <c r="AC114" s="147">
        <v>1876</v>
      </c>
      <c r="AD114" s="148">
        <f t="shared" si="31"/>
        <v>23.027697145621669</v>
      </c>
      <c r="AE114" s="140">
        <f t="shared" si="30"/>
        <v>3.884837647058824</v>
      </c>
      <c r="AF114" s="149">
        <f t="shared" si="32"/>
        <v>0</v>
      </c>
      <c r="AG114" s="149">
        <v>83.752142125255403</v>
      </c>
      <c r="AH114" s="150">
        <v>98.335646585186097</v>
      </c>
      <c r="AI114" s="151">
        <v>5.9396697997223399E-2</v>
      </c>
      <c r="AJ114" s="151">
        <v>79.929153673490205</v>
      </c>
      <c r="AK114" s="151">
        <v>98.585720775953703</v>
      </c>
      <c r="AL114" s="155"/>
      <c r="AM114" s="155"/>
      <c r="AN114" s="150"/>
      <c r="AO114" s="150"/>
      <c r="AP114" s="150"/>
      <c r="AQ114" s="150"/>
      <c r="AR114" s="150"/>
      <c r="AS114" s="150"/>
      <c r="AT114" s="152">
        <v>-1.1111111111111001E-2</v>
      </c>
      <c r="AU114" s="152">
        <v>-1.95698622995387E-2</v>
      </c>
      <c r="AV114" s="152">
        <v>-6.7379679144385002E-2</v>
      </c>
      <c r="AW114" s="152">
        <v>-3.9564218055797899E-2</v>
      </c>
      <c r="AX114" s="150"/>
    </row>
    <row r="115" spans="1:50">
      <c r="A115">
        <v>1877</v>
      </c>
      <c r="B115" s="9"/>
      <c r="C115" s="205">
        <v>10.15</v>
      </c>
      <c r="D115" s="205">
        <f t="shared" si="29"/>
        <v>7.7153873178526942</v>
      </c>
      <c r="E115" s="144">
        <v>21.66</v>
      </c>
      <c r="F115" s="132">
        <f t="shared" si="23"/>
        <v>104.78955007256893</v>
      </c>
      <c r="G115" s="126">
        <f t="shared" si="22"/>
        <v>60.778443113772461</v>
      </c>
      <c r="H115" s="15">
        <v>84.1</v>
      </c>
      <c r="I115" s="159"/>
      <c r="J115" s="25">
        <f t="shared" si="19"/>
        <v>80.256094182825493</v>
      </c>
      <c r="K115" s="145">
        <v>4.24</v>
      </c>
      <c r="L115" s="144"/>
      <c r="M115" s="146">
        <v>5.08</v>
      </c>
      <c r="N115" s="144"/>
      <c r="O115" s="133">
        <f t="shared" si="25"/>
        <v>4.24</v>
      </c>
      <c r="P115" s="134">
        <f t="shared" si="24"/>
        <v>99.764705882352942</v>
      </c>
      <c r="Q115" s="129">
        <v>96.9</v>
      </c>
      <c r="R115" s="129"/>
      <c r="S115" s="129"/>
      <c r="T115" s="115">
        <f t="shared" si="20"/>
        <v>96.9</v>
      </c>
      <c r="U115" s="25">
        <f t="shared" si="21"/>
        <v>97.128537735849051</v>
      </c>
      <c r="V115" s="135">
        <v>-2.3455957574780202</v>
      </c>
      <c r="W115" s="135">
        <v>7.2651397333035996</v>
      </c>
      <c r="X115" s="135">
        <v>2.4597719879127902</v>
      </c>
      <c r="Y115" s="135">
        <v>2.9212634690252099</v>
      </c>
      <c r="Z115" s="27">
        <f t="shared" si="26"/>
        <v>100.41450777202073</v>
      </c>
      <c r="AA115" s="142">
        <f t="shared" si="27"/>
        <v>113.35682210708117</v>
      </c>
      <c r="AB115" s="143">
        <f t="shared" si="28"/>
        <v>100.1776811027471</v>
      </c>
      <c r="AC115" s="147">
        <v>1877</v>
      </c>
      <c r="AD115" s="148">
        <f t="shared" si="31"/>
        <v>21.639042089985484</v>
      </c>
      <c r="AE115" s="140">
        <f t="shared" si="30"/>
        <v>3.884837647058824</v>
      </c>
      <c r="AF115" s="149">
        <f t="shared" si="32"/>
        <v>0</v>
      </c>
      <c r="AG115" s="149">
        <v>82.170027869412294</v>
      </c>
      <c r="AH115" s="150">
        <v>96.117050642128603</v>
      </c>
      <c r="AI115" s="151">
        <v>-5.6349854590866402E-2</v>
      </c>
      <c r="AJ115" s="151">
        <v>77.256416056187007</v>
      </c>
      <c r="AK115" s="151">
        <v>95.093240694935304</v>
      </c>
      <c r="AL115" s="155"/>
      <c r="AM115" s="155"/>
      <c r="AN115" s="150"/>
      <c r="AO115" s="150"/>
      <c r="AP115" s="150"/>
      <c r="AQ115" s="150"/>
      <c r="AR115" s="150"/>
      <c r="AS115" s="150"/>
      <c r="AT115" s="152">
        <v>-1.0214504596527001E-2</v>
      </c>
      <c r="AU115" s="152">
        <v>-2.2051409726528699E-2</v>
      </c>
      <c r="AV115" s="152">
        <v>-3.5550458715596402E-2</v>
      </c>
      <c r="AW115" s="152">
        <v>-3.6838409550215098E-2</v>
      </c>
      <c r="AX115" s="150"/>
    </row>
    <row r="116" spans="1:50">
      <c r="A116">
        <v>1878</v>
      </c>
      <c r="B116" s="9"/>
      <c r="C116" s="205">
        <v>9.67</v>
      </c>
      <c r="D116" s="205">
        <f t="shared" si="29"/>
        <v>7.3505217107030099</v>
      </c>
      <c r="E116" s="144">
        <v>20.84</v>
      </c>
      <c r="F116" s="132">
        <f t="shared" si="23"/>
        <v>100.8224479922593</v>
      </c>
      <c r="G116" s="126">
        <f t="shared" si="22"/>
        <v>57.904191616766468</v>
      </c>
      <c r="H116" s="15">
        <v>72.2</v>
      </c>
      <c r="I116" s="159"/>
      <c r="J116" s="25">
        <f t="shared" si="19"/>
        <v>71.611036468330141</v>
      </c>
      <c r="K116" s="145">
        <v>4.24</v>
      </c>
      <c r="L116" s="144"/>
      <c r="M116" s="146">
        <v>4.8899999999999997</v>
      </c>
      <c r="N116" s="144"/>
      <c r="O116" s="133">
        <f t="shared" si="25"/>
        <v>4.24</v>
      </c>
      <c r="P116" s="134">
        <f t="shared" si="24"/>
        <v>99.764705882352942</v>
      </c>
      <c r="Q116" s="129">
        <v>89.7</v>
      </c>
      <c r="R116" s="129"/>
      <c r="S116" s="129"/>
      <c r="T116" s="115">
        <f t="shared" si="20"/>
        <v>89.7</v>
      </c>
      <c r="U116" s="25">
        <f t="shared" si="21"/>
        <v>89.91155660377359</v>
      </c>
      <c r="V116" s="135">
        <v>-11.219543068025301</v>
      </c>
      <c r="W116" s="135">
        <v>0.29343029094471301</v>
      </c>
      <c r="X116" s="135">
        <v>-5.4630563885402701</v>
      </c>
      <c r="Y116" s="135">
        <v>1.0372540623905</v>
      </c>
      <c r="Z116" s="27">
        <f t="shared" si="26"/>
        <v>92.953367875647672</v>
      </c>
      <c r="AA116" s="142">
        <f t="shared" si="27"/>
        <v>101.00932642487047</v>
      </c>
      <c r="AB116" s="143">
        <f t="shared" si="28"/>
        <v>92.734138234431526</v>
      </c>
      <c r="AC116" s="147">
        <v>1878</v>
      </c>
      <c r="AD116" s="148">
        <f t="shared" si="31"/>
        <v>20.819835510401546</v>
      </c>
      <c r="AE116" s="140">
        <f t="shared" si="30"/>
        <v>3.884837647058824</v>
      </c>
      <c r="AF116" s="149">
        <f t="shared" si="32"/>
        <v>0</v>
      </c>
      <c r="AG116" s="149">
        <v>80.723759997565907</v>
      </c>
      <c r="AH116" s="150">
        <v>93.771398110503</v>
      </c>
      <c r="AI116" s="151">
        <v>-6.3155724580126402E-2</v>
      </c>
      <c r="AJ116" s="151">
        <v>75.601653197154207</v>
      </c>
      <c r="AK116" s="151">
        <v>91.881435895274194</v>
      </c>
      <c r="AL116" s="155"/>
      <c r="AM116" s="155"/>
      <c r="AN116" s="150"/>
      <c r="AO116" s="150"/>
      <c r="AP116" s="150"/>
      <c r="AQ116" s="150"/>
      <c r="AR116" s="150"/>
      <c r="AS116" s="150"/>
      <c r="AT116" s="152">
        <v>-7.4303405572755402E-2</v>
      </c>
      <c r="AU116" s="152">
        <v>-2.3822033696291298E-2</v>
      </c>
      <c r="AV116" s="152">
        <v>-0.14149821640903601</v>
      </c>
      <c r="AW116" s="152">
        <v>-3.2792210018140498E-2</v>
      </c>
      <c r="AX116" s="150"/>
    </row>
    <row r="117" spans="1:50">
      <c r="A117">
        <v>1879</v>
      </c>
      <c r="B117" s="9"/>
      <c r="C117" s="205">
        <v>9.67</v>
      </c>
      <c r="D117" s="205">
        <f t="shared" si="29"/>
        <v>7.3505217107030099</v>
      </c>
      <c r="E117" s="144">
        <v>20.67</v>
      </c>
      <c r="F117" s="132">
        <f t="shared" si="23"/>
        <v>99.999999999999986</v>
      </c>
      <c r="G117" s="126">
        <f t="shared" si="22"/>
        <v>57.904191616766468</v>
      </c>
      <c r="H117" s="15">
        <v>71.3</v>
      </c>
      <c r="I117" s="159"/>
      <c r="J117" s="25">
        <f t="shared" si="19"/>
        <v>71.300000000000011</v>
      </c>
      <c r="K117" s="145">
        <v>4.24</v>
      </c>
      <c r="L117" s="144"/>
      <c r="M117" s="146">
        <v>4.8499999999999996</v>
      </c>
      <c r="N117" s="144"/>
      <c r="O117" s="133">
        <f t="shared" si="25"/>
        <v>4.24</v>
      </c>
      <c r="P117" s="134">
        <f t="shared" si="24"/>
        <v>99.764705882352942</v>
      </c>
      <c r="Q117" s="129">
        <v>85.6</v>
      </c>
      <c r="R117" s="129"/>
      <c r="S117" s="129"/>
      <c r="T117" s="115">
        <f t="shared" si="20"/>
        <v>85.6</v>
      </c>
      <c r="U117" s="25">
        <f t="shared" si="21"/>
        <v>85.801886792452834</v>
      </c>
      <c r="V117" s="135">
        <v>-11.7565690119776</v>
      </c>
      <c r="W117" s="135">
        <v>-3.58600620513658</v>
      </c>
      <c r="X117" s="135">
        <v>-7.6712876085571198</v>
      </c>
      <c r="Y117" s="135">
        <v>-0.78637275569204501</v>
      </c>
      <c r="Z117" s="27">
        <f t="shared" si="26"/>
        <v>88.704663212435236</v>
      </c>
      <c r="AA117" s="142">
        <f t="shared" si="27"/>
        <v>95.603914795624632</v>
      </c>
      <c r="AB117" s="143">
        <f t="shared" si="28"/>
        <v>88.495454101085159</v>
      </c>
      <c r="AC117" s="147">
        <v>1879</v>
      </c>
      <c r="AD117" s="148">
        <f t="shared" si="31"/>
        <v>20.649999999999995</v>
      </c>
      <c r="AE117" s="140">
        <f t="shared" si="30"/>
        <v>3.884837647058824</v>
      </c>
      <c r="AF117" s="149">
        <f t="shared" si="32"/>
        <v>0</v>
      </c>
      <c r="AG117" s="149">
        <v>79.456607131255296</v>
      </c>
      <c r="AH117" s="150">
        <v>91.387784929608401</v>
      </c>
      <c r="AI117" s="151">
        <v>4.2190025846265897E-2</v>
      </c>
      <c r="AJ117" s="151">
        <v>75.974948795653503</v>
      </c>
      <c r="AK117" s="151">
        <v>89.680055805530202</v>
      </c>
      <c r="AL117" s="155"/>
      <c r="AM117" s="155"/>
      <c r="AN117" s="150"/>
      <c r="AO117" s="150"/>
      <c r="AP117" s="150"/>
      <c r="AQ117" s="150"/>
      <c r="AR117" s="150"/>
      <c r="AS117" s="150"/>
      <c r="AT117" s="152">
        <v>-4.5707915273132699E-2</v>
      </c>
      <c r="AU117" s="152">
        <v>-2.4754230176383101E-2</v>
      </c>
      <c r="AV117" s="152">
        <v>-1.24653739612189E-2</v>
      </c>
      <c r="AW117" s="152">
        <v>-2.78387210557496E-2</v>
      </c>
      <c r="AX117" s="150"/>
    </row>
    <row r="118" spans="1:50">
      <c r="A118">
        <v>1880</v>
      </c>
      <c r="B118" s="9"/>
      <c r="C118" s="205">
        <v>9.91</v>
      </c>
      <c r="D118" s="205">
        <f t="shared" si="29"/>
        <v>7.5329545142778525</v>
      </c>
      <c r="E118" s="144">
        <v>20.67</v>
      </c>
      <c r="F118" s="132">
        <f t="shared" si="23"/>
        <v>99.999999999999986</v>
      </c>
      <c r="G118" s="126">
        <f t="shared" si="22"/>
        <v>59.341317365269461</v>
      </c>
      <c r="H118" s="15">
        <v>79.400000000000006</v>
      </c>
      <c r="I118" s="159"/>
      <c r="J118" s="25">
        <f t="shared" si="19"/>
        <v>79.40000000000002</v>
      </c>
      <c r="K118" s="145">
        <v>4.24</v>
      </c>
      <c r="L118" s="144"/>
      <c r="M118" s="146">
        <v>4.84</v>
      </c>
      <c r="N118" s="144"/>
      <c r="O118" s="133">
        <f t="shared" si="25"/>
        <v>4.24</v>
      </c>
      <c r="P118" s="134">
        <f t="shared" si="24"/>
        <v>99.764705882352942</v>
      </c>
      <c r="Q118" s="129">
        <v>90.7</v>
      </c>
      <c r="R118" s="129"/>
      <c r="S118" s="129"/>
      <c r="T118" s="115">
        <f t="shared" si="20"/>
        <v>90.7</v>
      </c>
      <c r="U118" s="25">
        <f t="shared" si="21"/>
        <v>90.913915094339629</v>
      </c>
      <c r="V118" s="135">
        <v>-3.8863912952976101</v>
      </c>
      <c r="W118" s="135">
        <v>1.7366642767392899</v>
      </c>
      <c r="X118" s="135">
        <v>-1.0748635092791601</v>
      </c>
      <c r="Y118" s="135">
        <v>-2.5484827094366098</v>
      </c>
      <c r="Z118" s="27">
        <f t="shared" si="26"/>
        <v>93.989637305699489</v>
      </c>
      <c r="AA118" s="142">
        <f t="shared" si="27"/>
        <v>101.09107656879679</v>
      </c>
      <c r="AB118" s="143">
        <f t="shared" si="28"/>
        <v>93.767963632808701</v>
      </c>
      <c r="AC118" s="147">
        <v>1880</v>
      </c>
      <c r="AD118" s="148">
        <f t="shared" si="31"/>
        <v>20.649999999999995</v>
      </c>
      <c r="AE118" s="140">
        <f t="shared" si="30"/>
        <v>3.884837647058824</v>
      </c>
      <c r="AF118" s="149">
        <f t="shared" si="32"/>
        <v>0</v>
      </c>
      <c r="AG118" s="149">
        <v>78.320900292043902</v>
      </c>
      <c r="AH118" s="150">
        <v>89.016393057639206</v>
      </c>
      <c r="AI118" s="151">
        <v>6.7202927489022499E-2</v>
      </c>
      <c r="AJ118" s="151">
        <v>78.062502151895103</v>
      </c>
      <c r="AK118" s="151">
        <v>88.551704555838299</v>
      </c>
      <c r="AL118" s="155"/>
      <c r="AM118" s="155"/>
      <c r="AN118" s="150"/>
      <c r="AO118" s="150"/>
      <c r="AP118" s="150"/>
      <c r="AQ118" s="150"/>
      <c r="AR118" s="150"/>
      <c r="AS118" s="150"/>
      <c r="AT118" s="152">
        <v>5.9579439252336497E-2</v>
      </c>
      <c r="AU118" s="152">
        <v>-2.52253088531256E-2</v>
      </c>
      <c r="AV118" s="152">
        <v>0.113604488078541</v>
      </c>
      <c r="AW118" s="152">
        <v>-2.3478104323127E-2</v>
      </c>
      <c r="AX118" s="150"/>
    </row>
    <row r="119" spans="1:50">
      <c r="A119">
        <v>1881</v>
      </c>
      <c r="B119" s="9"/>
      <c r="C119" s="205">
        <v>9.91</v>
      </c>
      <c r="D119" s="205">
        <f t="shared" si="29"/>
        <v>7.5329545142778525</v>
      </c>
      <c r="E119" s="144">
        <v>20.67</v>
      </c>
      <c r="F119" s="132">
        <f t="shared" si="23"/>
        <v>99.999999999999986</v>
      </c>
      <c r="G119" s="126">
        <f t="shared" si="22"/>
        <v>59.341317365269461</v>
      </c>
      <c r="H119" s="15">
        <v>81.599999999999994</v>
      </c>
      <c r="I119" s="159"/>
      <c r="J119" s="25">
        <f t="shared" si="19"/>
        <v>81.600000000000009</v>
      </c>
      <c r="K119" s="145">
        <v>4.24</v>
      </c>
      <c r="L119" s="144"/>
      <c r="M119" s="146">
        <v>4.83</v>
      </c>
      <c r="N119" s="144"/>
      <c r="O119" s="133">
        <f t="shared" si="25"/>
        <v>4.24</v>
      </c>
      <c r="P119" s="134">
        <f t="shared" si="24"/>
        <v>99.764705882352942</v>
      </c>
      <c r="Q119" s="129">
        <v>87.6</v>
      </c>
      <c r="R119" s="129"/>
      <c r="S119" s="129"/>
      <c r="T119" s="115">
        <f t="shared" si="20"/>
        <v>87.6</v>
      </c>
      <c r="U119" s="25">
        <f t="shared" si="21"/>
        <v>87.806603773584911</v>
      </c>
      <c r="V119" s="135">
        <v>-1.9187276239475399</v>
      </c>
      <c r="W119" s="135">
        <v>-1.16870507122495</v>
      </c>
      <c r="X119" s="135">
        <v>-1.5437163475862401</v>
      </c>
      <c r="Y119" s="135">
        <v>-4.3167906715860296</v>
      </c>
      <c r="Z119" s="27">
        <f t="shared" si="26"/>
        <v>90.777202072538856</v>
      </c>
      <c r="AA119" s="142">
        <f t="shared" si="27"/>
        <v>97.434196891191704</v>
      </c>
      <c r="AB119" s="143">
        <f t="shared" si="28"/>
        <v>90.56310489783948</v>
      </c>
      <c r="AC119" s="147">
        <v>1881</v>
      </c>
      <c r="AD119" s="148">
        <f t="shared" si="31"/>
        <v>20.649999999999995</v>
      </c>
      <c r="AE119" s="140">
        <f t="shared" si="30"/>
        <v>3.884837647058824</v>
      </c>
      <c r="AF119" s="149">
        <f t="shared" si="32"/>
        <v>0</v>
      </c>
      <c r="AG119" s="149">
        <v>77.187404430182795</v>
      </c>
      <c r="AH119" s="150">
        <v>86.651226603493498</v>
      </c>
      <c r="AI119" s="151">
        <v>0.11385316933624599</v>
      </c>
      <c r="AJ119" s="151">
        <v>79.992196300871598</v>
      </c>
      <c r="AK119" s="151">
        <v>87.255634341156593</v>
      </c>
      <c r="AL119" s="155"/>
      <c r="AM119" s="155"/>
      <c r="AN119" s="150"/>
      <c r="AO119" s="150"/>
      <c r="AP119" s="150"/>
      <c r="AQ119" s="150"/>
      <c r="AR119" s="150"/>
      <c r="AS119" s="150"/>
      <c r="AT119" s="152">
        <v>-3.4178610804851198E-2</v>
      </c>
      <c r="AU119" s="152">
        <v>-2.58221162638076E-2</v>
      </c>
      <c r="AV119" s="152">
        <v>2.7707808564231499E-2</v>
      </c>
      <c r="AW119" s="152">
        <v>-2.1056788009411902E-2</v>
      </c>
      <c r="AX119" s="150"/>
    </row>
    <row r="120" spans="1:50">
      <c r="A120">
        <v>1882</v>
      </c>
      <c r="B120" s="9"/>
      <c r="C120" s="205">
        <v>9.91</v>
      </c>
      <c r="D120" s="205">
        <f t="shared" si="29"/>
        <v>7.5329545142778525</v>
      </c>
      <c r="E120" s="144">
        <v>20.67</v>
      </c>
      <c r="F120" s="132">
        <f t="shared" si="23"/>
        <v>99.999999999999986</v>
      </c>
      <c r="G120" s="126">
        <f t="shared" si="22"/>
        <v>59.341317365269461</v>
      </c>
      <c r="H120" s="15">
        <v>85.7</v>
      </c>
      <c r="I120" s="159"/>
      <c r="J120" s="25">
        <f t="shared" si="19"/>
        <v>85.700000000000017</v>
      </c>
      <c r="K120" s="145">
        <v>4.24</v>
      </c>
      <c r="L120" s="144"/>
      <c r="M120" s="146">
        <v>4.87</v>
      </c>
      <c r="N120" s="144"/>
      <c r="O120" s="133">
        <f t="shared" si="25"/>
        <v>4.24</v>
      </c>
      <c r="P120" s="134">
        <f t="shared" si="24"/>
        <v>99.764705882352942</v>
      </c>
      <c r="Q120" s="129">
        <v>86.6</v>
      </c>
      <c r="R120" s="129"/>
      <c r="S120" s="129"/>
      <c r="T120" s="115">
        <f t="shared" si="20"/>
        <v>86.6</v>
      </c>
      <c r="U120" s="25">
        <f t="shared" si="21"/>
        <v>86.804245283018872</v>
      </c>
      <c r="V120" s="135">
        <v>1.9467042961102701</v>
      </c>
      <c r="W120" s="135">
        <v>-2.00224189630379</v>
      </c>
      <c r="X120" s="135">
        <v>-2.7768800096758601E-2</v>
      </c>
      <c r="Y120" s="135">
        <v>-6.1442753228815601</v>
      </c>
      <c r="Z120" s="27">
        <f t="shared" si="26"/>
        <v>89.740932642487053</v>
      </c>
      <c r="AA120" s="142">
        <f t="shared" si="27"/>
        <v>97.119631548647092</v>
      </c>
      <c r="AB120" s="143">
        <f t="shared" si="28"/>
        <v>89.529279499462334</v>
      </c>
      <c r="AC120" s="147">
        <v>1882</v>
      </c>
      <c r="AD120" s="148">
        <f t="shared" si="31"/>
        <v>20.649999999999995</v>
      </c>
      <c r="AE120" s="140">
        <f t="shared" si="30"/>
        <v>3.884837647058824</v>
      </c>
      <c r="AF120" s="149">
        <f t="shared" si="32"/>
        <v>0</v>
      </c>
      <c r="AG120" s="149">
        <v>75.937675493002402</v>
      </c>
      <c r="AH120" s="150">
        <v>84.304925745492994</v>
      </c>
      <c r="AI120" s="151">
        <v>4.2604698863236798E-2</v>
      </c>
      <c r="AJ120" s="151">
        <v>80.337746893610202</v>
      </c>
      <c r="AK120" s="151">
        <v>85.3271958378307</v>
      </c>
      <c r="AL120" s="155"/>
      <c r="AM120" s="155"/>
      <c r="AN120" s="150"/>
      <c r="AO120" s="150"/>
      <c r="AP120" s="150"/>
      <c r="AQ120" s="150"/>
      <c r="AR120" s="150"/>
      <c r="AS120" s="150"/>
      <c r="AT120" s="152">
        <v>-1.14155251141552E-2</v>
      </c>
      <c r="AU120" s="152">
        <v>-2.6283451464663401E-2</v>
      </c>
      <c r="AV120" s="152">
        <v>5.0245098039215702E-2</v>
      </c>
      <c r="AW120" s="152">
        <v>-2.0550374379726601E-2</v>
      </c>
      <c r="AX120" s="150"/>
    </row>
    <row r="121" spans="1:50">
      <c r="A121">
        <v>1883</v>
      </c>
      <c r="B121" s="9"/>
      <c r="C121" s="205">
        <v>9.7100000000000009</v>
      </c>
      <c r="D121" s="205">
        <f t="shared" si="29"/>
        <v>7.3809271779654848</v>
      </c>
      <c r="E121" s="144">
        <v>20.67</v>
      </c>
      <c r="F121" s="132">
        <f t="shared" si="23"/>
        <v>99.999999999999986</v>
      </c>
      <c r="G121" s="126">
        <f t="shared" si="22"/>
        <v>58.143712574850312</v>
      </c>
      <c r="H121" s="15">
        <v>80</v>
      </c>
      <c r="I121" s="159"/>
      <c r="J121" s="25">
        <f t="shared" si="19"/>
        <v>80.000000000000014</v>
      </c>
      <c r="K121" s="145">
        <v>4.24</v>
      </c>
      <c r="L121" s="144"/>
      <c r="M121" s="146">
        <v>4.8499999999999996</v>
      </c>
      <c r="N121" s="144"/>
      <c r="O121" s="133">
        <f t="shared" si="25"/>
        <v>4.24</v>
      </c>
      <c r="P121" s="134">
        <f t="shared" si="24"/>
        <v>99.764705882352942</v>
      </c>
      <c r="Q121" s="129">
        <v>84.5</v>
      </c>
      <c r="R121" s="129"/>
      <c r="S121" s="129"/>
      <c r="T121" s="115">
        <f t="shared" si="20"/>
        <v>84.5</v>
      </c>
      <c r="U121" s="25">
        <f t="shared" si="21"/>
        <v>84.699292452830193</v>
      </c>
      <c r="V121" s="135">
        <v>-3.9898132410866398</v>
      </c>
      <c r="W121" s="135">
        <v>-3.9440546852485898</v>
      </c>
      <c r="X121" s="135">
        <v>-3.9669339631676199</v>
      </c>
      <c r="Y121" s="135">
        <v>-8.0561846008244409</v>
      </c>
      <c r="Z121" s="27">
        <f t="shared" si="26"/>
        <v>87.564766839378237</v>
      </c>
      <c r="AA121" s="142">
        <f t="shared" si="27"/>
        <v>94.375359815774317</v>
      </c>
      <c r="AB121" s="143">
        <f t="shared" si="28"/>
        <v>87.358246162870273</v>
      </c>
      <c r="AC121" s="147">
        <v>1883</v>
      </c>
      <c r="AD121" s="148">
        <f t="shared" si="31"/>
        <v>20.649999999999995</v>
      </c>
      <c r="AE121" s="140">
        <f t="shared" si="30"/>
        <v>3.884837647058824</v>
      </c>
      <c r="AF121" s="149">
        <f t="shared" si="32"/>
        <v>0</v>
      </c>
      <c r="AG121" s="149">
        <v>74.497395383531497</v>
      </c>
      <c r="AH121" s="150">
        <v>82.001418395924603</v>
      </c>
      <c r="AI121" s="151">
        <v>-4.0528069548548901E-2</v>
      </c>
      <c r="AJ121" s="151">
        <v>78.208804147514599</v>
      </c>
      <c r="AK121" s="151">
        <v>82.476528275153598</v>
      </c>
      <c r="AL121" s="155"/>
      <c r="AM121" s="155"/>
      <c r="AN121" s="150"/>
      <c r="AO121" s="150"/>
      <c r="AP121" s="150"/>
      <c r="AQ121" s="150"/>
      <c r="AR121" s="150"/>
      <c r="AS121" s="150"/>
      <c r="AT121" s="152">
        <v>-2.4249422632794299E-2</v>
      </c>
      <c r="AU121" s="152">
        <v>-2.64316784573378E-2</v>
      </c>
      <c r="AV121" s="152">
        <v>-6.6511085180863502E-2</v>
      </c>
      <c r="AW121" s="152">
        <v>-2.1446819733457401E-2</v>
      </c>
      <c r="AX121" s="150"/>
    </row>
    <row r="122" spans="1:50">
      <c r="A122">
        <v>1884</v>
      </c>
      <c r="B122" s="9"/>
      <c r="C122" s="205">
        <v>9.51</v>
      </c>
      <c r="D122" s="205">
        <f t="shared" si="29"/>
        <v>7.2288998416531154</v>
      </c>
      <c r="E122" s="144">
        <v>20.67</v>
      </c>
      <c r="F122" s="132">
        <f t="shared" si="23"/>
        <v>99.999999999999986</v>
      </c>
      <c r="G122" s="126">
        <f t="shared" si="22"/>
        <v>56.946107784431142</v>
      </c>
      <c r="H122" s="15">
        <v>73.8</v>
      </c>
      <c r="I122" s="159"/>
      <c r="J122" s="25">
        <f t="shared" si="19"/>
        <v>73.800000000000011</v>
      </c>
      <c r="K122" s="145">
        <v>4.24</v>
      </c>
      <c r="L122" s="144"/>
      <c r="M122" s="146">
        <v>4.8499999999999996</v>
      </c>
      <c r="N122" s="144"/>
      <c r="O122" s="133">
        <f t="shared" si="25"/>
        <v>4.24</v>
      </c>
      <c r="P122" s="134">
        <f t="shared" si="24"/>
        <v>99.764705882352942</v>
      </c>
      <c r="Q122" s="129">
        <v>78.400000000000006</v>
      </c>
      <c r="R122" s="129"/>
      <c r="S122" s="129"/>
      <c r="T122" s="115">
        <f t="shared" si="20"/>
        <v>78.400000000000006</v>
      </c>
      <c r="U122" s="25">
        <f t="shared" si="21"/>
        <v>78.584905660377373</v>
      </c>
      <c r="V122" s="135">
        <v>-10.4279979415006</v>
      </c>
      <c r="W122" s="135">
        <v>-9.9242327642877193</v>
      </c>
      <c r="X122" s="135">
        <v>-10.1761153528942</v>
      </c>
      <c r="Y122" s="135">
        <v>-10.016601377688101</v>
      </c>
      <c r="Z122" s="27">
        <f t="shared" si="26"/>
        <v>81.243523316062181</v>
      </c>
      <c r="AA122" s="142">
        <f t="shared" si="27"/>
        <v>87.562464018422574</v>
      </c>
      <c r="AB122" s="143">
        <f t="shared" si="28"/>
        <v>81.051911232769584</v>
      </c>
      <c r="AC122" s="147">
        <v>1884</v>
      </c>
      <c r="AD122" s="148">
        <f t="shared" si="31"/>
        <v>20.649999999999995</v>
      </c>
      <c r="AE122" s="140">
        <f t="shared" si="30"/>
        <v>3.884837647058824</v>
      </c>
      <c r="AF122" s="149">
        <f t="shared" si="32"/>
        <v>0</v>
      </c>
      <c r="AG122" s="149">
        <v>72.889869249868696</v>
      </c>
      <c r="AH122" s="150">
        <v>79.789283209620095</v>
      </c>
      <c r="AI122" s="151">
        <v>-0.13226028246646801</v>
      </c>
      <c r="AJ122" s="151">
        <v>74.502435982118001</v>
      </c>
      <c r="AK122" s="151">
        <v>78.894705603141603</v>
      </c>
      <c r="AL122" s="155"/>
      <c r="AM122" s="155"/>
      <c r="AN122" s="150"/>
      <c r="AO122" s="150"/>
      <c r="AP122" s="150"/>
      <c r="AQ122" s="150"/>
      <c r="AR122" s="150"/>
      <c r="AS122" s="150"/>
      <c r="AT122" s="152">
        <v>-7.2189349112425902E-2</v>
      </c>
      <c r="AU122" s="152">
        <v>-2.59404819799702E-2</v>
      </c>
      <c r="AV122" s="152">
        <v>-7.7499999999999999E-2</v>
      </c>
      <c r="AW122" s="152">
        <v>-2.2526125645800699E-2</v>
      </c>
      <c r="AX122" s="150"/>
    </row>
    <row r="123" spans="1:50">
      <c r="A123">
        <v>1885</v>
      </c>
      <c r="B123" s="9"/>
      <c r="C123" s="205">
        <v>9.32</v>
      </c>
      <c r="D123" s="205">
        <f t="shared" si="29"/>
        <v>7.0844738721563658</v>
      </c>
      <c r="E123" s="144">
        <v>20.67</v>
      </c>
      <c r="F123" s="132">
        <f t="shared" si="23"/>
        <v>99.999999999999986</v>
      </c>
      <c r="G123" s="126">
        <f t="shared" si="22"/>
        <v>55.808383233532936</v>
      </c>
      <c r="H123" s="15">
        <v>67.5</v>
      </c>
      <c r="I123" s="159"/>
      <c r="J123" s="25">
        <f t="shared" si="19"/>
        <v>67.500000000000014</v>
      </c>
      <c r="K123" s="145">
        <v>4.24</v>
      </c>
      <c r="L123" s="144"/>
      <c r="M123" s="146">
        <v>4.8600000000000003</v>
      </c>
      <c r="N123" s="144"/>
      <c r="O123" s="133">
        <f t="shared" si="25"/>
        <v>4.24</v>
      </c>
      <c r="P123" s="134">
        <f t="shared" si="24"/>
        <v>99.764705882352942</v>
      </c>
      <c r="Q123" s="129">
        <v>74.2</v>
      </c>
      <c r="R123" s="129"/>
      <c r="S123" s="129"/>
      <c r="T123" s="115">
        <f t="shared" si="20"/>
        <v>74.2</v>
      </c>
      <c r="U123" s="25">
        <f t="shared" si="21"/>
        <v>74.375</v>
      </c>
      <c r="V123" s="135">
        <v>-16.967567511094</v>
      </c>
      <c r="W123" s="135">
        <v>-14.0028462991264</v>
      </c>
      <c r="X123" s="135">
        <v>-15.4852069051102</v>
      </c>
      <c r="Y123" s="135">
        <v>-11.9487160193694</v>
      </c>
      <c r="Z123" s="27">
        <f t="shared" si="26"/>
        <v>76.891191709844563</v>
      </c>
      <c r="AA123" s="142">
        <f t="shared" si="27"/>
        <v>83.042487046632132</v>
      </c>
      <c r="AB123" s="143">
        <f t="shared" si="28"/>
        <v>76.709844559585505</v>
      </c>
      <c r="AC123" s="147">
        <v>1885</v>
      </c>
      <c r="AD123" s="148">
        <f t="shared" si="31"/>
        <v>20.649999999999995</v>
      </c>
      <c r="AE123" s="140">
        <f t="shared" si="30"/>
        <v>3.884837647058824</v>
      </c>
      <c r="AF123" s="149">
        <f t="shared" si="32"/>
        <v>0</v>
      </c>
      <c r="AG123" s="149">
        <v>71.193428286277197</v>
      </c>
      <c r="AH123" s="150">
        <v>77.743784657452196</v>
      </c>
      <c r="AI123" s="151">
        <v>-0.17253153152940701</v>
      </c>
      <c r="AJ123" s="151">
        <v>70.712775601115595</v>
      </c>
      <c r="AK123" s="151">
        <v>75.503959013426396</v>
      </c>
      <c r="AL123" s="155"/>
      <c r="AM123" s="155"/>
      <c r="AN123" s="150"/>
      <c r="AO123" s="150"/>
      <c r="AP123" s="150"/>
      <c r="AQ123" s="150"/>
      <c r="AR123" s="150"/>
      <c r="AS123" s="150"/>
      <c r="AT123" s="152">
        <v>-5.3571428571428603E-2</v>
      </c>
      <c r="AU123" s="152">
        <v>-2.4461724212454902E-2</v>
      </c>
      <c r="AV123" s="152">
        <v>-8.5365853658536495E-2</v>
      </c>
      <c r="AW123" s="152">
        <v>-2.3018936346427401E-2</v>
      </c>
      <c r="AX123" s="150"/>
    </row>
    <row r="124" spans="1:50">
      <c r="A124">
        <v>1886</v>
      </c>
      <c r="B124" s="9"/>
      <c r="C124" s="205">
        <v>9.1199999999999992</v>
      </c>
      <c r="D124" s="205">
        <f t="shared" si="29"/>
        <v>6.9324465358439964</v>
      </c>
      <c r="E124" s="144">
        <v>20.67</v>
      </c>
      <c r="F124" s="132">
        <f t="shared" si="23"/>
        <v>99.999999999999986</v>
      </c>
      <c r="G124" s="126">
        <f t="shared" si="22"/>
        <v>54.610778443113766</v>
      </c>
      <c r="H124" s="15">
        <v>65</v>
      </c>
      <c r="I124" s="159"/>
      <c r="J124" s="25">
        <f t="shared" si="19"/>
        <v>65.000000000000014</v>
      </c>
      <c r="K124" s="145">
        <v>4.24</v>
      </c>
      <c r="L124" s="144"/>
      <c r="M124" s="146">
        <v>4.8600000000000003</v>
      </c>
      <c r="N124" s="144"/>
      <c r="O124" s="133">
        <f t="shared" si="25"/>
        <v>4.24</v>
      </c>
      <c r="P124" s="134">
        <f t="shared" si="24"/>
        <v>99.764705882352942</v>
      </c>
      <c r="Q124" s="129">
        <v>71.099999999999994</v>
      </c>
      <c r="R124" s="129"/>
      <c r="S124" s="129"/>
      <c r="T124" s="115">
        <f t="shared" si="20"/>
        <v>71.099999999999994</v>
      </c>
      <c r="U124" s="25">
        <f t="shared" si="21"/>
        <v>71.267688679245268</v>
      </c>
      <c r="V124" s="135">
        <v>-19.7082396558292</v>
      </c>
      <c r="W124" s="135">
        <v>-17.009946294947099</v>
      </c>
      <c r="X124" s="135">
        <v>-18.359092975388201</v>
      </c>
      <c r="Y124" s="135">
        <v>-13.7773140315172</v>
      </c>
      <c r="Z124" s="27">
        <f t="shared" si="26"/>
        <v>73.67875647668393</v>
      </c>
      <c r="AA124" s="142">
        <f t="shared" si="27"/>
        <v>79.573056994818643</v>
      </c>
      <c r="AB124" s="143">
        <f t="shared" si="28"/>
        <v>73.504985824616284</v>
      </c>
      <c r="AC124" s="147">
        <v>1886</v>
      </c>
      <c r="AD124" s="148">
        <f t="shared" si="31"/>
        <v>20.649999999999995</v>
      </c>
      <c r="AE124" s="140">
        <f t="shared" si="30"/>
        <v>3.884837647058824</v>
      </c>
      <c r="AF124" s="149">
        <f t="shared" si="32"/>
        <v>0</v>
      </c>
      <c r="AG124" s="149">
        <v>69.495504994521696</v>
      </c>
      <c r="AH124" s="150">
        <v>75.927894378197195</v>
      </c>
      <c r="AI124" s="151">
        <v>-0.13734559456123499</v>
      </c>
      <c r="AJ124" s="151">
        <v>68.099810880829907</v>
      </c>
      <c r="AK124" s="151">
        <v>73.114951163258894</v>
      </c>
      <c r="AL124" s="155"/>
      <c r="AM124" s="155"/>
      <c r="AN124" s="150"/>
      <c r="AO124" s="150"/>
      <c r="AP124" s="150"/>
      <c r="AQ124" s="150"/>
      <c r="AR124" s="150"/>
      <c r="AS124" s="150"/>
      <c r="AT124" s="152">
        <v>-4.1778975741240003E-2</v>
      </c>
      <c r="AU124" s="152">
        <v>-2.21097560060107E-2</v>
      </c>
      <c r="AV124" s="152">
        <v>-3.7037037037037E-2</v>
      </c>
      <c r="AW124" s="152">
        <v>-2.2705634808550101E-2</v>
      </c>
      <c r="AX124" s="150"/>
    </row>
    <row r="125" spans="1:50">
      <c r="A125">
        <v>1887</v>
      </c>
      <c r="B125" s="9"/>
      <c r="C125" s="205">
        <v>9.2200000000000006</v>
      </c>
      <c r="D125" s="205">
        <f t="shared" si="29"/>
        <v>7.0084602040001824</v>
      </c>
      <c r="E125" s="144">
        <v>20.67</v>
      </c>
      <c r="F125" s="132">
        <f t="shared" si="23"/>
        <v>99.999999999999986</v>
      </c>
      <c r="G125" s="126">
        <f t="shared" si="22"/>
        <v>55.209580838323362</v>
      </c>
      <c r="H125" s="15">
        <v>67.5</v>
      </c>
      <c r="I125" s="159"/>
      <c r="J125" s="25">
        <f t="shared" si="19"/>
        <v>67.500000000000014</v>
      </c>
      <c r="K125" s="145">
        <v>4.24</v>
      </c>
      <c r="L125" s="144"/>
      <c r="M125" s="146">
        <v>4.8499999999999996</v>
      </c>
      <c r="N125" s="144"/>
      <c r="O125" s="133">
        <f t="shared" si="25"/>
        <v>4.24</v>
      </c>
      <c r="P125" s="134">
        <f t="shared" si="24"/>
        <v>99.764705882352942</v>
      </c>
      <c r="Q125" s="129">
        <v>70.099999999999994</v>
      </c>
      <c r="R125" s="129"/>
      <c r="S125" s="129"/>
      <c r="T125" s="115">
        <f t="shared" si="20"/>
        <v>70.099999999999994</v>
      </c>
      <c r="U125" s="25">
        <f t="shared" si="21"/>
        <v>70.265330188679229</v>
      </c>
      <c r="V125" s="135">
        <v>-17.4497320816685</v>
      </c>
      <c r="W125" s="135">
        <v>-17.925564596409099</v>
      </c>
      <c r="X125" s="135">
        <v>-17.687648339038802</v>
      </c>
      <c r="Y125" s="135">
        <v>-15.462545828637801</v>
      </c>
      <c r="Z125" s="27">
        <f t="shared" si="26"/>
        <v>72.642487046632112</v>
      </c>
      <c r="AA125" s="142">
        <f t="shared" si="27"/>
        <v>78.292458261370157</v>
      </c>
      <c r="AB125" s="143">
        <f t="shared" si="28"/>
        <v>72.471160426239123</v>
      </c>
      <c r="AC125" s="147">
        <v>1887</v>
      </c>
      <c r="AD125" s="148">
        <f t="shared" si="31"/>
        <v>20.649999999999995</v>
      </c>
      <c r="AE125" s="140">
        <f t="shared" si="30"/>
        <v>3.884837647058824</v>
      </c>
      <c r="AF125" s="149">
        <f t="shared" si="32"/>
        <v>0</v>
      </c>
      <c r="AG125" s="149">
        <v>67.8465975935042</v>
      </c>
      <c r="AH125" s="150">
        <v>74.370646164057106</v>
      </c>
      <c r="AI125" s="151">
        <v>-0.129600116584033</v>
      </c>
      <c r="AJ125" s="151">
        <v>66.852604497211303</v>
      </c>
      <c r="AK125" s="151">
        <v>72.1536917054149</v>
      </c>
      <c r="AL125" s="155"/>
      <c r="AM125" s="155"/>
      <c r="AN125" s="150"/>
      <c r="AO125" s="150"/>
      <c r="AP125" s="150"/>
      <c r="AQ125" s="150"/>
      <c r="AR125" s="150"/>
      <c r="AS125" s="150"/>
      <c r="AT125" s="152">
        <v>-1.4064697609001401E-2</v>
      </c>
      <c r="AU125" s="152">
        <v>-1.9290025255446E-2</v>
      </c>
      <c r="AV125" s="152">
        <v>3.8461538461538401E-2</v>
      </c>
      <c r="AW125" s="152">
        <v>-2.19900731785026E-2</v>
      </c>
      <c r="AX125" s="150"/>
    </row>
    <row r="126" spans="1:50">
      <c r="A126">
        <v>1888</v>
      </c>
      <c r="B126" s="9"/>
      <c r="C126" s="205">
        <v>9.2200000000000006</v>
      </c>
      <c r="D126" s="205">
        <f t="shared" si="29"/>
        <v>7.0084602040001824</v>
      </c>
      <c r="E126" s="144">
        <v>20.67</v>
      </c>
      <c r="F126" s="132">
        <f t="shared" si="23"/>
        <v>99.999999999999986</v>
      </c>
      <c r="G126" s="126">
        <f t="shared" si="22"/>
        <v>55.209580838323362</v>
      </c>
      <c r="H126" s="15">
        <v>68.2</v>
      </c>
      <c r="I126" s="159"/>
      <c r="J126" s="25">
        <f t="shared" si="19"/>
        <v>68.2</v>
      </c>
      <c r="K126" s="145">
        <v>4.24</v>
      </c>
      <c r="L126" s="144"/>
      <c r="M126" s="146">
        <v>4.87</v>
      </c>
      <c r="N126" s="144"/>
      <c r="O126" s="133">
        <f t="shared" si="25"/>
        <v>4.24</v>
      </c>
      <c r="P126" s="134">
        <f t="shared" si="24"/>
        <v>99.764705882352942</v>
      </c>
      <c r="Q126" s="129">
        <v>72.2</v>
      </c>
      <c r="R126" s="129"/>
      <c r="S126" s="129"/>
      <c r="T126" s="115">
        <f t="shared" si="20"/>
        <v>72.2</v>
      </c>
      <c r="U126" s="25">
        <f t="shared" si="21"/>
        <v>72.370283018867923</v>
      </c>
      <c r="V126" s="135">
        <v>-16.991762494574498</v>
      </c>
      <c r="W126" s="135">
        <v>-15.7597138876488</v>
      </c>
      <c r="X126" s="135">
        <v>-16.375738191111601</v>
      </c>
      <c r="Y126" s="135">
        <v>-17.0103796146763</v>
      </c>
      <c r="Z126" s="27">
        <f t="shared" si="26"/>
        <v>74.818652849740928</v>
      </c>
      <c r="AA126" s="142">
        <f t="shared" si="27"/>
        <v>80.970408750719628</v>
      </c>
      <c r="AB126" s="143">
        <f t="shared" si="28"/>
        <v>74.64219376283117</v>
      </c>
      <c r="AC126" s="147">
        <v>1888</v>
      </c>
      <c r="AD126" s="148">
        <f t="shared" si="31"/>
        <v>20.649999999999995</v>
      </c>
      <c r="AE126" s="140">
        <f t="shared" si="30"/>
        <v>3.884837647058824</v>
      </c>
      <c r="AF126" s="149">
        <f t="shared" si="32"/>
        <v>0</v>
      </c>
      <c r="AG126" s="149">
        <v>66.252249252181102</v>
      </c>
      <c r="AH126" s="150">
        <v>73.054194863451798</v>
      </c>
      <c r="AI126" s="151">
        <v>-0.19418253252407799</v>
      </c>
      <c r="AJ126" s="151">
        <v>66.126948832600405</v>
      </c>
      <c r="AK126" s="151">
        <v>72.421206571583596</v>
      </c>
      <c r="AL126" s="155"/>
      <c r="AM126" s="155"/>
      <c r="AN126" s="150"/>
      <c r="AO126" s="150"/>
      <c r="AP126" s="150"/>
      <c r="AQ126" s="150"/>
      <c r="AR126" s="150"/>
      <c r="AS126" s="150"/>
      <c r="AT126" s="152">
        <v>2.9957203994293899E-2</v>
      </c>
      <c r="AU126" s="152">
        <v>-1.6604672052921699E-2</v>
      </c>
      <c r="AV126" s="152">
        <v>1.03703703703704E-2</v>
      </c>
      <c r="AW126" s="152">
        <v>-2.1419417624903601E-2</v>
      </c>
      <c r="AX126" s="150"/>
    </row>
    <row r="127" spans="1:50">
      <c r="A127">
        <v>1889</v>
      </c>
      <c r="B127" s="9"/>
      <c r="C127" s="205">
        <v>8.92</v>
      </c>
      <c r="D127" s="205">
        <f t="shared" si="29"/>
        <v>6.7804191995316287</v>
      </c>
      <c r="E127" s="144">
        <v>20.67</v>
      </c>
      <c r="F127" s="132">
        <f t="shared" si="23"/>
        <v>99.999999999999986</v>
      </c>
      <c r="G127" s="126">
        <f t="shared" si="22"/>
        <v>53.41317365269461</v>
      </c>
      <c r="H127" s="15">
        <v>64.099999999999994</v>
      </c>
      <c r="I127" s="159"/>
      <c r="J127" s="25">
        <f t="shared" si="19"/>
        <v>64.099999999999994</v>
      </c>
      <c r="K127" s="145">
        <v>4.24</v>
      </c>
      <c r="L127" s="144"/>
      <c r="M127" s="146">
        <v>4.87</v>
      </c>
      <c r="N127" s="144"/>
      <c r="O127" s="133">
        <f t="shared" si="25"/>
        <v>4.24</v>
      </c>
      <c r="P127" s="134">
        <f t="shared" si="24"/>
        <v>99.764705882352942</v>
      </c>
      <c r="Q127" s="129">
        <v>74.2</v>
      </c>
      <c r="R127" s="129"/>
      <c r="S127" s="129"/>
      <c r="T127" s="115">
        <f t="shared" si="20"/>
        <v>74.2</v>
      </c>
      <c r="U127" s="25">
        <f t="shared" si="21"/>
        <v>74.375</v>
      </c>
      <c r="V127" s="135">
        <v>-21.334048600509401</v>
      </c>
      <c r="W127" s="135">
        <v>-13.702387692279199</v>
      </c>
      <c r="X127" s="135">
        <v>-17.5182181463943</v>
      </c>
      <c r="Y127" s="135">
        <v>-18.449034618681701</v>
      </c>
      <c r="Z127" s="27">
        <f t="shared" si="26"/>
        <v>76.891191709844563</v>
      </c>
      <c r="AA127" s="142">
        <f t="shared" si="27"/>
        <v>83.213356361542893</v>
      </c>
      <c r="AB127" s="143">
        <f t="shared" si="28"/>
        <v>76.709844559585505</v>
      </c>
      <c r="AC127" s="147">
        <v>1889</v>
      </c>
      <c r="AD127" s="148">
        <f t="shared" si="31"/>
        <v>20.649999999999995</v>
      </c>
      <c r="AE127" s="140">
        <f t="shared" si="30"/>
        <v>3.884837647058824</v>
      </c>
      <c r="AF127" s="149">
        <f t="shared" si="32"/>
        <v>0</v>
      </c>
      <c r="AG127" s="149">
        <v>64.714537163574207</v>
      </c>
      <c r="AH127" s="150">
        <v>71.919388863160805</v>
      </c>
      <c r="AI127" s="151">
        <v>-0.18282619564031199</v>
      </c>
      <c r="AJ127" s="151">
        <v>65.294434770267301</v>
      </c>
      <c r="AK127" s="151">
        <v>73.080624458315995</v>
      </c>
      <c r="AL127" s="155"/>
      <c r="AM127" s="155"/>
      <c r="AN127" s="150"/>
      <c r="AO127" s="150"/>
      <c r="AP127" s="150"/>
      <c r="AQ127" s="150"/>
      <c r="AR127" s="150"/>
      <c r="AS127" s="150"/>
      <c r="AT127" s="152">
        <v>2.7700831024930699E-2</v>
      </c>
      <c r="AU127" s="152">
        <v>-1.4603583214134099E-2</v>
      </c>
      <c r="AV127" s="152">
        <v>-6.0117302052786002E-2</v>
      </c>
      <c r="AW127" s="152">
        <v>-2.0936318199971399E-2</v>
      </c>
      <c r="AX127" s="150"/>
    </row>
    <row r="128" spans="1:50">
      <c r="A128">
        <v>1890</v>
      </c>
      <c r="B128" s="9"/>
      <c r="C128" s="205">
        <v>8.82</v>
      </c>
      <c r="D128" s="205">
        <f t="shared" si="29"/>
        <v>6.7044055313754445</v>
      </c>
      <c r="E128" s="144">
        <v>20.67</v>
      </c>
      <c r="F128" s="132">
        <f t="shared" si="23"/>
        <v>99.999999999999986</v>
      </c>
      <c r="G128" s="126">
        <f t="shared" si="22"/>
        <v>52.814371257485035</v>
      </c>
      <c r="H128" s="15">
        <v>65</v>
      </c>
      <c r="I128" s="159"/>
      <c r="J128" s="25">
        <f t="shared" si="19"/>
        <v>65.000000000000014</v>
      </c>
      <c r="K128" s="145">
        <v>4.24</v>
      </c>
      <c r="L128" s="144"/>
      <c r="M128" s="146">
        <v>4.8600000000000003</v>
      </c>
      <c r="N128" s="144"/>
      <c r="O128" s="133">
        <f t="shared" si="25"/>
        <v>4.24</v>
      </c>
      <c r="P128" s="134">
        <f t="shared" si="24"/>
        <v>99.764705882352942</v>
      </c>
      <c r="Q128" s="129">
        <v>74.2</v>
      </c>
      <c r="R128" s="129"/>
      <c r="S128" s="129"/>
      <c r="T128" s="115">
        <f t="shared" si="20"/>
        <v>74.2</v>
      </c>
      <c r="U128" s="25">
        <f t="shared" si="21"/>
        <v>74.375</v>
      </c>
      <c r="V128" s="135">
        <v>-20.676308105435599</v>
      </c>
      <c r="W128" s="135">
        <v>-13.6735603733906</v>
      </c>
      <c r="X128" s="135">
        <v>-17.174934239413101</v>
      </c>
      <c r="Y128" s="135">
        <v>-19.800383655467499</v>
      </c>
      <c r="Z128" s="27">
        <f t="shared" si="26"/>
        <v>76.891191709844563</v>
      </c>
      <c r="AA128" s="142">
        <f t="shared" si="27"/>
        <v>83.042487046632132</v>
      </c>
      <c r="AB128" s="143">
        <f t="shared" si="28"/>
        <v>76.709844559585505</v>
      </c>
      <c r="AC128" s="147">
        <v>1890</v>
      </c>
      <c r="AD128" s="148">
        <f t="shared" si="31"/>
        <v>20.649999999999995</v>
      </c>
      <c r="AE128" s="140">
        <f t="shared" si="30"/>
        <v>3.884837647058824</v>
      </c>
      <c r="AF128" s="149">
        <f t="shared" si="32"/>
        <v>0</v>
      </c>
      <c r="AG128" s="149">
        <v>63.255016028183199</v>
      </c>
      <c r="AH128" s="150">
        <v>70.899934601328795</v>
      </c>
      <c r="AI128" s="151">
        <v>-0.19158360594510301</v>
      </c>
      <c r="AJ128" s="151">
        <v>64.417670249281898</v>
      </c>
      <c r="AK128" s="151">
        <v>73.268005204968404</v>
      </c>
      <c r="AL128" s="155"/>
      <c r="AM128" s="155"/>
      <c r="AN128" s="150"/>
      <c r="AO128" s="150"/>
      <c r="AP128" s="150"/>
      <c r="AQ128" s="150"/>
      <c r="AR128" s="150"/>
      <c r="AS128" s="150"/>
      <c r="AT128" s="152">
        <v>0</v>
      </c>
      <c r="AU128" s="152">
        <v>-1.3371026794307401E-2</v>
      </c>
      <c r="AV128" s="152">
        <v>1.4040561622464901E-2</v>
      </c>
      <c r="AW128" s="152">
        <v>-2.0165527075971398E-2</v>
      </c>
      <c r="AX128" s="150"/>
    </row>
    <row r="129" spans="1:50">
      <c r="A129">
        <v>1891</v>
      </c>
      <c r="B129" s="9"/>
      <c r="C129" s="205">
        <v>8.82</v>
      </c>
      <c r="D129" s="205">
        <f t="shared" si="29"/>
        <v>6.7044055313754445</v>
      </c>
      <c r="E129" s="144">
        <v>20.67</v>
      </c>
      <c r="F129" s="132">
        <f t="shared" si="23"/>
        <v>99.999999999999986</v>
      </c>
      <c r="G129" s="126">
        <f t="shared" si="22"/>
        <v>52.814371257485035</v>
      </c>
      <c r="H129" s="15">
        <v>64.599999999999994</v>
      </c>
      <c r="I129" s="159"/>
      <c r="J129" s="25">
        <f t="shared" si="19"/>
        <v>64.599999999999994</v>
      </c>
      <c r="K129" s="145">
        <v>4.25</v>
      </c>
      <c r="L129" s="144"/>
      <c r="M129" s="146">
        <v>4.8600000000000003</v>
      </c>
      <c r="N129" s="144"/>
      <c r="O129" s="133">
        <f t="shared" si="25"/>
        <v>4.25</v>
      </c>
      <c r="P129" s="134">
        <f t="shared" si="24"/>
        <v>100</v>
      </c>
      <c r="Q129" s="129">
        <v>74.2</v>
      </c>
      <c r="R129" s="129"/>
      <c r="S129" s="129"/>
      <c r="T129" s="115">
        <f t="shared" si="20"/>
        <v>74.2</v>
      </c>
      <c r="U129" s="25">
        <f t="shared" si="21"/>
        <v>74.2</v>
      </c>
      <c r="V129" s="135">
        <v>-21.318258715315501</v>
      </c>
      <c r="W129" s="135">
        <v>-13.8431871335506</v>
      </c>
      <c r="X129" s="135">
        <v>-17.580722924433001</v>
      </c>
      <c r="Y129" s="135">
        <v>-21.076991375123999</v>
      </c>
      <c r="Z129" s="27">
        <f t="shared" si="26"/>
        <v>76.891191709844563</v>
      </c>
      <c r="AA129" s="142">
        <f t="shared" si="27"/>
        <v>83.042487046632132</v>
      </c>
      <c r="AB129" s="143">
        <f t="shared" si="28"/>
        <v>76.529350807680601</v>
      </c>
      <c r="AC129" s="147">
        <v>1891</v>
      </c>
      <c r="AD129" s="148">
        <f t="shared" si="31"/>
        <v>20.649999999999995</v>
      </c>
      <c r="AE129" s="140">
        <f t="shared" si="30"/>
        <v>3.8940000000000001</v>
      </c>
      <c r="AF129" s="149">
        <f t="shared" si="32"/>
        <v>0</v>
      </c>
      <c r="AG129" s="149">
        <v>61.889095174872097</v>
      </c>
      <c r="AH129" s="150">
        <v>69.953844627469294</v>
      </c>
      <c r="AI129" s="151">
        <v>-0.26304207435516203</v>
      </c>
      <c r="AJ129" s="151">
        <v>63.1611182852916</v>
      </c>
      <c r="AK129" s="151">
        <v>72.542533831458499</v>
      </c>
      <c r="AL129" s="155"/>
      <c r="AM129" s="155"/>
      <c r="AN129" s="150"/>
      <c r="AO129" s="150"/>
      <c r="AP129" s="150"/>
      <c r="AQ129" s="150"/>
      <c r="AR129" s="150"/>
      <c r="AS129" s="150"/>
      <c r="AT129" s="152">
        <v>0</v>
      </c>
      <c r="AU129" s="152">
        <v>-1.2568226706275099E-2</v>
      </c>
      <c r="AV129" s="152">
        <v>-6.1538461538462397E-3</v>
      </c>
      <c r="AW129" s="152">
        <v>-1.9123606263697399E-2</v>
      </c>
      <c r="AX129" s="150"/>
    </row>
    <row r="130" spans="1:50">
      <c r="A130">
        <v>1892</v>
      </c>
      <c r="B130" s="9"/>
      <c r="C130" s="205">
        <v>8.82</v>
      </c>
      <c r="D130" s="205">
        <f t="shared" si="29"/>
        <v>6.7044055313754445</v>
      </c>
      <c r="E130" s="144">
        <v>20.67</v>
      </c>
      <c r="F130" s="132">
        <f t="shared" si="23"/>
        <v>99.999999999999986</v>
      </c>
      <c r="G130" s="126">
        <f t="shared" si="22"/>
        <v>52.814371257485035</v>
      </c>
      <c r="H130" s="15">
        <v>60.3</v>
      </c>
      <c r="I130" s="159"/>
      <c r="J130" s="25">
        <f t="shared" si="19"/>
        <v>60.300000000000011</v>
      </c>
      <c r="K130" s="145">
        <v>4.25</v>
      </c>
      <c r="L130" s="144"/>
      <c r="M130" s="146">
        <v>4.87</v>
      </c>
      <c r="N130" s="144"/>
      <c r="O130" s="133">
        <f t="shared" si="25"/>
        <v>4.25</v>
      </c>
      <c r="P130" s="134">
        <f t="shared" si="24"/>
        <v>100</v>
      </c>
      <c r="Q130" s="129">
        <v>70.099999999999994</v>
      </c>
      <c r="R130" s="129"/>
      <c r="S130" s="129"/>
      <c r="T130" s="115">
        <f t="shared" si="20"/>
        <v>70.099999999999994</v>
      </c>
      <c r="U130" s="25">
        <f t="shared" si="21"/>
        <v>70.099999999999994</v>
      </c>
      <c r="V130" s="135">
        <v>-25.859618136111401</v>
      </c>
      <c r="W130" s="135">
        <v>-17.951204014803199</v>
      </c>
      <c r="X130" s="135">
        <v>-21.905411075457302</v>
      </c>
      <c r="Y130" s="135">
        <v>-22.265167933581399</v>
      </c>
      <c r="Z130" s="27">
        <f t="shared" si="26"/>
        <v>72.642487046632112</v>
      </c>
      <c r="AA130" s="142">
        <f t="shared" si="27"/>
        <v>78.615313759355189</v>
      </c>
      <c r="AB130" s="143">
        <f t="shared" si="28"/>
        <v>72.300640048765629</v>
      </c>
      <c r="AC130" s="147">
        <v>1892</v>
      </c>
      <c r="AD130" s="148">
        <f t="shared" si="31"/>
        <v>20.649999999999995</v>
      </c>
      <c r="AE130" s="140">
        <f t="shared" si="30"/>
        <v>3.8940000000000001</v>
      </c>
      <c r="AF130" s="149">
        <f t="shared" si="32"/>
        <v>0</v>
      </c>
      <c r="AG130" s="149">
        <v>60.649633772223098</v>
      </c>
      <c r="AH130" s="150">
        <v>69.0736321450822</v>
      </c>
      <c r="AI130" s="151">
        <v>-0.23941539795379699</v>
      </c>
      <c r="AJ130" s="151">
        <v>61.383351810849902</v>
      </c>
      <c r="AK130" s="151">
        <v>70.824060289381293</v>
      </c>
      <c r="AL130" s="155"/>
      <c r="AM130" s="155"/>
      <c r="AN130" s="150"/>
      <c r="AO130" s="150"/>
      <c r="AP130" s="150"/>
      <c r="AQ130" s="150"/>
      <c r="AR130" s="150"/>
      <c r="AS130" s="150"/>
      <c r="AT130" s="152">
        <v>-5.5256064690027001E-2</v>
      </c>
      <c r="AU130" s="152">
        <v>-1.1722696594927799E-2</v>
      </c>
      <c r="AV130" s="152">
        <v>-6.6563467492259998E-2</v>
      </c>
      <c r="AW130" s="152">
        <v>-1.7485056886958599E-2</v>
      </c>
      <c r="AX130" s="150"/>
    </row>
    <row r="131" spans="1:50">
      <c r="A131">
        <v>1893</v>
      </c>
      <c r="B131" s="9"/>
      <c r="C131" s="205">
        <v>8.7200000000000006</v>
      </c>
      <c r="D131" s="205">
        <f t="shared" si="29"/>
        <v>6.6283918632192611</v>
      </c>
      <c r="E131" s="144">
        <v>20.67</v>
      </c>
      <c r="F131" s="132">
        <f t="shared" si="23"/>
        <v>99.999999999999986</v>
      </c>
      <c r="G131" s="126">
        <f t="shared" si="22"/>
        <v>52.215568862275461</v>
      </c>
      <c r="H131" s="15">
        <v>61.9</v>
      </c>
      <c r="I131" s="159"/>
      <c r="J131" s="25">
        <f t="shared" si="19"/>
        <v>61.900000000000006</v>
      </c>
      <c r="K131" s="145">
        <v>4.25</v>
      </c>
      <c r="L131" s="144"/>
      <c r="M131" s="146">
        <v>4.8600000000000003</v>
      </c>
      <c r="N131" s="144"/>
      <c r="O131" s="133">
        <f t="shared" si="25"/>
        <v>4.25</v>
      </c>
      <c r="P131" s="134">
        <f t="shared" si="24"/>
        <v>100</v>
      </c>
      <c r="Q131" s="129">
        <v>70.099999999999994</v>
      </c>
      <c r="R131" s="129"/>
      <c r="S131" s="129"/>
      <c r="T131" s="115">
        <f t="shared" si="20"/>
        <v>70.099999999999994</v>
      </c>
      <c r="U131" s="25">
        <f t="shared" si="21"/>
        <v>70.099999999999994</v>
      </c>
      <c r="V131" s="135">
        <v>-24.5001040737857</v>
      </c>
      <c r="W131" s="135">
        <v>-17.977527898669599</v>
      </c>
      <c r="X131" s="135">
        <v>-21.2388159862276</v>
      </c>
      <c r="Y131" s="135">
        <v>-23.3162608022627</v>
      </c>
      <c r="Z131" s="27">
        <f t="shared" si="26"/>
        <v>72.642487046632112</v>
      </c>
      <c r="AA131" s="142">
        <f t="shared" si="27"/>
        <v>78.45388601036268</v>
      </c>
      <c r="AB131" s="143">
        <f t="shared" si="28"/>
        <v>72.300640048765629</v>
      </c>
      <c r="AC131" s="147">
        <v>1893</v>
      </c>
      <c r="AD131" s="148">
        <f t="shared" si="31"/>
        <v>20.649999999999995</v>
      </c>
      <c r="AE131" s="140">
        <f t="shared" si="30"/>
        <v>3.8940000000000001</v>
      </c>
      <c r="AF131" s="149">
        <f t="shared" si="32"/>
        <v>0</v>
      </c>
      <c r="AG131" s="149">
        <v>59.596600037069898</v>
      </c>
      <c r="AH131" s="150">
        <v>68.295771911392706</v>
      </c>
      <c r="AI131" s="151">
        <v>-0.35289624969302702</v>
      </c>
      <c r="AJ131" s="151">
        <v>59.422570996746401</v>
      </c>
      <c r="AK131" s="151">
        <v>68.634923253178698</v>
      </c>
      <c r="AL131" s="155">
        <v>69</v>
      </c>
      <c r="AM131" s="155">
        <v>60</v>
      </c>
      <c r="AN131" s="150"/>
      <c r="AO131" s="150"/>
      <c r="AP131" s="150"/>
      <c r="AQ131" s="150"/>
      <c r="AR131" s="150"/>
      <c r="AS131" s="150"/>
      <c r="AT131" s="152">
        <v>0</v>
      </c>
      <c r="AU131" s="152">
        <v>-1.02362678380931E-2</v>
      </c>
      <c r="AV131" s="152">
        <v>2.6533996683250401E-2</v>
      </c>
      <c r="AW131" s="152">
        <v>-1.47946824684659E-2</v>
      </c>
      <c r="AX131" s="150"/>
    </row>
    <row r="132" spans="1:50">
      <c r="A132">
        <v>1894</v>
      </c>
      <c r="B132" s="9"/>
      <c r="C132" s="205">
        <v>8.34</v>
      </c>
      <c r="D132" s="205">
        <f t="shared" si="29"/>
        <v>6.3395399242257602</v>
      </c>
      <c r="E132" s="144">
        <v>20.67</v>
      </c>
      <c r="F132" s="132">
        <f t="shared" si="23"/>
        <v>99.999999999999986</v>
      </c>
      <c r="G132" s="126">
        <f t="shared" si="22"/>
        <v>49.940119760479043</v>
      </c>
      <c r="H132" s="15">
        <v>55.4</v>
      </c>
      <c r="I132" s="159"/>
      <c r="J132" s="25">
        <f t="shared" si="19"/>
        <v>55.400000000000006</v>
      </c>
      <c r="K132" s="145">
        <v>4.24</v>
      </c>
      <c r="L132" s="144"/>
      <c r="M132" s="146">
        <v>4.88</v>
      </c>
      <c r="N132" s="144"/>
      <c r="O132" s="133">
        <f t="shared" si="25"/>
        <v>4.24</v>
      </c>
      <c r="P132" s="134">
        <f t="shared" si="24"/>
        <v>99.764705882352942</v>
      </c>
      <c r="Q132" s="129">
        <v>64.900000000000006</v>
      </c>
      <c r="R132" s="129"/>
      <c r="S132" s="129"/>
      <c r="T132" s="115">
        <f t="shared" si="20"/>
        <v>64.900000000000006</v>
      </c>
      <c r="U132" s="25">
        <f t="shared" si="21"/>
        <v>65.05306603773586</v>
      </c>
      <c r="V132" s="135">
        <v>-31.239434234300901</v>
      </c>
      <c r="W132" s="135">
        <v>-23.072056506148101</v>
      </c>
      <c r="X132" s="135">
        <v>-27.155745370224501</v>
      </c>
      <c r="Y132" s="135">
        <v>-24.1780198840097</v>
      </c>
      <c r="Z132" s="27">
        <f t="shared" si="26"/>
        <v>67.253886010362706</v>
      </c>
      <c r="AA132" s="142">
        <f t="shared" si="27"/>
        <v>72.933103051237765</v>
      </c>
      <c r="AB132" s="143">
        <f t="shared" si="28"/>
        <v>67.095268354677899</v>
      </c>
      <c r="AC132" s="147">
        <v>1894</v>
      </c>
      <c r="AD132" s="148">
        <f t="shared" si="31"/>
        <v>20.649999999999995</v>
      </c>
      <c r="AE132" s="140">
        <f t="shared" si="30"/>
        <v>3.884837647058824</v>
      </c>
      <c r="AF132" s="149">
        <f t="shared" si="32"/>
        <v>0</v>
      </c>
      <c r="AG132" s="149">
        <v>58.786465848523598</v>
      </c>
      <c r="AH132" s="150">
        <v>67.668402362175399</v>
      </c>
      <c r="AI132" s="151">
        <v>-0.335747965386129</v>
      </c>
      <c r="AJ132" s="151">
        <v>57.255858743487302</v>
      </c>
      <c r="AK132" s="151">
        <v>66.302774634165601</v>
      </c>
      <c r="AL132" s="151"/>
      <c r="AM132" s="151"/>
      <c r="AN132" s="150"/>
      <c r="AO132" s="150"/>
      <c r="AP132" s="150"/>
      <c r="AQ132" s="150"/>
      <c r="AR132" s="150"/>
      <c r="AS132" s="150"/>
      <c r="AT132" s="152">
        <v>-7.4179743223965602E-2</v>
      </c>
      <c r="AU132" s="152">
        <v>-7.9461054945498804E-3</v>
      </c>
      <c r="AV132" s="152">
        <v>-0.105008077544426</v>
      </c>
      <c r="AW132" s="152">
        <v>-1.10880706369831E-2</v>
      </c>
      <c r="AX132" s="150"/>
    </row>
    <row r="133" spans="1:50">
      <c r="A133">
        <v>1895</v>
      </c>
      <c r="B133" s="9"/>
      <c r="C133" s="205">
        <v>8.14</v>
      </c>
      <c r="D133" s="205">
        <f t="shared" si="29"/>
        <v>6.1875125879133925</v>
      </c>
      <c r="E133" s="144">
        <v>20.67</v>
      </c>
      <c r="F133" s="132">
        <f t="shared" si="23"/>
        <v>99.999999999999986</v>
      </c>
      <c r="G133" s="126">
        <f t="shared" si="22"/>
        <v>48.742514970059879</v>
      </c>
      <c r="H133" s="15">
        <v>56.5</v>
      </c>
      <c r="I133" s="159"/>
      <c r="J133" s="25">
        <f t="shared" si="19"/>
        <v>56.500000000000007</v>
      </c>
      <c r="K133" s="145">
        <v>4.24</v>
      </c>
      <c r="L133" s="144"/>
      <c r="M133" s="146">
        <v>4.8899999999999997</v>
      </c>
      <c r="N133" s="144"/>
      <c r="O133" s="133">
        <f t="shared" si="25"/>
        <v>4.24</v>
      </c>
      <c r="P133" s="134">
        <f t="shared" si="24"/>
        <v>99.764705882352942</v>
      </c>
      <c r="Q133" s="129">
        <v>63.9</v>
      </c>
      <c r="R133" s="129"/>
      <c r="S133" s="129"/>
      <c r="T133" s="115">
        <f t="shared" si="20"/>
        <v>63.9</v>
      </c>
      <c r="U133" s="25">
        <f t="shared" si="21"/>
        <v>64.050707547169807</v>
      </c>
      <c r="V133" s="135">
        <v>-30.3773263236193</v>
      </c>
      <c r="W133" s="135">
        <v>-24.134668397713799</v>
      </c>
      <c r="X133" s="135">
        <v>-27.255997360666498</v>
      </c>
      <c r="Y133" s="135">
        <v>-24.777420633503901</v>
      </c>
      <c r="Z133" s="27">
        <f t="shared" si="26"/>
        <v>66.217616580310874</v>
      </c>
      <c r="AA133" s="142">
        <f t="shared" si="27"/>
        <v>71.956476683937822</v>
      </c>
      <c r="AB133" s="143">
        <f t="shared" si="28"/>
        <v>66.061442956300709</v>
      </c>
      <c r="AC133" s="147">
        <v>1895</v>
      </c>
      <c r="AD133" s="148">
        <f t="shared" si="31"/>
        <v>20.649999999999995</v>
      </c>
      <c r="AE133" s="140">
        <f t="shared" si="30"/>
        <v>3.884837647058824</v>
      </c>
      <c r="AF133" s="149">
        <f t="shared" si="32"/>
        <v>0</v>
      </c>
      <c r="AG133" s="149">
        <v>58.298737085324703</v>
      </c>
      <c r="AH133" s="150">
        <v>67.259104214090698</v>
      </c>
      <c r="AI133" s="151">
        <v>-0.38719401879785598</v>
      </c>
      <c r="AJ133" s="151">
        <v>55.686107619330102</v>
      </c>
      <c r="AK133" s="151">
        <v>64.690291925930595</v>
      </c>
      <c r="AL133" s="151"/>
      <c r="AM133" s="151"/>
      <c r="AN133" s="150"/>
      <c r="AO133" s="150"/>
      <c r="AP133" s="150"/>
      <c r="AQ133" s="150"/>
      <c r="AR133" s="150"/>
      <c r="AS133" s="150"/>
      <c r="AT133" s="152">
        <v>-1.5408320493066299E-2</v>
      </c>
      <c r="AU133" s="152">
        <v>-4.5870119446957697E-3</v>
      </c>
      <c r="AV133" s="152">
        <v>1.9855595667869999E-2</v>
      </c>
      <c r="AW133" s="152">
        <v>-5.9875222297568797E-3</v>
      </c>
      <c r="AX133" s="150"/>
    </row>
    <row r="134" spans="1:50">
      <c r="A134">
        <v>1896</v>
      </c>
      <c r="B134" s="9"/>
      <c r="C134" s="205">
        <v>8.14</v>
      </c>
      <c r="D134" s="205">
        <f t="shared" si="29"/>
        <v>6.1875125879133925</v>
      </c>
      <c r="E134" s="144">
        <v>20.67</v>
      </c>
      <c r="F134" s="132">
        <f t="shared" si="23"/>
        <v>99.999999999999986</v>
      </c>
      <c r="G134" s="126">
        <f t="shared" si="22"/>
        <v>48.742514970059879</v>
      </c>
      <c r="H134" s="15">
        <v>53.8</v>
      </c>
      <c r="I134" s="159"/>
      <c r="J134" s="25">
        <f t="shared" si="19"/>
        <v>53.800000000000004</v>
      </c>
      <c r="K134" s="145">
        <v>4.25</v>
      </c>
      <c r="L134" s="144"/>
      <c r="M134" s="146">
        <v>4.87</v>
      </c>
      <c r="N134" s="144"/>
      <c r="O134" s="133">
        <f t="shared" si="25"/>
        <v>4.25</v>
      </c>
      <c r="P134" s="134">
        <f t="shared" si="24"/>
        <v>100</v>
      </c>
      <c r="Q134" s="129">
        <v>62.9</v>
      </c>
      <c r="R134" s="129"/>
      <c r="S134" s="129"/>
      <c r="T134" s="115">
        <f t="shared" si="20"/>
        <v>62.9</v>
      </c>
      <c r="U134" s="25">
        <f t="shared" si="21"/>
        <v>62.9</v>
      </c>
      <c r="V134" s="135">
        <v>-33.313498047703199</v>
      </c>
      <c r="W134" s="135">
        <v>-25.3652229733189</v>
      </c>
      <c r="X134" s="135">
        <v>-29.339360510511</v>
      </c>
      <c r="Y134" s="135">
        <v>-25.071215760288801</v>
      </c>
      <c r="Z134" s="27">
        <f t="shared" si="26"/>
        <v>65.181347150259072</v>
      </c>
      <c r="AA134" s="142">
        <f t="shared" si="27"/>
        <v>70.540702360391478</v>
      </c>
      <c r="AB134" s="143">
        <f t="shared" si="28"/>
        <v>64.874611398963751</v>
      </c>
      <c r="AC134" s="147">
        <v>1896</v>
      </c>
      <c r="AD134" s="148">
        <f t="shared" si="31"/>
        <v>20.649999999999995</v>
      </c>
      <c r="AE134" s="140">
        <f t="shared" si="30"/>
        <v>3.8940000000000001</v>
      </c>
      <c r="AF134" s="149">
        <f t="shared" si="32"/>
        <v>0</v>
      </c>
      <c r="AG134" s="149">
        <v>58.179054967728497</v>
      </c>
      <c r="AH134" s="150">
        <v>67.109074160177698</v>
      </c>
      <c r="AI134" s="151">
        <v>-0.38963265160420801</v>
      </c>
      <c r="AJ134" s="151">
        <v>54.897590611369701</v>
      </c>
      <c r="AK134" s="151">
        <v>64.235894410673694</v>
      </c>
      <c r="AL134" s="151"/>
      <c r="AM134" s="151"/>
      <c r="AN134" s="150"/>
      <c r="AO134" s="150"/>
      <c r="AP134" s="150"/>
      <c r="AQ134" s="150"/>
      <c r="AR134" s="150"/>
      <c r="AS134" s="150"/>
      <c r="AT134" s="152">
        <v>-1.56494522691705E-2</v>
      </c>
      <c r="AU134" s="152">
        <v>-5.5612594622275399E-4</v>
      </c>
      <c r="AV134" s="152">
        <v>-4.7787610619468998E-2</v>
      </c>
      <c r="AW134" s="152">
        <v>-5.4538153108232898E-5</v>
      </c>
      <c r="AX134" s="150"/>
    </row>
    <row r="135" spans="1:50">
      <c r="A135">
        <v>1897</v>
      </c>
      <c r="B135" s="9"/>
      <c r="C135" s="205">
        <v>8.0399999999999991</v>
      </c>
      <c r="D135" s="205">
        <f t="shared" si="29"/>
        <v>6.1114989197572074</v>
      </c>
      <c r="E135" s="144">
        <v>20.67</v>
      </c>
      <c r="F135" s="132">
        <f t="shared" si="23"/>
        <v>99.999999999999986</v>
      </c>
      <c r="G135" s="126">
        <f t="shared" si="22"/>
        <v>48.143712574850298</v>
      </c>
      <c r="H135" s="15">
        <v>53.8</v>
      </c>
      <c r="I135" s="159"/>
      <c r="J135" s="25">
        <f t="shared" si="19"/>
        <v>53.800000000000004</v>
      </c>
      <c r="K135" s="145">
        <v>4.25</v>
      </c>
      <c r="L135" s="144"/>
      <c r="M135" s="146">
        <v>4.8600000000000003</v>
      </c>
      <c r="N135" s="144"/>
      <c r="O135" s="133">
        <f t="shared" si="25"/>
        <v>4.25</v>
      </c>
      <c r="P135" s="134">
        <f t="shared" si="24"/>
        <v>100</v>
      </c>
      <c r="Q135" s="129">
        <v>63.9</v>
      </c>
      <c r="R135" s="129"/>
      <c r="S135" s="129"/>
      <c r="T135" s="115">
        <f t="shared" si="20"/>
        <v>63.9</v>
      </c>
      <c r="U135" s="25">
        <f t="shared" si="21"/>
        <v>63.9</v>
      </c>
      <c r="V135" s="135">
        <v>-33.5476671125151</v>
      </c>
      <c r="W135" s="135">
        <v>-24.4635604723927</v>
      </c>
      <c r="X135" s="135">
        <v>-29.0056137924539</v>
      </c>
      <c r="Y135" s="135">
        <v>-25.040943741179799</v>
      </c>
      <c r="Z135" s="27">
        <f t="shared" si="26"/>
        <v>66.217616580310874</v>
      </c>
      <c r="AA135" s="142">
        <f t="shared" si="27"/>
        <v>71.515025906735744</v>
      </c>
      <c r="AB135" s="143">
        <f t="shared" si="28"/>
        <v>65.906004266991772</v>
      </c>
      <c r="AC135" s="147">
        <v>1897</v>
      </c>
      <c r="AD135" s="148">
        <f t="shared" si="31"/>
        <v>20.649999999999995</v>
      </c>
      <c r="AE135" s="140">
        <f t="shared" si="30"/>
        <v>3.8940000000000001</v>
      </c>
      <c r="AF135" s="149">
        <f t="shared" si="32"/>
        <v>0</v>
      </c>
      <c r="AG135" s="149">
        <v>58.455073345137201</v>
      </c>
      <c r="AH135" s="150">
        <v>67.227217851334203</v>
      </c>
      <c r="AI135" s="151">
        <v>-0.35016231747339799</v>
      </c>
      <c r="AJ135" s="151">
        <v>55.3458781669244</v>
      </c>
      <c r="AK135" s="151">
        <v>65.157904061951299</v>
      </c>
      <c r="AL135" s="151"/>
      <c r="AM135" s="151"/>
      <c r="AN135" s="150"/>
      <c r="AO135" s="150"/>
      <c r="AP135" s="150"/>
      <c r="AQ135" s="150"/>
      <c r="AR135" s="150"/>
      <c r="AS135" s="150"/>
      <c r="AT135" s="152">
        <v>1.58982511923688E-2</v>
      </c>
      <c r="AU135" s="152">
        <v>3.6412006576935201E-3</v>
      </c>
      <c r="AV135" s="152">
        <v>0</v>
      </c>
      <c r="AW135" s="152">
        <v>6.4078118656179898E-3</v>
      </c>
      <c r="AX135" s="150"/>
    </row>
    <row r="136" spans="1:50">
      <c r="A136">
        <v>1898</v>
      </c>
      <c r="B136" s="9"/>
      <c r="C136" s="205">
        <v>8.0399999999999991</v>
      </c>
      <c r="D136" s="205">
        <f t="shared" si="29"/>
        <v>6.1114989197572074</v>
      </c>
      <c r="E136" s="144">
        <v>20.67</v>
      </c>
      <c r="F136" s="132">
        <f t="shared" si="23"/>
        <v>99.999999999999986</v>
      </c>
      <c r="G136" s="126">
        <f t="shared" si="22"/>
        <v>48.143712574850298</v>
      </c>
      <c r="H136" s="15">
        <v>56.1</v>
      </c>
      <c r="I136" s="159"/>
      <c r="J136" s="25">
        <f t="shared" si="19"/>
        <v>56.100000000000009</v>
      </c>
      <c r="K136" s="145">
        <v>4.25</v>
      </c>
      <c r="L136" s="144"/>
      <c r="M136" s="146">
        <v>4.8499999999999996</v>
      </c>
      <c r="N136" s="144"/>
      <c r="O136" s="133">
        <f t="shared" si="25"/>
        <v>4.25</v>
      </c>
      <c r="P136" s="134">
        <f t="shared" si="24"/>
        <v>100</v>
      </c>
      <c r="Q136" s="129">
        <v>66</v>
      </c>
      <c r="R136" s="129"/>
      <c r="S136" s="129"/>
      <c r="T136" s="115">
        <f t="shared" si="20"/>
        <v>66</v>
      </c>
      <c r="U136" s="25">
        <f t="shared" si="21"/>
        <v>66</v>
      </c>
      <c r="V136" s="135">
        <v>-31.4795512240172</v>
      </c>
      <c r="W136" s="135">
        <v>-22.479501973841199</v>
      </c>
      <c r="X136" s="135">
        <v>-26.979526598929201</v>
      </c>
      <c r="Y136" s="135">
        <v>-24.710824500494201</v>
      </c>
      <c r="Z136" s="27">
        <f t="shared" si="26"/>
        <v>68.393782383419691</v>
      </c>
      <c r="AA136" s="142">
        <f t="shared" si="27"/>
        <v>73.713298791019</v>
      </c>
      <c r="AB136" s="143">
        <f t="shared" si="28"/>
        <v>68.071929289850672</v>
      </c>
      <c r="AC136" s="147">
        <v>1898</v>
      </c>
      <c r="AD136" s="148">
        <f t="shared" si="31"/>
        <v>20.649999999999995</v>
      </c>
      <c r="AE136" s="140">
        <f t="shared" si="30"/>
        <v>3.8940000000000001</v>
      </c>
      <c r="AF136" s="149">
        <f t="shared" si="32"/>
        <v>0</v>
      </c>
      <c r="AG136" s="149">
        <v>59.110655517275497</v>
      </c>
      <c r="AH136" s="150">
        <v>67.580950196856307</v>
      </c>
      <c r="AI136" s="151">
        <v>-0.28030504396723299</v>
      </c>
      <c r="AJ136" s="151">
        <v>57.120677196189298</v>
      </c>
      <c r="AK136" s="151">
        <v>67.249344716428695</v>
      </c>
      <c r="AL136" s="151"/>
      <c r="AM136" s="151"/>
      <c r="AN136" s="150"/>
      <c r="AO136" s="150"/>
      <c r="AP136" s="150"/>
      <c r="AQ136" s="150"/>
      <c r="AR136" s="150"/>
      <c r="AS136" s="150"/>
      <c r="AT136" s="152">
        <v>3.2863849765258198E-2</v>
      </c>
      <c r="AU136" s="152">
        <v>7.3486827606479297E-3</v>
      </c>
      <c r="AV136" s="152">
        <v>4.2750929368029801E-2</v>
      </c>
      <c r="AW136" s="152">
        <v>1.26191273744133E-2</v>
      </c>
      <c r="AX136" s="150"/>
    </row>
    <row r="137" spans="1:50">
      <c r="A137">
        <v>1899</v>
      </c>
      <c r="B137" s="9"/>
      <c r="C137" s="205">
        <v>8.0399999999999991</v>
      </c>
      <c r="D137" s="205">
        <f t="shared" si="29"/>
        <v>6.1114989197572074</v>
      </c>
      <c r="E137" s="144">
        <v>20.67</v>
      </c>
      <c r="F137" s="132">
        <f t="shared" si="23"/>
        <v>99.999999999999986</v>
      </c>
      <c r="G137" s="126">
        <f t="shared" si="22"/>
        <v>48.143712574850298</v>
      </c>
      <c r="H137" s="15">
        <v>60.3</v>
      </c>
      <c r="I137" s="159"/>
      <c r="J137" s="25">
        <f t="shared" si="19"/>
        <v>60.300000000000011</v>
      </c>
      <c r="K137" s="145">
        <v>4.24</v>
      </c>
      <c r="L137" s="144"/>
      <c r="M137" s="146">
        <v>4.8600000000000003</v>
      </c>
      <c r="N137" s="144"/>
      <c r="O137" s="133">
        <f t="shared" si="25"/>
        <v>4.24</v>
      </c>
      <c r="P137" s="134">
        <f t="shared" si="24"/>
        <v>99.764705882352942</v>
      </c>
      <c r="Q137" s="129">
        <v>70.099999999999994</v>
      </c>
      <c r="R137" s="129"/>
      <c r="S137" s="129"/>
      <c r="T137" s="115">
        <f t="shared" si="20"/>
        <v>70.099999999999994</v>
      </c>
      <c r="U137" s="25">
        <f t="shared" si="21"/>
        <v>70.265330188679229</v>
      </c>
      <c r="V137" s="135">
        <v>-27.5088680881721</v>
      </c>
      <c r="W137" s="135">
        <v>-18.342849396047701</v>
      </c>
      <c r="X137" s="135">
        <v>-22.925858742109899</v>
      </c>
      <c r="Y137" s="135">
        <v>-24.144724663062402</v>
      </c>
      <c r="Z137" s="27">
        <f t="shared" si="26"/>
        <v>72.642487046632112</v>
      </c>
      <c r="AA137" s="142">
        <f t="shared" si="27"/>
        <v>78.45388601036268</v>
      </c>
      <c r="AB137" s="143">
        <f t="shared" si="28"/>
        <v>72.471160426239123</v>
      </c>
      <c r="AC137" s="147">
        <v>1899</v>
      </c>
      <c r="AD137" s="148">
        <f t="shared" si="31"/>
        <v>20.649999999999995</v>
      </c>
      <c r="AE137" s="140">
        <f t="shared" si="30"/>
        <v>3.884837647058824</v>
      </c>
      <c r="AF137" s="149">
        <f t="shared" si="32"/>
        <v>0</v>
      </c>
      <c r="AG137" s="149">
        <v>60.083114050416803</v>
      </c>
      <c r="AH137" s="150">
        <v>68.104413927526906</v>
      </c>
      <c r="AI137" s="151">
        <v>-0.21061119655315699</v>
      </c>
      <c r="AJ137" s="151">
        <v>59.796401887051204</v>
      </c>
      <c r="AK137" s="151">
        <v>69.883938856787196</v>
      </c>
      <c r="AL137" s="151"/>
      <c r="AM137" s="151"/>
      <c r="AN137" s="150"/>
      <c r="AO137" s="150"/>
      <c r="AP137" s="150"/>
      <c r="AQ137" s="150"/>
      <c r="AR137" s="150"/>
      <c r="AS137" s="150"/>
      <c r="AT137" s="152">
        <v>6.2121212121212001E-2</v>
      </c>
      <c r="AU137" s="152">
        <v>1.0032605761582099E-2</v>
      </c>
      <c r="AV137" s="152">
        <v>7.4866310160427704E-2</v>
      </c>
      <c r="AW137" s="152">
        <v>1.7734929802613299E-2</v>
      </c>
      <c r="AX137" s="150"/>
    </row>
    <row r="138" spans="1:50">
      <c r="A138">
        <v>1900</v>
      </c>
      <c r="B138" s="9"/>
      <c r="C138" s="205">
        <v>8.14</v>
      </c>
      <c r="D138" s="205">
        <f t="shared" si="29"/>
        <v>6.1875125879133925</v>
      </c>
      <c r="E138" s="144">
        <v>20.67</v>
      </c>
      <c r="F138" s="132">
        <f t="shared" si="23"/>
        <v>99.999999999999986</v>
      </c>
      <c r="G138" s="126">
        <f t="shared" si="22"/>
        <v>48.742514970059879</v>
      </c>
      <c r="H138" s="15">
        <v>64.8</v>
      </c>
      <c r="I138" s="159"/>
      <c r="J138" s="25">
        <f t="shared" si="19"/>
        <v>64.800000000000011</v>
      </c>
      <c r="K138" s="145">
        <v>4.25</v>
      </c>
      <c r="L138" s="144"/>
      <c r="M138" s="146">
        <v>4.87</v>
      </c>
      <c r="N138" s="144"/>
      <c r="O138" s="133">
        <f t="shared" si="25"/>
        <v>4.25</v>
      </c>
      <c r="P138" s="134">
        <f t="shared" si="24"/>
        <v>100</v>
      </c>
      <c r="Q138" s="129">
        <v>77.3</v>
      </c>
      <c r="R138" s="161">
        <v>75.108333333333306</v>
      </c>
      <c r="S138" s="129"/>
      <c r="T138" s="115">
        <f t="shared" si="20"/>
        <v>77.3</v>
      </c>
      <c r="U138" s="25">
        <f t="shared" si="21"/>
        <v>77.3</v>
      </c>
      <c r="V138" s="135">
        <v>-23.235335410942</v>
      </c>
      <c r="W138" s="135">
        <v>-11.463385496872201</v>
      </c>
      <c r="X138" s="135">
        <v>-17.349360453907099</v>
      </c>
      <c r="Y138" s="135">
        <v>-23.429197874698801</v>
      </c>
      <c r="Z138" s="27">
        <f t="shared" si="26"/>
        <v>80.103626943005182</v>
      </c>
      <c r="AA138" s="142">
        <f t="shared" si="27"/>
        <v>86.689925158318943</v>
      </c>
      <c r="AB138" s="143">
        <f t="shared" si="28"/>
        <v>79.726668698567522</v>
      </c>
      <c r="AC138" s="147">
        <v>1900</v>
      </c>
      <c r="AD138" s="148">
        <f t="shared" si="31"/>
        <v>20.649999999999995</v>
      </c>
      <c r="AE138" s="140">
        <f t="shared" si="30"/>
        <v>3.8940000000000001</v>
      </c>
      <c r="AF138" s="149">
        <f t="shared" si="32"/>
        <v>0</v>
      </c>
      <c r="AG138" s="149">
        <v>61.279654955661897</v>
      </c>
      <c r="AH138" s="150">
        <v>68.7166422721602</v>
      </c>
      <c r="AI138" s="151">
        <v>-0.22681135329607099</v>
      </c>
      <c r="AJ138" s="151">
        <v>62.6072406953339</v>
      </c>
      <c r="AK138" s="151">
        <v>72.042294060231995</v>
      </c>
      <c r="AL138" s="151"/>
      <c r="AM138" s="151"/>
      <c r="AN138" s="150"/>
      <c r="AO138" s="150"/>
      <c r="AP138" s="150"/>
      <c r="AQ138" s="150"/>
      <c r="AR138" s="150"/>
      <c r="AS138" s="150"/>
      <c r="AT138" s="152">
        <v>0.102710413694721</v>
      </c>
      <c r="AU138" s="152">
        <v>1.14144067294838E-2</v>
      </c>
      <c r="AV138" s="152">
        <v>7.4626865671641798E-2</v>
      </c>
      <c r="AW138" s="152">
        <v>2.1212058599489301E-2</v>
      </c>
      <c r="AX138" s="150"/>
    </row>
    <row r="139" spans="1:50">
      <c r="A139">
        <v>1901</v>
      </c>
      <c r="B139" s="9"/>
      <c r="C139" s="205">
        <v>8.24</v>
      </c>
      <c r="D139" s="205">
        <f t="shared" si="29"/>
        <v>6.2635262560695759</v>
      </c>
      <c r="E139" s="144">
        <v>20.67</v>
      </c>
      <c r="F139" s="132">
        <f t="shared" si="23"/>
        <v>99.999999999999986</v>
      </c>
      <c r="G139" s="126">
        <f t="shared" si="22"/>
        <v>49.341317365269461</v>
      </c>
      <c r="H139" s="15">
        <v>63.9</v>
      </c>
      <c r="I139" s="159"/>
      <c r="J139" s="25">
        <f t="shared" si="19"/>
        <v>63.900000000000006</v>
      </c>
      <c r="K139" s="145">
        <v>4.25</v>
      </c>
      <c r="L139" s="144"/>
      <c r="M139" s="146">
        <v>4.87</v>
      </c>
      <c r="N139" s="144"/>
      <c r="O139" s="133">
        <f t="shared" si="25"/>
        <v>4.25</v>
      </c>
      <c r="P139" s="134">
        <f t="shared" si="24"/>
        <v>100</v>
      </c>
      <c r="Q139" s="129">
        <v>72.2</v>
      </c>
      <c r="R139" s="161">
        <v>70.141666666666694</v>
      </c>
      <c r="S139" s="129"/>
      <c r="T139" s="115">
        <f t="shared" si="20"/>
        <v>72.2</v>
      </c>
      <c r="U139" s="25">
        <f t="shared" si="21"/>
        <v>72.2</v>
      </c>
      <c r="V139" s="135">
        <v>-24.358670898289301</v>
      </c>
      <c r="W139" s="135">
        <v>-16.730873873651699</v>
      </c>
      <c r="X139" s="135">
        <v>-20.5447723859705</v>
      </c>
      <c r="Y139" s="135">
        <v>-22.638609122008599</v>
      </c>
      <c r="Z139" s="27">
        <f t="shared" si="26"/>
        <v>74.818652849740928</v>
      </c>
      <c r="AA139" s="142">
        <f t="shared" si="27"/>
        <v>80.970408750719628</v>
      </c>
      <c r="AB139" s="143">
        <f t="shared" si="28"/>
        <v>74.466565071624515</v>
      </c>
      <c r="AC139" s="147">
        <v>1901</v>
      </c>
      <c r="AD139" s="148">
        <f t="shared" si="31"/>
        <v>20.649999999999995</v>
      </c>
      <c r="AE139" s="140">
        <f t="shared" si="30"/>
        <v>3.8940000000000001</v>
      </c>
      <c r="AF139" s="149">
        <f t="shared" si="32"/>
        <v>0</v>
      </c>
      <c r="AG139" s="149">
        <v>62.6096531036074</v>
      </c>
      <c r="AH139" s="150">
        <v>69.358024320295399</v>
      </c>
      <c r="AI139" s="151">
        <v>-0.163827955199946</v>
      </c>
      <c r="AJ139" s="151">
        <v>64.955248114510695</v>
      </c>
      <c r="AK139" s="151">
        <v>72.823704951705906</v>
      </c>
      <c r="AL139" s="151"/>
      <c r="AM139" s="151"/>
      <c r="AN139" s="150"/>
      <c r="AO139" s="150"/>
      <c r="AP139" s="150"/>
      <c r="AQ139" s="150"/>
      <c r="AR139" s="150"/>
      <c r="AS139" s="150"/>
      <c r="AT139" s="152">
        <v>-6.5976714100905498E-2</v>
      </c>
      <c r="AU139" s="152">
        <v>1.1736408796936999E-2</v>
      </c>
      <c r="AV139" s="152">
        <v>-1.38888888888888E-2</v>
      </c>
      <c r="AW139" s="152">
        <v>2.30786670178912E-2</v>
      </c>
      <c r="AX139" s="150"/>
    </row>
    <row r="140" spans="1:50">
      <c r="A140">
        <v>1902</v>
      </c>
      <c r="B140" s="9"/>
      <c r="C140" s="205">
        <v>8.34</v>
      </c>
      <c r="D140" s="205">
        <f t="shared" si="29"/>
        <v>6.3395399242257602</v>
      </c>
      <c r="E140" s="144">
        <v>20.67</v>
      </c>
      <c r="F140" s="132">
        <f t="shared" si="23"/>
        <v>99.999999999999986</v>
      </c>
      <c r="G140" s="126">
        <f t="shared" si="22"/>
        <v>49.940119760479043</v>
      </c>
      <c r="H140" s="15">
        <v>68.2</v>
      </c>
      <c r="I140" s="159"/>
      <c r="J140" s="25">
        <f t="shared" si="19"/>
        <v>68.2</v>
      </c>
      <c r="K140" s="145">
        <v>4.24</v>
      </c>
      <c r="L140" s="144"/>
      <c r="M140" s="146">
        <v>4.87</v>
      </c>
      <c r="N140" s="144"/>
      <c r="O140" s="133">
        <f t="shared" si="25"/>
        <v>4.24</v>
      </c>
      <c r="P140" s="134">
        <f t="shared" si="24"/>
        <v>99.764705882352942</v>
      </c>
      <c r="Q140" s="129">
        <v>71.099999999999994</v>
      </c>
      <c r="R140" s="161">
        <v>69.433333333333294</v>
      </c>
      <c r="S140" s="129"/>
      <c r="T140" s="115">
        <f t="shared" si="20"/>
        <v>71.099999999999994</v>
      </c>
      <c r="U140" s="25">
        <f t="shared" si="21"/>
        <v>71.267688679245268</v>
      </c>
      <c r="V140" s="135">
        <v>-20.278592256176399</v>
      </c>
      <c r="W140" s="135">
        <v>-17.8450589632006</v>
      </c>
      <c r="X140" s="135">
        <v>-19.061825609688501</v>
      </c>
      <c r="Y140" s="135">
        <v>-21.786525017388701</v>
      </c>
      <c r="Z140" s="27">
        <f t="shared" si="26"/>
        <v>73.67875647668393</v>
      </c>
      <c r="AA140" s="142">
        <f t="shared" si="27"/>
        <v>79.736787564766828</v>
      </c>
      <c r="AB140" s="143">
        <f t="shared" si="28"/>
        <v>73.504985824616284</v>
      </c>
      <c r="AC140" s="147">
        <v>1902</v>
      </c>
      <c r="AD140" s="148">
        <f t="shared" si="31"/>
        <v>20.649999999999995</v>
      </c>
      <c r="AE140" s="140">
        <f t="shared" si="30"/>
        <v>3.884837647058824</v>
      </c>
      <c r="AF140" s="149">
        <f t="shared" si="32"/>
        <v>0</v>
      </c>
      <c r="AG140" s="149">
        <v>64.017686815293004</v>
      </c>
      <c r="AH140" s="150">
        <v>70.055582738749806</v>
      </c>
      <c r="AI140" s="151">
        <v>-0.15278111329163899</v>
      </c>
      <c r="AJ140" s="151">
        <v>66.973398406276999</v>
      </c>
      <c r="AK140" s="151">
        <v>73.106701469407398</v>
      </c>
      <c r="AL140" s="151"/>
      <c r="AM140" s="151"/>
      <c r="AN140" s="150"/>
      <c r="AO140" s="150"/>
      <c r="AP140" s="150"/>
      <c r="AQ140" s="150"/>
      <c r="AR140" s="150"/>
      <c r="AS140" s="150"/>
      <c r="AT140" s="152">
        <v>-1.5235457063712E-2</v>
      </c>
      <c r="AU140" s="152">
        <v>1.21538951661781E-2</v>
      </c>
      <c r="AV140" s="152">
        <v>6.7292644757433503E-2</v>
      </c>
      <c r="AW140" s="152">
        <v>2.3897056381389999E-2</v>
      </c>
      <c r="AX140" s="150"/>
    </row>
    <row r="141" spans="1:50">
      <c r="A141">
        <v>1903</v>
      </c>
      <c r="B141" s="9"/>
      <c r="C141" s="205">
        <v>8.5299999999999994</v>
      </c>
      <c r="D141" s="205">
        <f t="shared" si="29"/>
        <v>6.4839658937225098</v>
      </c>
      <c r="E141" s="144">
        <v>20.67</v>
      </c>
      <c r="F141" s="132">
        <f t="shared" si="23"/>
        <v>99.999999999999986</v>
      </c>
      <c r="G141" s="126">
        <f t="shared" si="22"/>
        <v>51.077844311377241</v>
      </c>
      <c r="H141" s="15">
        <v>69.099999999999994</v>
      </c>
      <c r="I141" s="159"/>
      <c r="J141" s="25">
        <f t="shared" si="19"/>
        <v>69.099999999999994</v>
      </c>
      <c r="K141" s="145">
        <v>4.25</v>
      </c>
      <c r="L141" s="144"/>
      <c r="M141" s="146">
        <v>4.8600000000000003</v>
      </c>
      <c r="N141" s="144"/>
      <c r="O141" s="133">
        <f t="shared" si="25"/>
        <v>4.25</v>
      </c>
      <c r="P141" s="134">
        <f t="shared" si="24"/>
        <v>100</v>
      </c>
      <c r="Q141" s="129">
        <v>74.099999999999994</v>
      </c>
      <c r="R141" s="161">
        <v>69.599999999999994</v>
      </c>
      <c r="S141" s="129"/>
      <c r="T141" s="115">
        <f t="shared" si="20"/>
        <v>74.099999999999994</v>
      </c>
      <c r="U141" s="25">
        <f t="shared" si="21"/>
        <v>74.099999999999994</v>
      </c>
      <c r="V141" s="135">
        <v>-19.594817190565799</v>
      </c>
      <c r="W141" s="135">
        <v>-15.215666041809699</v>
      </c>
      <c r="X141" s="135">
        <v>-17.405241616187801</v>
      </c>
      <c r="Y141" s="135">
        <v>-20.865573805876</v>
      </c>
      <c r="Z141" s="27">
        <f t="shared" si="26"/>
        <v>76.787564766839367</v>
      </c>
      <c r="AA141" s="142">
        <f t="shared" si="27"/>
        <v>82.930569948186516</v>
      </c>
      <c r="AB141" s="143">
        <f t="shared" si="28"/>
        <v>76.426211520877786</v>
      </c>
      <c r="AC141" s="147">
        <v>1903</v>
      </c>
      <c r="AD141" s="148">
        <f t="shared" si="31"/>
        <v>20.649999999999995</v>
      </c>
      <c r="AE141" s="140">
        <f t="shared" si="30"/>
        <v>3.8940000000000001</v>
      </c>
      <c r="AF141" s="149">
        <f t="shared" si="32"/>
        <v>0</v>
      </c>
      <c r="AG141" s="149">
        <v>65.461237880722706</v>
      </c>
      <c r="AH141" s="150">
        <v>70.866159951137803</v>
      </c>
      <c r="AI141" s="151">
        <v>-0.15475958399810999</v>
      </c>
      <c r="AJ141" s="151">
        <v>68.442916460824506</v>
      </c>
      <c r="AK141" s="151">
        <v>73.608578567633302</v>
      </c>
      <c r="AL141" s="151"/>
      <c r="AM141" s="151"/>
      <c r="AN141" s="150"/>
      <c r="AO141" s="150"/>
      <c r="AP141" s="150"/>
      <c r="AQ141" s="150"/>
      <c r="AR141" s="150"/>
      <c r="AS141" s="150"/>
      <c r="AT141" s="152">
        <v>4.2194092827004197E-2</v>
      </c>
      <c r="AU141" s="152">
        <v>1.3045017810465199E-2</v>
      </c>
      <c r="AV141" s="152">
        <v>1.31964809384163E-2</v>
      </c>
      <c r="AW141" s="152">
        <v>2.3859852454489301E-2</v>
      </c>
      <c r="AX141" s="150"/>
    </row>
    <row r="142" spans="1:50">
      <c r="A142">
        <v>1904</v>
      </c>
      <c r="B142" s="9"/>
      <c r="C142" s="205">
        <v>8.6300000000000008</v>
      </c>
      <c r="D142" s="205">
        <f t="shared" si="29"/>
        <v>6.5599795618786958</v>
      </c>
      <c r="E142" s="144">
        <v>20.67</v>
      </c>
      <c r="F142" s="132">
        <f t="shared" si="23"/>
        <v>99.999999999999986</v>
      </c>
      <c r="G142" s="126">
        <f t="shared" si="22"/>
        <v>51.676646706586837</v>
      </c>
      <c r="H142" s="15">
        <v>69.099999999999994</v>
      </c>
      <c r="I142" s="159"/>
      <c r="J142" s="25">
        <f t="shared" si="19"/>
        <v>69.099999999999994</v>
      </c>
      <c r="K142" s="145">
        <v>4.25</v>
      </c>
      <c r="L142" s="144"/>
      <c r="M142" s="146">
        <v>4.87</v>
      </c>
      <c r="N142" s="144"/>
      <c r="O142" s="133">
        <f t="shared" si="25"/>
        <v>4.25</v>
      </c>
      <c r="P142" s="134">
        <f t="shared" si="24"/>
        <v>100</v>
      </c>
      <c r="Q142" s="129">
        <v>72.2</v>
      </c>
      <c r="R142" s="161">
        <v>70.491666666666703</v>
      </c>
      <c r="S142" s="129"/>
      <c r="T142" s="115">
        <f t="shared" si="20"/>
        <v>72.2</v>
      </c>
      <c r="U142" s="25">
        <f t="shared" si="21"/>
        <v>72.2</v>
      </c>
      <c r="V142" s="135">
        <v>-19.807063407419701</v>
      </c>
      <c r="W142" s="135">
        <v>-17.3324012252472</v>
      </c>
      <c r="X142" s="135">
        <v>-18.5697323163335</v>
      </c>
      <c r="Y142" s="135">
        <v>-19.841136738430102</v>
      </c>
      <c r="Z142" s="27">
        <f t="shared" si="26"/>
        <v>74.818652849740928</v>
      </c>
      <c r="AA142" s="142">
        <f t="shared" si="27"/>
        <v>80.970408750719628</v>
      </c>
      <c r="AB142" s="143">
        <f t="shared" si="28"/>
        <v>74.466565071624515</v>
      </c>
      <c r="AC142" s="147">
        <v>1904</v>
      </c>
      <c r="AD142" s="148">
        <f t="shared" si="31"/>
        <v>20.649999999999995</v>
      </c>
      <c r="AE142" s="140">
        <f t="shared" si="30"/>
        <v>3.8940000000000001</v>
      </c>
      <c r="AF142" s="149">
        <f t="shared" si="32"/>
        <v>0</v>
      </c>
      <c r="AG142" s="149">
        <v>66.939611221747398</v>
      </c>
      <c r="AH142" s="150">
        <v>71.857742553686506</v>
      </c>
      <c r="AI142" s="151">
        <v>-0.150874807642497</v>
      </c>
      <c r="AJ142" s="151">
        <v>69.553894366252706</v>
      </c>
      <c r="AK142" s="151">
        <v>74.401064044211097</v>
      </c>
      <c r="AL142" s="151"/>
      <c r="AM142" s="151"/>
      <c r="AN142" s="150"/>
      <c r="AO142" s="150"/>
      <c r="AP142" s="150"/>
      <c r="AQ142" s="150"/>
      <c r="AR142" s="150"/>
      <c r="AS142" s="150"/>
      <c r="AT142" s="152">
        <v>-2.5641025641025501E-2</v>
      </c>
      <c r="AU142" s="152">
        <v>1.45140351807573E-2</v>
      </c>
      <c r="AV142" s="152">
        <v>0</v>
      </c>
      <c r="AW142" s="152">
        <v>2.35936368854529E-2</v>
      </c>
      <c r="AX142" s="150"/>
    </row>
    <row r="143" spans="1:50">
      <c r="A143">
        <v>1905</v>
      </c>
      <c r="B143" s="9"/>
      <c r="C143" s="205">
        <v>8.5299999999999994</v>
      </c>
      <c r="D143" s="205">
        <f t="shared" si="29"/>
        <v>6.4839658937225098</v>
      </c>
      <c r="E143" s="144">
        <v>20.67</v>
      </c>
      <c r="F143" s="132">
        <f t="shared" si="23"/>
        <v>99.999999999999986</v>
      </c>
      <c r="G143" s="126">
        <f t="shared" si="22"/>
        <v>51.077844311377241</v>
      </c>
      <c r="H143" s="15">
        <v>69.5</v>
      </c>
      <c r="I143" s="159"/>
      <c r="J143" s="25">
        <f t="shared" si="19"/>
        <v>69.500000000000014</v>
      </c>
      <c r="K143" s="145">
        <v>4.24</v>
      </c>
      <c r="L143" s="144"/>
      <c r="M143" s="146">
        <v>4.87</v>
      </c>
      <c r="N143" s="144"/>
      <c r="O143" s="133">
        <f t="shared" si="25"/>
        <v>4.24</v>
      </c>
      <c r="P143" s="134">
        <f t="shared" si="24"/>
        <v>99.764705882352942</v>
      </c>
      <c r="Q143" s="129">
        <v>74.2</v>
      </c>
      <c r="R143" s="161">
        <v>72.466666666666697</v>
      </c>
      <c r="S143" s="129"/>
      <c r="T143" s="115">
        <f t="shared" si="20"/>
        <v>74.2</v>
      </c>
      <c r="U143" s="25">
        <f t="shared" si="21"/>
        <v>74.375</v>
      </c>
      <c r="V143" s="135">
        <v>-19.615048612700502</v>
      </c>
      <c r="W143" s="135">
        <v>-15.384951468758199</v>
      </c>
      <c r="X143" s="135">
        <v>-17.5000000407294</v>
      </c>
      <c r="Y143" s="135">
        <v>-18.643991744114</v>
      </c>
      <c r="Z143" s="27">
        <f t="shared" si="26"/>
        <v>76.891191709844563</v>
      </c>
      <c r="AA143" s="142">
        <f t="shared" si="27"/>
        <v>83.213356361542893</v>
      </c>
      <c r="AB143" s="143">
        <f t="shared" si="28"/>
        <v>76.709844559585505</v>
      </c>
      <c r="AC143" s="147">
        <v>1905</v>
      </c>
      <c r="AD143" s="148">
        <f t="shared" si="31"/>
        <v>20.649999999999995</v>
      </c>
      <c r="AE143" s="140">
        <f t="shared" si="30"/>
        <v>3.884837647058824</v>
      </c>
      <c r="AF143" s="149">
        <f t="shared" si="32"/>
        <v>0</v>
      </c>
      <c r="AG143" s="149">
        <v>68.488499381410804</v>
      </c>
      <c r="AH143" s="150">
        <v>73.132155543111494</v>
      </c>
      <c r="AI143" s="151">
        <v>-0.1242937587343</v>
      </c>
      <c r="AJ143" s="151">
        <v>70.715452057052801</v>
      </c>
      <c r="AK143" s="151">
        <v>75.769692841090503</v>
      </c>
      <c r="AL143" s="151"/>
      <c r="AM143" s="151"/>
      <c r="AN143" s="150"/>
      <c r="AO143" s="150"/>
      <c r="AP143" s="150"/>
      <c r="AQ143" s="150"/>
      <c r="AR143" s="150"/>
      <c r="AS143" s="150"/>
      <c r="AT143" s="152">
        <v>2.7700831024930699E-2</v>
      </c>
      <c r="AU143" s="152">
        <v>1.6956696478178799E-2</v>
      </c>
      <c r="AV143" s="152">
        <v>5.7887120115774999E-3</v>
      </c>
      <c r="AW143" s="152">
        <v>2.3618357607383799E-2</v>
      </c>
      <c r="AX143" s="150"/>
    </row>
    <row r="144" spans="1:50">
      <c r="A144">
        <v>1906</v>
      </c>
      <c r="B144" s="9"/>
      <c r="C144" s="205">
        <v>8.7200000000000006</v>
      </c>
      <c r="D144" s="205">
        <f t="shared" si="29"/>
        <v>6.6283918632192611</v>
      </c>
      <c r="E144" s="144">
        <v>20.67</v>
      </c>
      <c r="F144" s="132">
        <f t="shared" si="23"/>
        <v>99.999999999999986</v>
      </c>
      <c r="G144" s="126">
        <f t="shared" si="22"/>
        <v>52.215568862275461</v>
      </c>
      <c r="H144" s="15">
        <v>71.5</v>
      </c>
      <c r="I144" s="159"/>
      <c r="J144" s="25">
        <f t="shared" si="19"/>
        <v>71.500000000000014</v>
      </c>
      <c r="K144" s="145">
        <v>4.25</v>
      </c>
      <c r="L144" s="144"/>
      <c r="M144" s="146">
        <v>4.8499999999999996</v>
      </c>
      <c r="N144" s="144"/>
      <c r="O144" s="133">
        <f t="shared" si="25"/>
        <v>4.25</v>
      </c>
      <c r="P144" s="134">
        <f t="shared" si="24"/>
        <v>100</v>
      </c>
      <c r="Q144" s="129">
        <v>79.400000000000006</v>
      </c>
      <c r="R144" s="161">
        <v>76.974999999999994</v>
      </c>
      <c r="S144" s="129"/>
      <c r="T144" s="115">
        <f t="shared" si="20"/>
        <v>79.400000000000006</v>
      </c>
      <c r="U144" s="25">
        <f t="shared" si="21"/>
        <v>79.400000000000006</v>
      </c>
      <c r="V144" s="135">
        <v>-17.818490512370701</v>
      </c>
      <c r="W144" s="135">
        <v>-10.612984567064499</v>
      </c>
      <c r="X144" s="135">
        <v>-14.215737539717599</v>
      </c>
      <c r="Y144" s="135">
        <v>-17.1922027077694</v>
      </c>
      <c r="Z144" s="27">
        <f t="shared" si="26"/>
        <v>82.279792746113998</v>
      </c>
      <c r="AA144" s="142">
        <f t="shared" si="27"/>
        <v>88.679332181922859</v>
      </c>
      <c r="AB144" s="143">
        <f t="shared" si="28"/>
        <v>81.892593721426422</v>
      </c>
      <c r="AC144" s="147">
        <v>1906</v>
      </c>
      <c r="AD144" s="148">
        <f t="shared" si="31"/>
        <v>20.649999999999995</v>
      </c>
      <c r="AE144" s="140">
        <f t="shared" si="30"/>
        <v>3.8940000000000001</v>
      </c>
      <c r="AF144" s="149">
        <f t="shared" si="32"/>
        <v>0</v>
      </c>
      <c r="AG144" s="149">
        <v>70.165198790539094</v>
      </c>
      <c r="AH144" s="150">
        <v>74.795346490591399</v>
      </c>
      <c r="AI144" s="151">
        <v>-7.4196752673409305E-2</v>
      </c>
      <c r="AJ144" s="151">
        <v>72.185411345631707</v>
      </c>
      <c r="AK144" s="151">
        <v>77.289645218817398</v>
      </c>
      <c r="AL144" s="151"/>
      <c r="AM144" s="151"/>
      <c r="AN144" s="150"/>
      <c r="AO144" s="150"/>
      <c r="AP144" s="150"/>
      <c r="AQ144" s="150"/>
      <c r="AR144" s="150"/>
      <c r="AS144" s="150"/>
      <c r="AT144" s="152">
        <v>7.0080862533692695E-2</v>
      </c>
      <c r="AU144" s="152">
        <v>2.0367200295636399E-2</v>
      </c>
      <c r="AV144" s="152">
        <v>2.8776978417266098E-2</v>
      </c>
      <c r="AW144" s="152">
        <v>2.42180261845307E-2</v>
      </c>
      <c r="AX144" s="150"/>
    </row>
    <row r="145" spans="1:50">
      <c r="A145">
        <v>1907</v>
      </c>
      <c r="B145" s="9"/>
      <c r="C145" s="205">
        <v>9.11</v>
      </c>
      <c r="D145" s="205">
        <f t="shared" si="29"/>
        <v>6.9248451690283783</v>
      </c>
      <c r="E145" s="144">
        <v>20.67</v>
      </c>
      <c r="F145" s="132">
        <f t="shared" si="23"/>
        <v>99.999999999999986</v>
      </c>
      <c r="G145" s="126">
        <f t="shared" si="22"/>
        <v>54.550898203592816</v>
      </c>
      <c r="H145" s="15">
        <v>75.3</v>
      </c>
      <c r="I145" s="159"/>
      <c r="J145" s="25">
        <f t="shared" si="19"/>
        <v>75.300000000000011</v>
      </c>
      <c r="K145" s="145">
        <v>4.25</v>
      </c>
      <c r="L145" s="144"/>
      <c r="M145" s="146">
        <v>4.8600000000000003</v>
      </c>
      <c r="N145" s="144"/>
      <c r="O145" s="133">
        <f t="shared" si="25"/>
        <v>4.25</v>
      </c>
      <c r="P145" s="134">
        <f t="shared" si="24"/>
        <v>100</v>
      </c>
      <c r="Q145" s="129">
        <v>82.5</v>
      </c>
      <c r="R145" s="161">
        <v>79.758333333333297</v>
      </c>
      <c r="S145" s="129"/>
      <c r="T145" s="115">
        <f t="shared" si="20"/>
        <v>82.5</v>
      </c>
      <c r="U145" s="25">
        <f t="shared" si="21"/>
        <v>82.5</v>
      </c>
      <c r="V145" s="135">
        <v>-14.217106812392499</v>
      </c>
      <c r="W145" s="135">
        <v>-7.7761491543655303</v>
      </c>
      <c r="X145" s="135">
        <v>-10.996627983379</v>
      </c>
      <c r="Y145" s="135">
        <v>-15.392393597204499</v>
      </c>
      <c r="Z145" s="27">
        <f t="shared" si="26"/>
        <v>85.492227979274617</v>
      </c>
      <c r="AA145" s="142">
        <f t="shared" si="27"/>
        <v>92.331606217616596</v>
      </c>
      <c r="AB145" s="143">
        <f t="shared" si="28"/>
        <v>85.089911612313344</v>
      </c>
      <c r="AC145" s="147">
        <v>1907</v>
      </c>
      <c r="AD145" s="148">
        <f t="shared" si="31"/>
        <v>20.649999999999995</v>
      </c>
      <c r="AE145" s="140">
        <f t="shared" si="30"/>
        <v>3.8940000000000001</v>
      </c>
      <c r="AF145" s="149">
        <f t="shared" si="32"/>
        <v>0</v>
      </c>
      <c r="AG145" s="149">
        <v>72.037120886144393</v>
      </c>
      <c r="AH145" s="150">
        <v>76.965441411873996</v>
      </c>
      <c r="AI145" s="151">
        <v>-0.108163586378087</v>
      </c>
      <c r="AJ145" s="151">
        <v>73.816443358711993</v>
      </c>
      <c r="AK145" s="151">
        <v>78.062870490907798</v>
      </c>
      <c r="AL145" s="151"/>
      <c r="AM145" s="151"/>
      <c r="AN145" s="150"/>
      <c r="AO145" s="150"/>
      <c r="AP145" s="150"/>
      <c r="AQ145" s="150"/>
      <c r="AR145" s="150"/>
      <c r="AS145" s="150"/>
      <c r="AT145" s="152">
        <v>3.9042821158690101E-2</v>
      </c>
      <c r="AU145" s="152">
        <v>2.4847186571504198E-2</v>
      </c>
      <c r="AV145" s="152">
        <v>5.31468531468531E-2</v>
      </c>
      <c r="AW145" s="152">
        <v>2.5498357725183999E-2</v>
      </c>
      <c r="AX145" s="150"/>
    </row>
    <row r="146" spans="1:50">
      <c r="A146">
        <v>1908</v>
      </c>
      <c r="B146" s="9"/>
      <c r="C146" s="205">
        <v>8.92</v>
      </c>
      <c r="D146" s="205">
        <f t="shared" si="29"/>
        <v>6.7804191995316287</v>
      </c>
      <c r="E146" s="144">
        <v>20.67</v>
      </c>
      <c r="F146" s="132">
        <f t="shared" si="23"/>
        <v>99.999999999999986</v>
      </c>
      <c r="G146" s="126">
        <f t="shared" si="22"/>
        <v>53.41317365269461</v>
      </c>
      <c r="H146" s="15">
        <v>72.900000000000006</v>
      </c>
      <c r="I146" s="159"/>
      <c r="J146" s="25">
        <f t="shared" ref="J146:J209" si="33">H146*100/F146</f>
        <v>72.90000000000002</v>
      </c>
      <c r="K146" s="145">
        <v>4.25</v>
      </c>
      <c r="L146" s="144"/>
      <c r="M146" s="146">
        <v>4.87</v>
      </c>
      <c r="N146" s="144"/>
      <c r="O146" s="133">
        <f t="shared" si="25"/>
        <v>4.25</v>
      </c>
      <c r="P146" s="134">
        <f t="shared" si="24"/>
        <v>100</v>
      </c>
      <c r="Q146" s="129">
        <v>75.3</v>
      </c>
      <c r="R146" s="161">
        <v>73.283333333333303</v>
      </c>
      <c r="S146" s="129"/>
      <c r="T146" s="115">
        <f t="shared" ref="T146:T176" si="34">Q146</f>
        <v>75.3</v>
      </c>
      <c r="U146" s="25">
        <f t="shared" ref="U146:U209" si="35">T146*100/P146</f>
        <v>75.3</v>
      </c>
      <c r="V146" s="135">
        <v>-16.810615218728401</v>
      </c>
      <c r="W146" s="135">
        <v>-15.254074704337</v>
      </c>
      <c r="X146" s="135">
        <v>-16.032344961532701</v>
      </c>
      <c r="Y146" s="135">
        <v>-13.1214237285468</v>
      </c>
      <c r="Z146" s="27">
        <f t="shared" si="26"/>
        <v>78.031088082901547</v>
      </c>
      <c r="AA146" s="142">
        <f t="shared" si="27"/>
        <v>84.446977547495678</v>
      </c>
      <c r="AB146" s="143">
        <f t="shared" si="28"/>
        <v>77.663882962511437</v>
      </c>
      <c r="AC146" s="147">
        <v>1908</v>
      </c>
      <c r="AD146" s="148">
        <f t="shared" si="31"/>
        <v>20.649999999999995</v>
      </c>
      <c r="AE146" s="140">
        <f t="shared" si="30"/>
        <v>3.8940000000000001</v>
      </c>
      <c r="AF146" s="149">
        <f t="shared" si="32"/>
        <v>0</v>
      </c>
      <c r="AG146" s="149">
        <v>74.185025117333694</v>
      </c>
      <c r="AH146" s="150">
        <v>79.807412857800898</v>
      </c>
      <c r="AI146" s="151">
        <v>-3.8163247222302799E-2</v>
      </c>
      <c r="AJ146" s="151">
        <v>75.232748774472498</v>
      </c>
      <c r="AK146" s="151">
        <v>77.9214362312715</v>
      </c>
      <c r="AL146" s="151"/>
      <c r="AM146" s="151"/>
      <c r="AN146" s="150"/>
      <c r="AO146" s="150"/>
      <c r="AP146" s="150"/>
      <c r="AQ146" s="150"/>
      <c r="AR146" s="150"/>
      <c r="AS146" s="150"/>
      <c r="AT146" s="152">
        <v>-8.7272727272727293E-2</v>
      </c>
      <c r="AU146" s="152">
        <v>3.0995431866536999E-2</v>
      </c>
      <c r="AV146" s="152">
        <v>-3.1872509960159202E-2</v>
      </c>
      <c r="AW146" s="152">
        <v>2.76106568599618E-2</v>
      </c>
      <c r="AX146" s="150"/>
    </row>
    <row r="147" spans="1:50">
      <c r="A147">
        <v>1909</v>
      </c>
      <c r="B147" s="9"/>
      <c r="C147" s="205">
        <v>8.82</v>
      </c>
      <c r="D147" s="205">
        <f t="shared" si="29"/>
        <v>6.7044055313754445</v>
      </c>
      <c r="E147" s="144">
        <v>20.67</v>
      </c>
      <c r="F147" s="132">
        <f t="shared" si="23"/>
        <v>99.999999999999986</v>
      </c>
      <c r="G147" s="126">
        <f t="shared" ref="G147:G210" si="36">C147*100/$C$168</f>
        <v>52.814371257485035</v>
      </c>
      <c r="H147" s="15">
        <v>78.3</v>
      </c>
      <c r="I147" s="159"/>
      <c r="J147" s="25">
        <f t="shared" si="33"/>
        <v>78.300000000000011</v>
      </c>
      <c r="K147" s="145">
        <v>4.24</v>
      </c>
      <c r="L147" s="144"/>
      <c r="M147" s="146">
        <v>4.87</v>
      </c>
      <c r="N147" s="144"/>
      <c r="O147" s="133">
        <f t="shared" si="25"/>
        <v>4.24</v>
      </c>
      <c r="P147" s="134">
        <f t="shared" si="24"/>
        <v>99.764705882352942</v>
      </c>
      <c r="Q147" s="129">
        <v>76.3</v>
      </c>
      <c r="R147" s="161">
        <v>74.408333333333303</v>
      </c>
      <c r="S147" s="129"/>
      <c r="T147" s="115">
        <f t="shared" si="34"/>
        <v>76.3</v>
      </c>
      <c r="U147" s="25">
        <f t="shared" si="35"/>
        <v>76.47995283018868</v>
      </c>
      <c r="V147" s="135">
        <v>-11.598733437340799</v>
      </c>
      <c r="W147" s="135">
        <v>-14.3663715301319</v>
      </c>
      <c r="X147" s="135">
        <v>-12.9825524837364</v>
      </c>
      <c r="Y147" s="135">
        <v>-10.212194761785501</v>
      </c>
      <c r="Z147" s="27">
        <f t="shared" si="26"/>
        <v>79.067357512953365</v>
      </c>
      <c r="AA147" s="142">
        <f t="shared" si="27"/>
        <v>85.568451352907303</v>
      </c>
      <c r="AB147" s="143">
        <f t="shared" si="28"/>
        <v>78.880877896177537</v>
      </c>
      <c r="AC147" s="147">
        <v>1909</v>
      </c>
      <c r="AD147" s="148">
        <f t="shared" si="31"/>
        <v>20.649999999999995</v>
      </c>
      <c r="AE147" s="140">
        <f t="shared" si="30"/>
        <v>3.884837647058824</v>
      </c>
      <c r="AF147" s="149">
        <f t="shared" si="32"/>
        <v>0</v>
      </c>
      <c r="AG147" s="149">
        <v>76.722299724352197</v>
      </c>
      <c r="AH147" s="150">
        <v>83.542378965095097</v>
      </c>
      <c r="AI147" s="151">
        <v>-6.7111699431143801E-4</v>
      </c>
      <c r="AJ147" s="151">
        <v>76.553047151521099</v>
      </c>
      <c r="AK147" s="151">
        <v>78.203119850182702</v>
      </c>
      <c r="AL147" s="151"/>
      <c r="AM147" s="151"/>
      <c r="AN147" s="150"/>
      <c r="AO147" s="150"/>
      <c r="AP147" s="150"/>
      <c r="AQ147" s="150"/>
      <c r="AR147" s="150"/>
      <c r="AS147" s="150"/>
      <c r="AT147" s="152">
        <v>1.32802124833997E-2</v>
      </c>
      <c r="AU147" s="152">
        <v>3.9552669087361297E-2</v>
      </c>
      <c r="AV147" s="152">
        <v>7.4074074074073903E-2</v>
      </c>
      <c r="AW147" s="152">
        <v>3.0982713173698401E-2</v>
      </c>
      <c r="AX147" s="150"/>
    </row>
    <row r="148" spans="1:50">
      <c r="A148">
        <v>1910</v>
      </c>
      <c r="B148" s="9"/>
      <c r="C148" s="205">
        <v>9.2100000000000009</v>
      </c>
      <c r="D148" s="205">
        <f t="shared" si="29"/>
        <v>7.0008588371845635</v>
      </c>
      <c r="E148" s="144">
        <v>20.67</v>
      </c>
      <c r="F148" s="132">
        <f t="shared" si="23"/>
        <v>99.999999999999986</v>
      </c>
      <c r="G148" s="126">
        <f t="shared" si="36"/>
        <v>55.149700598802404</v>
      </c>
      <c r="H148" s="15">
        <v>81.400000000000006</v>
      </c>
      <c r="I148" s="159"/>
      <c r="J148" s="25">
        <f t="shared" si="33"/>
        <v>81.40000000000002</v>
      </c>
      <c r="K148" s="145">
        <v>4.24</v>
      </c>
      <c r="L148" s="144"/>
      <c r="M148" s="146">
        <v>4.8600000000000003</v>
      </c>
      <c r="N148" s="144"/>
      <c r="O148" s="133">
        <f t="shared" si="25"/>
        <v>4.24</v>
      </c>
      <c r="P148" s="134">
        <f t="shared" si="24"/>
        <v>99.764705882352942</v>
      </c>
      <c r="Q148" s="129">
        <v>80.400000000000006</v>
      </c>
      <c r="R148" s="161">
        <v>77.891666666666694</v>
      </c>
      <c r="S148" s="129"/>
      <c r="T148" s="115">
        <f t="shared" si="34"/>
        <v>80.400000000000006</v>
      </c>
      <c r="U148" s="25">
        <f t="shared" si="35"/>
        <v>80.589622641509436</v>
      </c>
      <c r="V148" s="135">
        <v>-8.68117917419187</v>
      </c>
      <c r="W148" s="135">
        <v>-10.5626307843803</v>
      </c>
      <c r="X148" s="135">
        <v>-9.6219049792861</v>
      </c>
      <c r="Y148" s="135">
        <v>-6.5267175692397403</v>
      </c>
      <c r="Z148" s="27">
        <f t="shared" si="26"/>
        <v>83.316062176165815</v>
      </c>
      <c r="AA148" s="142">
        <f t="shared" si="27"/>
        <v>89.981347150259083</v>
      </c>
      <c r="AB148" s="143">
        <f t="shared" si="28"/>
        <v>83.119562029523919</v>
      </c>
      <c r="AC148" s="147">
        <v>1910</v>
      </c>
      <c r="AD148" s="148">
        <f t="shared" si="31"/>
        <v>20.649999999999995</v>
      </c>
      <c r="AE148" s="140">
        <f t="shared" si="30"/>
        <v>3.884837647058824</v>
      </c>
      <c r="AF148" s="149">
        <f t="shared" si="32"/>
        <v>0</v>
      </c>
      <c r="AG148" s="149">
        <v>79.749482696271897</v>
      </c>
      <c r="AH148" s="150">
        <v>88.347183741901603</v>
      </c>
      <c r="AI148" s="151">
        <v>-8.2431914018321797E-2</v>
      </c>
      <c r="AJ148" s="151">
        <v>77.118475123641602</v>
      </c>
      <c r="AK148" s="151">
        <v>79.3985533474915</v>
      </c>
      <c r="AL148" s="151"/>
      <c r="AM148" s="151"/>
      <c r="AN148" s="150"/>
      <c r="AO148" s="150"/>
      <c r="AP148" s="150"/>
      <c r="AQ148" s="150"/>
      <c r="AR148" s="150"/>
      <c r="AS148" s="150"/>
      <c r="AT148" s="152">
        <v>5.3735255570117997E-2</v>
      </c>
      <c r="AU148" s="152">
        <v>5.0076949549210999E-2</v>
      </c>
      <c r="AV148" s="152">
        <v>3.9591315453384499E-2</v>
      </c>
      <c r="AW148" s="152">
        <v>3.5447484583027399E-2</v>
      </c>
      <c r="AX148" s="150"/>
    </row>
    <row r="149" spans="1:50">
      <c r="A149">
        <v>1911</v>
      </c>
      <c r="B149" s="9"/>
      <c r="C149" s="205">
        <v>9.2100000000000009</v>
      </c>
      <c r="D149" s="205">
        <f t="shared" si="29"/>
        <v>7.0008588371845635</v>
      </c>
      <c r="E149" s="144">
        <v>20.67</v>
      </c>
      <c r="F149" s="132">
        <f t="shared" si="23"/>
        <v>99.999999999999986</v>
      </c>
      <c r="G149" s="126">
        <f t="shared" si="36"/>
        <v>55.149700598802404</v>
      </c>
      <c r="H149" s="15">
        <v>75.099999999999994</v>
      </c>
      <c r="I149" s="159"/>
      <c r="J149" s="25">
        <f t="shared" si="33"/>
        <v>75.100000000000009</v>
      </c>
      <c r="K149" s="145">
        <v>4.24</v>
      </c>
      <c r="L149" s="144"/>
      <c r="M149" s="146">
        <v>4.8600000000000003</v>
      </c>
      <c r="N149" s="144"/>
      <c r="O149" s="133">
        <f t="shared" si="25"/>
        <v>4.24</v>
      </c>
      <c r="P149" s="134">
        <f t="shared" si="24"/>
        <v>99.764705882352942</v>
      </c>
      <c r="Q149" s="129">
        <v>82.5</v>
      </c>
      <c r="R149" s="161">
        <v>79.766666666666694</v>
      </c>
      <c r="S149" s="129"/>
      <c r="T149" s="115">
        <f t="shared" si="34"/>
        <v>82.5</v>
      </c>
      <c r="U149" s="25">
        <f t="shared" si="35"/>
        <v>82.694575471698116</v>
      </c>
      <c r="V149" s="135">
        <v>-15.157670135244199</v>
      </c>
      <c r="W149" s="135">
        <v>-8.7824244591891691</v>
      </c>
      <c r="X149" s="135">
        <v>-11.9700472972167</v>
      </c>
      <c r="Y149" s="135">
        <v>-1.9547066004481699</v>
      </c>
      <c r="Z149" s="27">
        <f t="shared" si="26"/>
        <v>85.492227979274617</v>
      </c>
      <c r="AA149" s="142">
        <f t="shared" si="27"/>
        <v>92.331606217616596</v>
      </c>
      <c r="AB149" s="143">
        <f t="shared" si="28"/>
        <v>85.290595366115966</v>
      </c>
      <c r="AC149" s="147">
        <v>1911</v>
      </c>
      <c r="AD149" s="148">
        <f t="shared" si="31"/>
        <v>20.649999999999995</v>
      </c>
      <c r="AE149" s="140">
        <f t="shared" si="30"/>
        <v>3.884837647058824</v>
      </c>
      <c r="AF149" s="149">
        <f t="shared" si="32"/>
        <v>0</v>
      </c>
      <c r="AG149" s="149">
        <v>83.382889024921496</v>
      </c>
      <c r="AH149" s="150">
        <v>94.327047406714399</v>
      </c>
      <c r="AI149" s="151">
        <v>-2.0296091946459201E-2</v>
      </c>
      <c r="AJ149" s="151">
        <v>76.852486940777396</v>
      </c>
      <c r="AK149" s="151">
        <v>81.390662106320306</v>
      </c>
      <c r="AL149" s="151"/>
      <c r="AM149" s="151"/>
      <c r="AN149" s="150"/>
      <c r="AO149" s="150"/>
      <c r="AP149" s="150"/>
      <c r="AQ149" s="150"/>
      <c r="AR149" s="150"/>
      <c r="AS149" s="150"/>
      <c r="AT149" s="152">
        <v>2.6119402985074501E-2</v>
      </c>
      <c r="AU149" s="152">
        <v>6.18636000012803E-2</v>
      </c>
      <c r="AV149" s="152">
        <v>-7.7395577395577494E-2</v>
      </c>
      <c r="AW149" s="152">
        <v>4.1268842613585703E-2</v>
      </c>
      <c r="AX149" s="150"/>
    </row>
    <row r="150" spans="1:50">
      <c r="A150">
        <v>1912</v>
      </c>
      <c r="B150" s="9"/>
      <c r="C150" s="205">
        <v>9.4</v>
      </c>
      <c r="D150" s="205">
        <f t="shared" si="29"/>
        <v>7.1452848066813131</v>
      </c>
      <c r="E150" s="144">
        <v>20.67</v>
      </c>
      <c r="F150" s="132">
        <f t="shared" si="23"/>
        <v>99.999999999999986</v>
      </c>
      <c r="G150" s="126">
        <f t="shared" si="36"/>
        <v>56.287425149700603</v>
      </c>
      <c r="H150" s="15">
        <v>80</v>
      </c>
      <c r="I150" s="159"/>
      <c r="J150" s="25">
        <f t="shared" si="33"/>
        <v>80.000000000000014</v>
      </c>
      <c r="K150" s="145">
        <v>4.24</v>
      </c>
      <c r="L150" s="144"/>
      <c r="M150" s="146">
        <v>4.87</v>
      </c>
      <c r="N150" s="144"/>
      <c r="O150" s="133">
        <f t="shared" si="25"/>
        <v>4.24</v>
      </c>
      <c r="P150" s="134">
        <f t="shared" si="24"/>
        <v>99.764705882352942</v>
      </c>
      <c r="Q150" s="129">
        <v>87.6</v>
      </c>
      <c r="R150" s="161">
        <v>85.125</v>
      </c>
      <c r="S150" s="129"/>
      <c r="T150" s="115">
        <f t="shared" si="34"/>
        <v>87.6</v>
      </c>
      <c r="U150" s="25">
        <f t="shared" si="35"/>
        <v>87.806603773584911</v>
      </c>
      <c r="V150" s="135">
        <v>-10.427924026460101</v>
      </c>
      <c r="W150" s="135">
        <v>-3.9953053861424102</v>
      </c>
      <c r="X150" s="135">
        <v>-7.2116147063012397</v>
      </c>
      <c r="Y150" s="135">
        <v>3.5831718209501302</v>
      </c>
      <c r="Z150" s="27">
        <f t="shared" si="26"/>
        <v>90.777202072538856</v>
      </c>
      <c r="AA150" s="142">
        <f t="shared" si="27"/>
        <v>98.241105354058718</v>
      </c>
      <c r="AB150" s="143">
        <f t="shared" si="28"/>
        <v>90.56310489783948</v>
      </c>
      <c r="AC150" s="147">
        <v>1912</v>
      </c>
      <c r="AD150" s="148">
        <f t="shared" si="31"/>
        <v>20.649999999999995</v>
      </c>
      <c r="AE150" s="140">
        <f t="shared" si="30"/>
        <v>3.884837647058824</v>
      </c>
      <c r="AF150" s="149">
        <f t="shared" si="32"/>
        <v>0</v>
      </c>
      <c r="AG150" s="149">
        <v>87.755338875166601</v>
      </c>
      <c r="AH150" s="150">
        <v>101.50851834060801</v>
      </c>
      <c r="AI150" s="151">
        <v>-1.2512204267162401E-2</v>
      </c>
      <c r="AJ150" s="151">
        <v>77.105711811657997</v>
      </c>
      <c r="AK150" s="151">
        <v>84.422853727294594</v>
      </c>
      <c r="AL150" s="151"/>
      <c r="AM150" s="151"/>
      <c r="AN150" s="150"/>
      <c r="AO150" s="150"/>
      <c r="AP150" s="150"/>
      <c r="AQ150" s="150"/>
      <c r="AR150" s="150"/>
      <c r="AS150" s="150"/>
      <c r="AT150" s="152">
        <v>6.1818181818181703E-2</v>
      </c>
      <c r="AU150" s="152">
        <v>7.4244530252972604E-2</v>
      </c>
      <c r="AV150" s="152">
        <v>6.5246338215712393E-2</v>
      </c>
      <c r="AW150" s="152">
        <v>4.8752097099714099E-2</v>
      </c>
      <c r="AX150" s="150"/>
    </row>
    <row r="151" spans="1:50">
      <c r="A151">
        <v>1913</v>
      </c>
      <c r="B151" s="9"/>
      <c r="C151" s="205">
        <v>9.6</v>
      </c>
      <c r="D151" s="205">
        <f t="shared" si="29"/>
        <v>7.2973121429936807</v>
      </c>
      <c r="E151" s="144">
        <v>20.67</v>
      </c>
      <c r="F151" s="132">
        <f t="shared" si="23"/>
        <v>99.999999999999986</v>
      </c>
      <c r="G151" s="126">
        <f t="shared" si="36"/>
        <v>57.485029940119766</v>
      </c>
      <c r="H151" s="15">
        <v>80.7</v>
      </c>
      <c r="I151" s="159"/>
      <c r="J151" s="25">
        <f t="shared" si="33"/>
        <v>80.700000000000017</v>
      </c>
      <c r="K151" s="145">
        <v>4.24</v>
      </c>
      <c r="L151" s="144"/>
      <c r="M151" s="146">
        <v>4.87</v>
      </c>
      <c r="N151" s="144"/>
      <c r="O151" s="133">
        <f t="shared" si="25"/>
        <v>4.24</v>
      </c>
      <c r="P151" s="134">
        <f t="shared" si="24"/>
        <v>99.764705882352942</v>
      </c>
      <c r="Q151" s="129">
        <v>87.6</v>
      </c>
      <c r="R151" s="161">
        <v>85.1666666666667</v>
      </c>
      <c r="S151" s="129"/>
      <c r="T151" s="115">
        <f t="shared" si="34"/>
        <v>87.6</v>
      </c>
      <c r="U151" s="25">
        <f t="shared" si="35"/>
        <v>87.806603773584911</v>
      </c>
      <c r="V151" s="135">
        <v>-9.8916585538019195</v>
      </c>
      <c r="W151" s="135">
        <v>-4.3408072363010897</v>
      </c>
      <c r="X151" s="135">
        <v>-7.1162328950514997</v>
      </c>
      <c r="Y151" s="135">
        <v>10.066097964348399</v>
      </c>
      <c r="Z151" s="27">
        <f t="shared" si="26"/>
        <v>90.777202072538856</v>
      </c>
      <c r="AA151" s="142">
        <f t="shared" si="27"/>
        <v>98.241105354058718</v>
      </c>
      <c r="AB151" s="143">
        <f t="shared" si="28"/>
        <v>90.56310489783948</v>
      </c>
      <c r="AC151" s="147">
        <v>1913</v>
      </c>
      <c r="AD151" s="148">
        <f t="shared" si="31"/>
        <v>20.649999999999995</v>
      </c>
      <c r="AE151" s="140">
        <f t="shared" si="30"/>
        <v>3.884837647058824</v>
      </c>
      <c r="AF151" s="149">
        <f t="shared" si="32"/>
        <v>0</v>
      </c>
      <c r="AG151" s="149">
        <v>92.916823521623897</v>
      </c>
      <c r="AH151" s="150">
        <v>109.800674450591</v>
      </c>
      <c r="AI151" s="151">
        <v>-3.8387104177699999E-2</v>
      </c>
      <c r="AJ151" s="151">
        <v>78.644616631420504</v>
      </c>
      <c r="AK151" s="151">
        <v>89.134981775599599</v>
      </c>
      <c r="AL151" s="151"/>
      <c r="AM151" s="151"/>
      <c r="AN151" s="150"/>
      <c r="AO151" s="150"/>
      <c r="AP151" s="150"/>
      <c r="AQ151" s="150"/>
      <c r="AR151" s="150"/>
      <c r="AS151" s="150"/>
      <c r="AT151" s="152">
        <v>0</v>
      </c>
      <c r="AU151" s="152">
        <v>8.6194208143529197E-2</v>
      </c>
      <c r="AV151" s="152">
        <v>8.7500000000000303E-3</v>
      </c>
      <c r="AW151" s="152">
        <v>5.70159136756615E-2</v>
      </c>
      <c r="AX151" s="150"/>
    </row>
    <row r="152" spans="1:50">
      <c r="A152">
        <v>1914</v>
      </c>
      <c r="B152" s="9"/>
      <c r="C152" s="205">
        <v>9.69</v>
      </c>
      <c r="D152" s="205">
        <f t="shared" si="29"/>
        <v>7.3657244443342469</v>
      </c>
      <c r="E152" s="144">
        <v>20.67</v>
      </c>
      <c r="F152" s="132">
        <f t="shared" ref="F152:F215" si="37">E152*100/$E$168</f>
        <v>99.999999999999986</v>
      </c>
      <c r="G152" s="126">
        <f t="shared" si="36"/>
        <v>58.023952095808383</v>
      </c>
      <c r="H152" s="15">
        <v>78.7</v>
      </c>
      <c r="I152" s="159"/>
      <c r="J152" s="25">
        <f t="shared" si="33"/>
        <v>78.700000000000017</v>
      </c>
      <c r="K152" s="145">
        <v>4.24</v>
      </c>
      <c r="L152" s="144"/>
      <c r="M152" s="146">
        <v>4.93</v>
      </c>
      <c r="N152" s="144"/>
      <c r="O152" s="133">
        <f t="shared" si="25"/>
        <v>4.24</v>
      </c>
      <c r="P152" s="134">
        <f t="shared" ref="P152:P215" si="38">O152*100/$O$168</f>
        <v>99.764705882352942</v>
      </c>
      <c r="Q152" s="129">
        <v>87.6</v>
      </c>
      <c r="R152" s="161">
        <v>85.474999999999994</v>
      </c>
      <c r="S152" s="129"/>
      <c r="T152" s="115">
        <f t="shared" si="34"/>
        <v>87.6</v>
      </c>
      <c r="U152" s="25">
        <f t="shared" si="35"/>
        <v>87.806603773584911</v>
      </c>
      <c r="V152" s="135">
        <v>-12.048591423232001</v>
      </c>
      <c r="W152" s="135">
        <v>-4.6984445202028304</v>
      </c>
      <c r="X152" s="135">
        <v>-8.3735179717174297</v>
      </c>
      <c r="Y152" s="135">
        <v>17.365304233867299</v>
      </c>
      <c r="Z152" s="27">
        <f t="shared" si="26"/>
        <v>90.777202072538856</v>
      </c>
      <c r="AA152" s="142">
        <f t="shared" si="27"/>
        <v>99.451468048359217</v>
      </c>
      <c r="AB152" s="143">
        <f t="shared" si="28"/>
        <v>90.56310489783948</v>
      </c>
      <c r="AC152" s="147">
        <v>1914</v>
      </c>
      <c r="AD152" s="148">
        <f t="shared" si="31"/>
        <v>20.649999999999995</v>
      </c>
      <c r="AE152" s="140">
        <f t="shared" si="30"/>
        <v>3.884837647058824</v>
      </c>
      <c r="AF152" s="149">
        <f t="shared" si="32"/>
        <v>0</v>
      </c>
      <c r="AG152" s="149">
        <v>98.839780850158206</v>
      </c>
      <c r="AH152" s="150">
        <v>118.974408460265</v>
      </c>
      <c r="AI152" s="151">
        <v>-1.63976104142654E-2</v>
      </c>
      <c r="AJ152" s="151">
        <v>83.200431024649106</v>
      </c>
      <c r="AK152" s="151">
        <v>97.255948573988903</v>
      </c>
      <c r="AL152" s="151"/>
      <c r="AM152" s="151"/>
      <c r="AN152" s="150"/>
      <c r="AO152" s="150"/>
      <c r="AP152" s="150"/>
      <c r="AQ152" s="150"/>
      <c r="AR152" s="150"/>
      <c r="AS152" s="150"/>
      <c r="AT152" s="152">
        <v>0</v>
      </c>
      <c r="AU152" s="152">
        <v>9.6562838027843503E-2</v>
      </c>
      <c r="AV152" s="152">
        <v>-2.47831474597273E-2</v>
      </c>
      <c r="AW152" s="152">
        <v>6.53439003868371E-2</v>
      </c>
      <c r="AX152" s="150"/>
    </row>
    <row r="153" spans="1:50">
      <c r="A153">
        <v>1915</v>
      </c>
      <c r="B153" s="9"/>
      <c r="C153" s="205">
        <v>9.74</v>
      </c>
      <c r="D153" s="205">
        <f t="shared" si="29"/>
        <v>7.403731278412339</v>
      </c>
      <c r="E153" s="144">
        <v>20.67</v>
      </c>
      <c r="F153" s="132">
        <f t="shared" si="37"/>
        <v>99.999999999999986</v>
      </c>
      <c r="G153" s="126">
        <f t="shared" si="36"/>
        <v>58.323353293413177</v>
      </c>
      <c r="H153" s="15">
        <v>80.5</v>
      </c>
      <c r="I153" s="159"/>
      <c r="J153" s="25">
        <f t="shared" si="33"/>
        <v>80.500000000000014</v>
      </c>
      <c r="K153" s="145">
        <v>4.24</v>
      </c>
      <c r="L153" s="144"/>
      <c r="M153" s="146">
        <v>4.76</v>
      </c>
      <c r="N153" s="144"/>
      <c r="O153" s="133">
        <f t="shared" ref="O153:O186" si="39">K153</f>
        <v>4.24</v>
      </c>
      <c r="P153" s="134">
        <f t="shared" si="38"/>
        <v>99.764705882352942</v>
      </c>
      <c r="Q153" s="129">
        <v>111.3</v>
      </c>
      <c r="R153" s="161">
        <v>106.933333333333</v>
      </c>
      <c r="S153" s="129"/>
      <c r="T153" s="115">
        <f t="shared" si="34"/>
        <v>111.3</v>
      </c>
      <c r="U153" s="25">
        <f t="shared" si="35"/>
        <v>111.5625</v>
      </c>
      <c r="V153" s="135">
        <v>-10.3984403407129</v>
      </c>
      <c r="W153" s="135">
        <v>18.682287412137001</v>
      </c>
      <c r="X153" s="135">
        <v>4.1419235357120803</v>
      </c>
      <c r="Y153" s="135">
        <v>25.180199725033599</v>
      </c>
      <c r="Z153" s="27">
        <f t="shared" si="26"/>
        <v>115.33678756476684</v>
      </c>
      <c r="AA153" s="142">
        <f t="shared" si="27"/>
        <v>122.00069084628669</v>
      </c>
      <c r="AB153" s="143">
        <f t="shared" si="28"/>
        <v>115.06476683937825</v>
      </c>
      <c r="AC153" s="147">
        <v>1915</v>
      </c>
      <c r="AD153" s="148">
        <f t="shared" si="31"/>
        <v>20.649999999999995</v>
      </c>
      <c r="AE153" s="140">
        <f t="shared" si="30"/>
        <v>3.884837647058824</v>
      </c>
      <c r="AF153" s="149">
        <f t="shared" si="32"/>
        <v>0</v>
      </c>
      <c r="AG153" s="149">
        <v>105.374480511418</v>
      </c>
      <c r="AH153" s="150">
        <v>128.579506348725</v>
      </c>
      <c r="AI153" s="151">
        <v>0.18899122532795201</v>
      </c>
      <c r="AJ153" s="151">
        <v>93.189512405454707</v>
      </c>
      <c r="AK153" s="151">
        <v>110.03299585335</v>
      </c>
      <c r="AL153" s="151"/>
      <c r="AM153" s="151"/>
      <c r="AN153" s="150"/>
      <c r="AO153" s="150"/>
      <c r="AP153" s="150"/>
      <c r="AQ153" s="150"/>
      <c r="AR153" s="150"/>
      <c r="AS153" s="150"/>
      <c r="AT153" s="152">
        <v>0.27054794520547898</v>
      </c>
      <c r="AU153" s="152">
        <v>0.103338682179373</v>
      </c>
      <c r="AV153" s="152">
        <v>2.2871664548919899E-2</v>
      </c>
      <c r="AW153" s="152">
        <v>7.2537006141893304E-2</v>
      </c>
      <c r="AX153" s="150"/>
    </row>
    <row r="154" spans="1:50">
      <c r="A154">
        <v>1916</v>
      </c>
      <c r="B154" s="9"/>
      <c r="C154" s="205">
        <v>10.64</v>
      </c>
      <c r="D154" s="205">
        <f t="shared" si="29"/>
        <v>8.0878542918179974</v>
      </c>
      <c r="E154" s="144">
        <v>20.67</v>
      </c>
      <c r="F154" s="132">
        <f t="shared" si="37"/>
        <v>99.999999999999986</v>
      </c>
      <c r="G154" s="126">
        <f t="shared" si="36"/>
        <v>63.712574850299404</v>
      </c>
      <c r="H154" s="15">
        <v>98.9</v>
      </c>
      <c r="I154" s="159"/>
      <c r="J154" s="25">
        <f t="shared" si="33"/>
        <v>98.90000000000002</v>
      </c>
      <c r="K154" s="145">
        <v>4.24</v>
      </c>
      <c r="L154" s="144"/>
      <c r="M154" s="146">
        <v>4.7699999999999996</v>
      </c>
      <c r="N154" s="144"/>
      <c r="O154" s="133">
        <f t="shared" si="39"/>
        <v>4.24</v>
      </c>
      <c r="P154" s="134">
        <f t="shared" si="38"/>
        <v>99.764705882352942</v>
      </c>
      <c r="Q154" s="129">
        <v>140.19999999999999</v>
      </c>
      <c r="R154" s="161">
        <v>135.63333333333301</v>
      </c>
      <c r="S154" s="129"/>
      <c r="T154" s="115">
        <f t="shared" si="34"/>
        <v>140.19999999999999</v>
      </c>
      <c r="U154" s="25">
        <f t="shared" si="35"/>
        <v>140.53066037735846</v>
      </c>
      <c r="V154" s="135">
        <v>7.8590769877932898</v>
      </c>
      <c r="W154" s="135">
        <v>47.271912371226897</v>
      </c>
      <c r="X154" s="135">
        <v>27.565494679510099</v>
      </c>
      <c r="Y154" s="135">
        <v>32.952805311318102</v>
      </c>
      <c r="Z154" s="27">
        <f t="shared" si="26"/>
        <v>145.28497409326422</v>
      </c>
      <c r="AA154" s="142">
        <f t="shared" si="27"/>
        <v>154.00207253886006</v>
      </c>
      <c r="AB154" s="143">
        <f t="shared" si="28"/>
        <v>144.94232085247825</v>
      </c>
      <c r="AC154" s="147">
        <v>1916</v>
      </c>
      <c r="AD154" s="148">
        <f t="shared" si="31"/>
        <v>20.649999999999995</v>
      </c>
      <c r="AE154" s="140">
        <f t="shared" si="30"/>
        <v>3.884837647058824</v>
      </c>
      <c r="AF154" s="149">
        <f t="shared" si="32"/>
        <v>0</v>
      </c>
      <c r="AG154" s="149">
        <v>112.169794347551</v>
      </c>
      <c r="AH154" s="150">
        <v>137.85291001046599</v>
      </c>
      <c r="AI154" s="151">
        <v>0.50650577812577702</v>
      </c>
      <c r="AJ154" s="151">
        <v>109.52807451306499</v>
      </c>
      <c r="AK154" s="151">
        <v>125.52471581990601</v>
      </c>
      <c r="AL154" s="151"/>
      <c r="AM154" s="151"/>
      <c r="AN154" s="150"/>
      <c r="AO154" s="150"/>
      <c r="AP154" s="150"/>
      <c r="AQ154" s="150"/>
      <c r="AR154" s="150"/>
      <c r="AS154" s="150"/>
      <c r="AT154" s="152">
        <v>0.25965858041329698</v>
      </c>
      <c r="AU154" s="152">
        <v>0.103544374491299</v>
      </c>
      <c r="AV154" s="152">
        <v>0.22857142857142801</v>
      </c>
      <c r="AW154" s="152">
        <v>7.64949093710168E-2</v>
      </c>
      <c r="AX154" s="150"/>
    </row>
    <row r="155" spans="1:50">
      <c r="A155">
        <v>1917</v>
      </c>
      <c r="B155" s="9"/>
      <c r="C155" s="205">
        <v>12.82</v>
      </c>
      <c r="D155" s="205">
        <f t="shared" si="29"/>
        <v>9.7449522576228116</v>
      </c>
      <c r="E155" s="144">
        <v>20.67</v>
      </c>
      <c r="F155" s="132">
        <f t="shared" si="37"/>
        <v>99.999999999999986</v>
      </c>
      <c r="G155" s="126">
        <f t="shared" si="36"/>
        <v>76.76646706586827</v>
      </c>
      <c r="H155" s="15">
        <v>135.9</v>
      </c>
      <c r="I155" s="159"/>
      <c r="J155" s="25">
        <f t="shared" si="33"/>
        <v>135.9</v>
      </c>
      <c r="K155" s="145">
        <v>4.24</v>
      </c>
      <c r="L155" s="144"/>
      <c r="M155" s="146">
        <v>4.76</v>
      </c>
      <c r="N155" s="144"/>
      <c r="O155" s="133">
        <f t="shared" si="39"/>
        <v>4.24</v>
      </c>
      <c r="P155" s="134">
        <f t="shared" si="38"/>
        <v>99.764705882352942</v>
      </c>
      <c r="Q155" s="129">
        <v>184.5</v>
      </c>
      <c r="R155" s="161">
        <v>174.85833333333301</v>
      </c>
      <c r="S155" s="129"/>
      <c r="T155" s="115">
        <f t="shared" si="34"/>
        <v>184.5</v>
      </c>
      <c r="U155" s="25">
        <f t="shared" si="35"/>
        <v>184.93514150943395</v>
      </c>
      <c r="V155" s="135">
        <v>44.724242856323997</v>
      </c>
      <c r="W155" s="135">
        <v>91.290973328097905</v>
      </c>
      <c r="X155" s="135">
        <v>68.007608092210901</v>
      </c>
      <c r="Y155" s="135">
        <v>39.914759104298398</v>
      </c>
      <c r="Z155" s="27">
        <f t="shared" si="26"/>
        <v>191.1917098445596</v>
      </c>
      <c r="AA155" s="142">
        <f t="shared" si="27"/>
        <v>202.23834196891193</v>
      </c>
      <c r="AB155" s="143">
        <f t="shared" si="28"/>
        <v>190.74078600058661</v>
      </c>
      <c r="AC155" s="147">
        <v>1917</v>
      </c>
      <c r="AD155" s="148">
        <f t="shared" si="31"/>
        <v>20.649999999999995</v>
      </c>
      <c r="AE155" s="140">
        <f t="shared" si="30"/>
        <v>3.884837647058824</v>
      </c>
      <c r="AF155" s="149">
        <f t="shared" si="32"/>
        <v>0</v>
      </c>
      <c r="AG155" s="149">
        <v>118.625849395589</v>
      </c>
      <c r="AH155" s="150">
        <v>145.859866276491</v>
      </c>
      <c r="AI155" s="151">
        <v>0.61834550877120498</v>
      </c>
      <c r="AJ155" s="151">
        <v>128.90249361822299</v>
      </c>
      <c r="AK155" s="151">
        <v>142.248702062099</v>
      </c>
      <c r="AL155" s="151"/>
      <c r="AM155" s="151"/>
      <c r="AN155" s="150"/>
      <c r="AO155" s="150"/>
      <c r="AP155" s="150"/>
      <c r="AQ155" s="150"/>
      <c r="AR155" s="150"/>
      <c r="AS155" s="150"/>
      <c r="AT155" s="152">
        <v>0.31597717546362297</v>
      </c>
      <c r="AU155" s="152">
        <v>9.5874641487061193E-2</v>
      </c>
      <c r="AV155" s="152">
        <v>0.374115267947421</v>
      </c>
      <c r="AW155" s="152">
        <v>7.4620635088464796E-2</v>
      </c>
      <c r="AX155" s="150"/>
    </row>
    <row r="156" spans="1:50">
      <c r="A156">
        <v>1918</v>
      </c>
      <c r="B156" s="9"/>
      <c r="C156" s="205">
        <v>15.06</v>
      </c>
      <c r="D156" s="205">
        <f t="shared" si="29"/>
        <v>11.447658424321338</v>
      </c>
      <c r="E156" s="144">
        <v>20.67</v>
      </c>
      <c r="F156" s="132">
        <f t="shared" si="37"/>
        <v>99.999999999999986</v>
      </c>
      <c r="G156" s="126">
        <f t="shared" si="36"/>
        <v>90.179640718562879</v>
      </c>
      <c r="H156" s="15">
        <v>152</v>
      </c>
      <c r="I156" s="159"/>
      <c r="J156" s="25">
        <f t="shared" si="33"/>
        <v>152.00000000000003</v>
      </c>
      <c r="K156" s="145">
        <v>4.24</v>
      </c>
      <c r="L156" s="144"/>
      <c r="M156" s="146">
        <v>4.76</v>
      </c>
      <c r="N156" s="144"/>
      <c r="O156" s="133">
        <f t="shared" si="39"/>
        <v>4.24</v>
      </c>
      <c r="P156" s="134">
        <f t="shared" si="38"/>
        <v>99.764705882352942</v>
      </c>
      <c r="Q156" s="129">
        <v>197.9</v>
      </c>
      <c r="R156" s="161">
        <v>192.47499999999999</v>
      </c>
      <c r="S156" s="129"/>
      <c r="T156" s="115">
        <f t="shared" si="34"/>
        <v>197.9</v>
      </c>
      <c r="U156" s="25">
        <f t="shared" si="35"/>
        <v>198.36674528301887</v>
      </c>
      <c r="V156" s="135">
        <v>60.697339558916802</v>
      </c>
      <c r="W156" s="135">
        <v>104.32003241430399</v>
      </c>
      <c r="X156" s="135">
        <v>82.508685986610502</v>
      </c>
      <c r="Y156" s="135">
        <v>45.243826109234199</v>
      </c>
      <c r="Z156" s="27">
        <f t="shared" ref="Z156:Z219" si="40">100*T156/$T$28</f>
        <v>205.07772020725389</v>
      </c>
      <c r="AA156" s="142">
        <f t="shared" ref="AA156:AA219" si="41">Z156*(M156/$M$28)</f>
        <v>216.92665515256186</v>
      </c>
      <c r="AB156" s="143">
        <f t="shared" ref="AB156:AB219" si="42">Z156/(P156/$P$28)</f>
        <v>204.59404633884057</v>
      </c>
      <c r="AC156" s="147">
        <v>1918</v>
      </c>
      <c r="AD156" s="148">
        <f t="shared" si="31"/>
        <v>20.649999999999995</v>
      </c>
      <c r="AE156" s="140">
        <f t="shared" si="30"/>
        <v>3.884837647058824</v>
      </c>
      <c r="AF156" s="149">
        <f t="shared" si="32"/>
        <v>0</v>
      </c>
      <c r="AG156" s="149">
        <v>124.010074749091</v>
      </c>
      <c r="AH156" s="150">
        <v>151.690492877704</v>
      </c>
      <c r="AI156" s="151">
        <v>0.67157101113907203</v>
      </c>
      <c r="AJ156" s="151">
        <v>144.45645448731599</v>
      </c>
      <c r="AK156" s="151">
        <v>163.66097622840101</v>
      </c>
      <c r="AL156" s="151"/>
      <c r="AM156" s="151"/>
      <c r="AN156" s="150"/>
      <c r="AO156" s="150"/>
      <c r="AP156" s="150"/>
      <c r="AQ156" s="150"/>
      <c r="AR156" s="150"/>
      <c r="AS156" s="150"/>
      <c r="AT156" s="152">
        <v>7.2628726287262899E-2</v>
      </c>
      <c r="AU156" s="152">
        <v>8.0585351749320105E-2</v>
      </c>
      <c r="AV156" s="152">
        <v>0.118469462840323</v>
      </c>
      <c r="AW156" s="152">
        <v>6.5837973500498595E-2</v>
      </c>
      <c r="AX156" s="150"/>
    </row>
    <row r="157" spans="1:50">
      <c r="A157">
        <v>1919</v>
      </c>
      <c r="B157" s="9"/>
      <c r="C157" s="205">
        <v>17.3</v>
      </c>
      <c r="D157" s="205">
        <f t="shared" ref="D157:D220" si="43">C157*100/$AK$196</f>
        <v>13.150364591019862</v>
      </c>
      <c r="E157" s="144">
        <v>20.67</v>
      </c>
      <c r="F157" s="132">
        <f t="shared" si="37"/>
        <v>99.999999999999986</v>
      </c>
      <c r="G157" s="126">
        <f t="shared" si="36"/>
        <v>103.59281437125749</v>
      </c>
      <c r="H157" s="15">
        <v>160.30000000000001</v>
      </c>
      <c r="I157" s="159"/>
      <c r="J157" s="25">
        <f t="shared" si="33"/>
        <v>160.30000000000004</v>
      </c>
      <c r="K157" s="145">
        <v>4.5</v>
      </c>
      <c r="L157" s="144"/>
      <c r="M157" s="146">
        <v>4.43</v>
      </c>
      <c r="N157" s="144"/>
      <c r="O157" s="133">
        <f t="shared" si="39"/>
        <v>4.5</v>
      </c>
      <c r="P157" s="134">
        <f t="shared" si="38"/>
        <v>105.88235294117646</v>
      </c>
      <c r="Q157" s="129">
        <v>212.4</v>
      </c>
      <c r="R157" s="161">
        <v>205.458333333333</v>
      </c>
      <c r="S157" s="129"/>
      <c r="T157" s="115">
        <f t="shared" si="34"/>
        <v>212.4</v>
      </c>
      <c r="U157" s="25">
        <f t="shared" si="35"/>
        <v>200.60000000000002</v>
      </c>
      <c r="V157" s="135">
        <v>68.878649389609507</v>
      </c>
      <c r="W157" s="135">
        <v>106.139670921923</v>
      </c>
      <c r="X157" s="135">
        <v>87.509160155766097</v>
      </c>
      <c r="Y157" s="135">
        <v>48.398699821264003</v>
      </c>
      <c r="Z157" s="27">
        <f t="shared" si="40"/>
        <v>220.10362694300517</v>
      </c>
      <c r="AA157" s="142">
        <f t="shared" si="41"/>
        <v>216.67979274611395</v>
      </c>
      <c r="AB157" s="143">
        <f t="shared" si="42"/>
        <v>206.89740932642491</v>
      </c>
      <c r="AC157" s="147">
        <v>1919</v>
      </c>
      <c r="AD157" s="148">
        <f t="shared" si="31"/>
        <v>20.649999999999995</v>
      </c>
      <c r="AE157" s="140">
        <f t="shared" ref="AE157:AE213" si="44">P157*$AE$168/100</f>
        <v>4.1230588235294121</v>
      </c>
      <c r="AF157" s="149">
        <f t="shared" si="32"/>
        <v>0</v>
      </c>
      <c r="AG157" s="149">
        <v>127.762641007657</v>
      </c>
      <c r="AH157" s="150">
        <v>154.82310888224001</v>
      </c>
      <c r="AI157" s="151">
        <v>0.78047814188549902</v>
      </c>
      <c r="AJ157" s="151">
        <v>151.66614401399099</v>
      </c>
      <c r="AK157" s="151">
        <v>173.99465927991699</v>
      </c>
      <c r="AL157" s="151"/>
      <c r="AM157" s="151"/>
      <c r="AN157" s="150"/>
      <c r="AO157" s="150"/>
      <c r="AP157" s="150"/>
      <c r="AQ157" s="150"/>
      <c r="AR157" s="150"/>
      <c r="AS157" s="150"/>
      <c r="AT157" s="152">
        <v>7.3269327943405696E-2</v>
      </c>
      <c r="AU157" s="152">
        <v>6.0133399200502501E-2</v>
      </c>
      <c r="AV157" s="152">
        <v>5.4605263157894803E-2</v>
      </c>
      <c r="AW157" s="152">
        <v>5.2065661141968797E-2</v>
      </c>
      <c r="AX157" s="150"/>
    </row>
    <row r="158" spans="1:50">
      <c r="A158">
        <v>1920</v>
      </c>
      <c r="B158" s="9"/>
      <c r="C158" s="205">
        <v>20.04</v>
      </c>
      <c r="D158" s="205">
        <f t="shared" si="43"/>
        <v>15.23313909849931</v>
      </c>
      <c r="E158" s="144">
        <v>20.67</v>
      </c>
      <c r="F158" s="132">
        <f t="shared" si="37"/>
        <v>99.999999999999986</v>
      </c>
      <c r="G158" s="126">
        <f t="shared" si="36"/>
        <v>120</v>
      </c>
      <c r="H158" s="15">
        <v>178.7</v>
      </c>
      <c r="I158" s="159"/>
      <c r="J158" s="25">
        <f t="shared" si="33"/>
        <v>178.70000000000002</v>
      </c>
      <c r="K158" s="145">
        <v>5.65</v>
      </c>
      <c r="L158" s="144"/>
      <c r="M158" s="146">
        <v>3.66</v>
      </c>
      <c r="N158" s="144"/>
      <c r="O158" s="133">
        <f t="shared" si="39"/>
        <v>5.65</v>
      </c>
      <c r="P158" s="134">
        <f t="shared" si="38"/>
        <v>132.94117647058823</v>
      </c>
      <c r="Q158" s="129">
        <v>258.8</v>
      </c>
      <c r="R158" s="161">
        <v>248.083333333333</v>
      </c>
      <c r="S158" s="129"/>
      <c r="T158" s="115">
        <f t="shared" si="34"/>
        <v>258.8</v>
      </c>
      <c r="U158" s="25">
        <f t="shared" si="35"/>
        <v>194.67256637168143</v>
      </c>
      <c r="V158" s="135">
        <v>87.168454642439599</v>
      </c>
      <c r="W158" s="135">
        <v>99.790489303553699</v>
      </c>
      <c r="X158" s="135">
        <v>93.479471972996706</v>
      </c>
      <c r="Y158" s="135">
        <v>49.2107223343003</v>
      </c>
      <c r="Z158" s="27">
        <f t="shared" si="40"/>
        <v>268.18652849740931</v>
      </c>
      <c r="AA158" s="142">
        <f t="shared" si="41"/>
        <v>218.12504317789291</v>
      </c>
      <c r="AB158" s="143">
        <f t="shared" si="42"/>
        <v>200.78389655646754</v>
      </c>
      <c r="AC158" s="147">
        <v>1920</v>
      </c>
      <c r="AD158" s="148">
        <f t="shared" si="31"/>
        <v>20.649999999999995</v>
      </c>
      <c r="AE158" s="140">
        <f t="shared" si="44"/>
        <v>5.1767294117647058</v>
      </c>
      <c r="AF158" s="149">
        <f t="shared" si="32"/>
        <v>0</v>
      </c>
      <c r="AG158" s="149">
        <v>129.60361802339801</v>
      </c>
      <c r="AH158" s="150">
        <v>155.200128429459</v>
      </c>
      <c r="AI158" s="151">
        <v>0.32259648318245698</v>
      </c>
      <c r="AJ158" s="151">
        <v>148.52226426279</v>
      </c>
      <c r="AK158" s="151">
        <v>168.96254676828599</v>
      </c>
      <c r="AL158" s="151"/>
      <c r="AM158" s="151"/>
      <c r="AN158" s="150"/>
      <c r="AO158" s="150"/>
      <c r="AP158" s="150"/>
      <c r="AQ158" s="150"/>
      <c r="AR158" s="150"/>
      <c r="AS158" s="150"/>
      <c r="AT158" s="152">
        <v>0.218455743879472</v>
      </c>
      <c r="AU158" s="152">
        <v>3.6896111508414001E-2</v>
      </c>
      <c r="AV158" s="152">
        <v>0.114784778540236</v>
      </c>
      <c r="AW158" s="152">
        <v>3.5748749441124598E-2</v>
      </c>
      <c r="AX158" s="150"/>
    </row>
    <row r="159" spans="1:50">
      <c r="A159">
        <v>1921</v>
      </c>
      <c r="B159" s="9"/>
      <c r="C159" s="205">
        <v>17.899999999999999</v>
      </c>
      <c r="D159" s="205">
        <f t="shared" si="43"/>
        <v>13.606446599956966</v>
      </c>
      <c r="E159" s="144">
        <v>20.67</v>
      </c>
      <c r="F159" s="132">
        <f t="shared" si="37"/>
        <v>99.999999999999986</v>
      </c>
      <c r="G159" s="126">
        <f t="shared" si="36"/>
        <v>107.18562874251496</v>
      </c>
      <c r="H159" s="15">
        <v>113</v>
      </c>
      <c r="I159" s="159"/>
      <c r="J159" s="25">
        <f t="shared" si="33"/>
        <v>113.00000000000001</v>
      </c>
      <c r="K159" s="145">
        <v>5.35</v>
      </c>
      <c r="L159" s="144"/>
      <c r="M159" s="146">
        <v>3.85</v>
      </c>
      <c r="N159" s="144"/>
      <c r="O159" s="133">
        <f t="shared" si="39"/>
        <v>5.35</v>
      </c>
      <c r="P159" s="134">
        <f t="shared" si="38"/>
        <v>125.88235294117646</v>
      </c>
      <c r="Q159" s="129">
        <v>159.80000000000001</v>
      </c>
      <c r="R159" s="161">
        <v>159.65</v>
      </c>
      <c r="S159" s="129"/>
      <c r="T159" s="115">
        <f t="shared" si="34"/>
        <v>159.80000000000001</v>
      </c>
      <c r="U159" s="25">
        <f t="shared" si="35"/>
        <v>126.94392523364488</v>
      </c>
      <c r="V159" s="135">
        <v>21.3670376114448</v>
      </c>
      <c r="W159" s="135">
        <v>31.6331071723205</v>
      </c>
      <c r="X159" s="135">
        <v>26.5000723918826</v>
      </c>
      <c r="Y159" s="135">
        <v>47.902340345600699</v>
      </c>
      <c r="Z159" s="27">
        <f t="shared" si="40"/>
        <v>165.59585492227981</v>
      </c>
      <c r="AA159" s="142">
        <f t="shared" si="41"/>
        <v>141.6764536557283</v>
      </c>
      <c r="AB159" s="143">
        <f t="shared" si="42"/>
        <v>130.92905912546613</v>
      </c>
      <c r="AC159" s="147">
        <v>1921</v>
      </c>
      <c r="AD159" s="148">
        <f t="shared" si="31"/>
        <v>20.649999999999995</v>
      </c>
      <c r="AE159" s="140">
        <f t="shared" si="44"/>
        <v>4.9018588235294116</v>
      </c>
      <c r="AF159" s="149">
        <f t="shared" si="32"/>
        <v>0</v>
      </c>
      <c r="AG159" s="149">
        <v>129.57844923834901</v>
      </c>
      <c r="AH159" s="150">
        <v>153.21953456989601</v>
      </c>
      <c r="AI159" s="151">
        <v>0.313452773046972</v>
      </c>
      <c r="AJ159" s="151">
        <v>135.89346929359101</v>
      </c>
      <c r="AK159" s="151">
        <v>153.07254781850901</v>
      </c>
      <c r="AL159" s="151"/>
      <c r="AM159" s="151"/>
      <c r="AN159" s="150"/>
      <c r="AO159" s="150"/>
      <c r="AP159" s="150"/>
      <c r="AQ159" s="150"/>
      <c r="AR159" s="150"/>
      <c r="AS159" s="150"/>
      <c r="AT159" s="152">
        <v>-0.38253477588871698</v>
      </c>
      <c r="AU159" s="152">
        <v>1.3382175628289699E-2</v>
      </c>
      <c r="AV159" s="152">
        <v>-0.36765528819250098</v>
      </c>
      <c r="AW159" s="152">
        <v>1.93576858463743E-2</v>
      </c>
      <c r="AX159" s="150"/>
    </row>
    <row r="160" spans="1:50">
      <c r="A160">
        <v>1922</v>
      </c>
      <c r="B160" s="9"/>
      <c r="C160" s="205">
        <v>16.77</v>
      </c>
      <c r="D160" s="205">
        <f t="shared" si="43"/>
        <v>12.747492149792087</v>
      </c>
      <c r="E160" s="144">
        <v>20.67</v>
      </c>
      <c r="F160" s="132">
        <f t="shared" si="37"/>
        <v>99.999999999999986</v>
      </c>
      <c r="G160" s="126">
        <f t="shared" si="36"/>
        <v>100.41916167664671</v>
      </c>
      <c r="H160" s="15">
        <v>111.9</v>
      </c>
      <c r="I160" s="159"/>
      <c r="J160" s="25">
        <f t="shared" si="33"/>
        <v>111.90000000000002</v>
      </c>
      <c r="K160" s="145">
        <v>4.67</v>
      </c>
      <c r="L160" s="144"/>
      <c r="M160" s="146">
        <v>4.43</v>
      </c>
      <c r="N160" s="144"/>
      <c r="O160" s="133">
        <f t="shared" si="39"/>
        <v>4.67</v>
      </c>
      <c r="P160" s="134">
        <f t="shared" si="38"/>
        <v>109.88235294117646</v>
      </c>
      <c r="Q160" s="129">
        <v>135.1</v>
      </c>
      <c r="R160" s="161">
        <v>132.1</v>
      </c>
      <c r="S160" s="129"/>
      <c r="T160" s="115">
        <f t="shared" si="34"/>
        <v>135.1</v>
      </c>
      <c r="U160" s="25">
        <f t="shared" si="35"/>
        <v>122.94967880085653</v>
      </c>
      <c r="V160" s="135">
        <v>20.1746805906627</v>
      </c>
      <c r="W160" s="135">
        <v>27.208163301869</v>
      </c>
      <c r="X160" s="135">
        <v>23.691421946265798</v>
      </c>
      <c r="Y160" s="135">
        <v>45.138688048809698</v>
      </c>
      <c r="Z160" s="27">
        <f t="shared" si="40"/>
        <v>140</v>
      </c>
      <c r="AA160" s="142">
        <f t="shared" si="41"/>
        <v>137.82222222222219</v>
      </c>
      <c r="AB160" s="143">
        <f t="shared" si="42"/>
        <v>126.80942184154179</v>
      </c>
      <c r="AC160" s="147">
        <v>1922</v>
      </c>
      <c r="AD160" s="148">
        <f t="shared" si="31"/>
        <v>20.649999999999995</v>
      </c>
      <c r="AE160" s="140">
        <f t="shared" si="44"/>
        <v>4.2788188235294111</v>
      </c>
      <c r="AF160" s="149">
        <f t="shared" si="32"/>
        <v>0</v>
      </c>
      <c r="AG160" s="149">
        <v>128.22354191430901</v>
      </c>
      <c r="AH160" s="150">
        <v>149.67460906979599</v>
      </c>
      <c r="AI160" s="151">
        <v>0.353724106749913</v>
      </c>
      <c r="AJ160" s="151">
        <v>124.707658412009</v>
      </c>
      <c r="AK160" s="151">
        <v>139.421722632822</v>
      </c>
      <c r="AL160" s="151"/>
      <c r="AM160" s="151"/>
      <c r="AN160" s="150"/>
      <c r="AO160" s="150"/>
      <c r="AP160" s="150"/>
      <c r="AQ160" s="150"/>
      <c r="AR160" s="150"/>
      <c r="AS160" s="150"/>
      <c r="AT160" s="152">
        <v>-0.15456821026282799</v>
      </c>
      <c r="AU160" s="152">
        <v>-6.0841251609251102E-3</v>
      </c>
      <c r="AV160" s="152">
        <v>-9.7345132743362293E-3</v>
      </c>
      <c r="AW160" s="152">
        <v>6.1532780971172698E-3</v>
      </c>
      <c r="AX160" s="150"/>
    </row>
    <row r="161" spans="1:50">
      <c r="A161">
        <v>1923</v>
      </c>
      <c r="B161" s="9"/>
      <c r="C161" s="205">
        <v>17.07</v>
      </c>
      <c r="D161" s="205">
        <f t="shared" si="43"/>
        <v>12.975533154260638</v>
      </c>
      <c r="E161" s="144">
        <v>20.67</v>
      </c>
      <c r="F161" s="132">
        <f t="shared" si="37"/>
        <v>99.999999999999986</v>
      </c>
      <c r="G161" s="126">
        <f t="shared" si="36"/>
        <v>102.21556886227545</v>
      </c>
      <c r="H161" s="15">
        <v>116.4</v>
      </c>
      <c r="I161" s="159"/>
      <c r="J161" s="25">
        <f t="shared" si="33"/>
        <v>116.40000000000002</v>
      </c>
      <c r="K161" s="145">
        <v>4.51</v>
      </c>
      <c r="L161" s="144"/>
      <c r="M161" s="146">
        <v>4.58</v>
      </c>
      <c r="N161" s="144"/>
      <c r="O161" s="133">
        <f t="shared" si="39"/>
        <v>4.51</v>
      </c>
      <c r="P161" s="134">
        <f t="shared" si="38"/>
        <v>106.11764705882354</v>
      </c>
      <c r="Q161" s="129">
        <v>133</v>
      </c>
      <c r="R161" s="161">
        <v>129.98333333333301</v>
      </c>
      <c r="S161" s="129"/>
      <c r="T161" s="115">
        <f t="shared" si="34"/>
        <v>133</v>
      </c>
      <c r="U161" s="25">
        <f t="shared" si="35"/>
        <v>125.33259423503326</v>
      </c>
      <c r="V161" s="135">
        <v>24.5916658741309</v>
      </c>
      <c r="W161" s="135">
        <v>29.146315626368601</v>
      </c>
      <c r="X161" s="135">
        <v>26.868990750249701</v>
      </c>
      <c r="Y161" s="135">
        <v>41.370876958034501</v>
      </c>
      <c r="Z161" s="27">
        <f t="shared" si="40"/>
        <v>137.8238341968912</v>
      </c>
      <c r="AA161" s="142">
        <f t="shared" si="41"/>
        <v>140.27403569372484</v>
      </c>
      <c r="AB161" s="143">
        <f t="shared" si="42"/>
        <v>129.26714382546561</v>
      </c>
      <c r="AC161" s="147">
        <v>1923</v>
      </c>
      <c r="AD161" s="148">
        <f t="shared" si="31"/>
        <v>20.649999999999995</v>
      </c>
      <c r="AE161" s="140">
        <f t="shared" si="44"/>
        <v>4.1322211764705887</v>
      </c>
      <c r="AF161" s="149">
        <f t="shared" si="32"/>
        <v>0</v>
      </c>
      <c r="AG161" s="149">
        <v>125.909518820695</v>
      </c>
      <c r="AH161" s="150">
        <v>145.09573834969899</v>
      </c>
      <c r="AI161" s="151">
        <v>0.32955111451755398</v>
      </c>
      <c r="AJ161" s="151">
        <v>118.26157449246099</v>
      </c>
      <c r="AK161" s="151">
        <v>132.39294880729599</v>
      </c>
      <c r="AL161" s="151"/>
      <c r="AM161" s="151"/>
      <c r="AN161" s="150"/>
      <c r="AO161" s="150"/>
      <c r="AP161" s="150"/>
      <c r="AQ161" s="150"/>
      <c r="AR161" s="150"/>
      <c r="AS161" s="150"/>
      <c r="AT161" s="152">
        <v>-1.5544041450777099E-2</v>
      </c>
      <c r="AU161" s="152">
        <v>-2.1137677095454901E-2</v>
      </c>
      <c r="AV161" s="152">
        <v>4.0214477211796197E-2</v>
      </c>
      <c r="AW161" s="152">
        <v>-4.4737958076357196E-3</v>
      </c>
      <c r="AX161" s="150"/>
    </row>
    <row r="162" spans="1:50">
      <c r="A162">
        <v>1924</v>
      </c>
      <c r="B162" s="9"/>
      <c r="C162" s="205">
        <v>17.100000000000001</v>
      </c>
      <c r="D162" s="205">
        <f t="shared" si="43"/>
        <v>12.998337254707497</v>
      </c>
      <c r="E162" s="144">
        <v>20.67</v>
      </c>
      <c r="F162" s="132">
        <f t="shared" si="37"/>
        <v>99.999999999999986</v>
      </c>
      <c r="G162" s="126">
        <f t="shared" si="36"/>
        <v>102.39520958083834</v>
      </c>
      <c r="H162" s="15">
        <v>113.5</v>
      </c>
      <c r="I162" s="159"/>
      <c r="J162" s="25">
        <f t="shared" si="33"/>
        <v>113.50000000000001</v>
      </c>
      <c r="K162" s="145">
        <v>4.6900000000000004</v>
      </c>
      <c r="L162" s="144"/>
      <c r="M162" s="146">
        <v>4.42</v>
      </c>
      <c r="N162" s="144"/>
      <c r="O162" s="133">
        <f t="shared" si="39"/>
        <v>4.6900000000000004</v>
      </c>
      <c r="P162" s="134">
        <f t="shared" si="38"/>
        <v>110.35294117647061</v>
      </c>
      <c r="Q162" s="129">
        <v>143.30000000000001</v>
      </c>
      <c r="R162" s="161">
        <v>139.98333333333301</v>
      </c>
      <c r="S162" s="129"/>
      <c r="T162" s="115">
        <f t="shared" si="34"/>
        <v>143.30000000000001</v>
      </c>
      <c r="U162" s="25">
        <f t="shared" si="35"/>
        <v>129.85607675906184</v>
      </c>
      <c r="V162" s="135">
        <v>21.618275755887002</v>
      </c>
      <c r="W162" s="135">
        <v>33.228241240511601</v>
      </c>
      <c r="X162" s="135">
        <v>27.423258498199299</v>
      </c>
      <c r="Y162" s="135">
        <v>36.835545926357</v>
      </c>
      <c r="Z162" s="27">
        <f t="shared" si="40"/>
        <v>148.4974093264249</v>
      </c>
      <c r="AA162" s="142">
        <f t="shared" si="41"/>
        <v>145.85745538284402</v>
      </c>
      <c r="AB162" s="143">
        <f t="shared" si="42"/>
        <v>133.93263143939816</v>
      </c>
      <c r="AC162" s="147">
        <v>1924</v>
      </c>
      <c r="AD162" s="148">
        <f t="shared" si="31"/>
        <v>20.649999999999995</v>
      </c>
      <c r="AE162" s="140">
        <f t="shared" si="44"/>
        <v>4.2971435294117661</v>
      </c>
      <c r="AF162" s="149">
        <f t="shared" si="32"/>
        <v>0</v>
      </c>
      <c r="AG162" s="149">
        <v>122.84376730778099</v>
      </c>
      <c r="AH162" s="150">
        <v>139.74696273945301</v>
      </c>
      <c r="AI162" s="151">
        <v>0.38401226067911298</v>
      </c>
      <c r="AJ162" s="151">
        <v>115.58274093869601</v>
      </c>
      <c r="AK162" s="151">
        <v>130.90852972705599</v>
      </c>
      <c r="AL162" s="151"/>
      <c r="AM162" s="151"/>
      <c r="AN162" s="150"/>
      <c r="AO162" s="150"/>
      <c r="AP162" s="150"/>
      <c r="AQ162" s="150"/>
      <c r="AR162" s="150"/>
      <c r="AS162" s="150"/>
      <c r="AT162" s="152">
        <v>7.7443609022556398E-2</v>
      </c>
      <c r="AU162" s="152">
        <v>-3.28982072625435E-2</v>
      </c>
      <c r="AV162" s="152">
        <v>-2.4914089347079001E-2</v>
      </c>
      <c r="AW162" s="152">
        <v>-1.3291735782588399E-2</v>
      </c>
      <c r="AX162" s="150"/>
    </row>
    <row r="163" spans="1:50">
      <c r="A163">
        <v>1925</v>
      </c>
      <c r="B163" s="9"/>
      <c r="C163" s="205">
        <v>17.53</v>
      </c>
      <c r="D163" s="205">
        <f t="shared" si="43"/>
        <v>13.325196027779086</v>
      </c>
      <c r="E163" s="144">
        <v>20.67</v>
      </c>
      <c r="F163" s="132">
        <f t="shared" si="37"/>
        <v>99.999999999999986</v>
      </c>
      <c r="G163" s="126">
        <f t="shared" si="36"/>
        <v>104.97005988023953</v>
      </c>
      <c r="H163" s="15">
        <v>119.7</v>
      </c>
      <c r="I163" s="159"/>
      <c r="J163" s="25">
        <f t="shared" si="33"/>
        <v>119.70000000000002</v>
      </c>
      <c r="K163" s="145">
        <v>4.2699999999999996</v>
      </c>
      <c r="L163" s="144"/>
      <c r="M163" s="146">
        <v>4.83</v>
      </c>
      <c r="N163" s="144"/>
      <c r="O163" s="133">
        <f t="shared" si="39"/>
        <v>4.2699999999999996</v>
      </c>
      <c r="P163" s="134">
        <f t="shared" si="38"/>
        <v>100.4705882352941</v>
      </c>
      <c r="Q163" s="129">
        <v>140.19999999999999</v>
      </c>
      <c r="R163" s="161">
        <v>135.6</v>
      </c>
      <c r="S163" s="129"/>
      <c r="T163" s="115">
        <f t="shared" si="34"/>
        <v>140.19999999999999</v>
      </c>
      <c r="U163" s="25">
        <f t="shared" si="35"/>
        <v>139.54332552693208</v>
      </c>
      <c r="V163" s="135">
        <v>27.7547925299688</v>
      </c>
      <c r="W163" s="135">
        <v>42.454636399513099</v>
      </c>
      <c r="X163" s="135">
        <v>35.104714464740901</v>
      </c>
      <c r="Y163" s="135">
        <v>31.6243149447814</v>
      </c>
      <c r="Z163" s="27">
        <f t="shared" si="40"/>
        <v>145.28497409326422</v>
      </c>
      <c r="AA163" s="142">
        <f t="shared" si="41"/>
        <v>155.93920552677025</v>
      </c>
      <c r="AB163" s="143">
        <f t="shared" si="42"/>
        <v>143.92399072939295</v>
      </c>
      <c r="AC163" s="147">
        <v>1925</v>
      </c>
      <c r="AD163" s="148">
        <f t="shared" si="31"/>
        <v>20.649999999999995</v>
      </c>
      <c r="AE163" s="140">
        <f t="shared" si="44"/>
        <v>3.9123247058823525</v>
      </c>
      <c r="AF163" s="149">
        <f t="shared" si="32"/>
        <v>0</v>
      </c>
      <c r="AG163" s="149">
        <v>119.13857953763301</v>
      </c>
      <c r="AH163" s="150">
        <v>133.69376518540599</v>
      </c>
      <c r="AI163" s="151">
        <v>0.35152468916500401</v>
      </c>
      <c r="AJ163" s="151">
        <v>115.07815632363901</v>
      </c>
      <c r="AK163" s="151">
        <v>131.50645250813201</v>
      </c>
      <c r="AL163" s="151"/>
      <c r="AM163" s="151"/>
      <c r="AN163" s="150"/>
      <c r="AO163" s="150"/>
      <c r="AP163" s="150"/>
      <c r="AQ163" s="150"/>
      <c r="AR163" s="150"/>
      <c r="AS163" s="150"/>
      <c r="AT163" s="152">
        <v>-2.1632937892533299E-2</v>
      </c>
      <c r="AU163" s="152">
        <v>-4.2429506392987502E-2</v>
      </c>
      <c r="AV163" s="152">
        <v>5.4625550660792901E-2</v>
      </c>
      <c r="AW163" s="152">
        <v>-2.0621859012250401E-2</v>
      </c>
      <c r="AX163" s="150"/>
    </row>
    <row r="164" spans="1:50">
      <c r="A164">
        <v>1926</v>
      </c>
      <c r="B164" s="9"/>
      <c r="C164" s="205">
        <v>17.7</v>
      </c>
      <c r="D164" s="205">
        <f t="shared" si="43"/>
        <v>13.454419263644599</v>
      </c>
      <c r="E164" s="144">
        <v>20.67</v>
      </c>
      <c r="F164" s="132">
        <f t="shared" si="37"/>
        <v>99.999999999999986</v>
      </c>
      <c r="G164" s="126">
        <f t="shared" si="36"/>
        <v>105.98802395209582</v>
      </c>
      <c r="H164" s="15">
        <v>115.7</v>
      </c>
      <c r="I164" s="159"/>
      <c r="J164" s="25">
        <f t="shared" si="33"/>
        <v>115.70000000000002</v>
      </c>
      <c r="K164" s="145">
        <v>4.25</v>
      </c>
      <c r="L164" s="144"/>
      <c r="M164" s="146">
        <v>4.8600000000000003</v>
      </c>
      <c r="N164" s="144"/>
      <c r="O164" s="133">
        <f t="shared" si="39"/>
        <v>4.25</v>
      </c>
      <c r="P164" s="134">
        <f t="shared" si="38"/>
        <v>100</v>
      </c>
      <c r="Q164" s="129">
        <v>129.9</v>
      </c>
      <c r="R164" s="161">
        <v>127.175</v>
      </c>
      <c r="S164" s="129"/>
      <c r="T164" s="115">
        <f t="shared" si="34"/>
        <v>129.9</v>
      </c>
      <c r="U164" s="25">
        <f t="shared" si="35"/>
        <v>129.9</v>
      </c>
      <c r="V164" s="135">
        <v>23.701498490413599</v>
      </c>
      <c r="W164" s="135">
        <v>32.3562165191113</v>
      </c>
      <c r="X164" s="135">
        <v>28.028857504762499</v>
      </c>
      <c r="Y164" s="135">
        <v>25.734681130030001</v>
      </c>
      <c r="Z164" s="27">
        <f t="shared" si="40"/>
        <v>134.61139896373058</v>
      </c>
      <c r="AA164" s="142">
        <f t="shared" si="41"/>
        <v>145.38031088082903</v>
      </c>
      <c r="AB164" s="143">
        <f t="shared" si="42"/>
        <v>133.97793355684246</v>
      </c>
      <c r="AC164" s="147">
        <v>1926</v>
      </c>
      <c r="AD164" s="148">
        <f t="shared" si="31"/>
        <v>20.649999999999995</v>
      </c>
      <c r="AE164" s="140">
        <f t="shared" si="44"/>
        <v>3.8940000000000001</v>
      </c>
      <c r="AF164" s="149">
        <f t="shared" si="32"/>
        <v>0</v>
      </c>
      <c r="AG164" s="149">
        <v>114.81280999924</v>
      </c>
      <c r="AH164" s="150">
        <v>126.90455900651099</v>
      </c>
      <c r="AI164" s="151">
        <v>0.30727139105999701</v>
      </c>
      <c r="AJ164" s="151">
        <v>114.46057224065299</v>
      </c>
      <c r="AK164" s="151">
        <v>130.43519435753399</v>
      </c>
      <c r="AL164" s="151"/>
      <c r="AM164" s="151"/>
      <c r="AN164" s="150"/>
      <c r="AO164" s="150"/>
      <c r="AP164" s="150"/>
      <c r="AQ164" s="150"/>
      <c r="AR164" s="150"/>
      <c r="AS164" s="150"/>
      <c r="AT164" s="152">
        <v>-7.34664764621967E-2</v>
      </c>
      <c r="AU164" s="152">
        <v>-4.9691947054732802E-2</v>
      </c>
      <c r="AV164" s="152">
        <v>-3.3416875522138602E-2</v>
      </c>
      <c r="AW164" s="152">
        <v>-2.6901706216776001E-2</v>
      </c>
      <c r="AX164" s="150"/>
    </row>
    <row r="165" spans="1:50">
      <c r="A165">
        <v>1927</v>
      </c>
      <c r="B165" s="9"/>
      <c r="C165" s="205">
        <v>17.37</v>
      </c>
      <c r="D165" s="205">
        <f t="shared" si="43"/>
        <v>13.203574158729191</v>
      </c>
      <c r="E165" s="144">
        <v>20.67</v>
      </c>
      <c r="F165" s="132">
        <f t="shared" si="37"/>
        <v>99.999999999999986</v>
      </c>
      <c r="G165" s="126">
        <f t="shared" si="36"/>
        <v>104.0119760479042</v>
      </c>
      <c r="H165" s="15">
        <v>110.5</v>
      </c>
      <c r="I165" s="159"/>
      <c r="J165" s="25">
        <f t="shared" si="33"/>
        <v>110.50000000000001</v>
      </c>
      <c r="K165" s="145">
        <v>4.25</v>
      </c>
      <c r="L165" s="144"/>
      <c r="M165" s="146">
        <v>4.8600000000000003</v>
      </c>
      <c r="N165" s="144"/>
      <c r="O165" s="133">
        <f t="shared" si="39"/>
        <v>4.25</v>
      </c>
      <c r="P165" s="134">
        <f t="shared" si="38"/>
        <v>100</v>
      </c>
      <c r="Q165" s="129">
        <v>125.8</v>
      </c>
      <c r="R165" s="161">
        <v>122.566666666667</v>
      </c>
      <c r="S165" s="129"/>
      <c r="T165" s="115">
        <f t="shared" si="34"/>
        <v>125.8</v>
      </c>
      <c r="U165" s="25">
        <f t="shared" si="35"/>
        <v>125.8</v>
      </c>
      <c r="V165" s="135">
        <v>18.4586759312593</v>
      </c>
      <c r="W165" s="135">
        <v>27.793716175567599</v>
      </c>
      <c r="X165" s="135">
        <v>23.126196053413501</v>
      </c>
      <c r="Y165" s="135">
        <v>19.198945594024998</v>
      </c>
      <c r="Z165" s="27">
        <f t="shared" si="40"/>
        <v>130.36269430051814</v>
      </c>
      <c r="AA165" s="142">
        <f t="shared" si="41"/>
        <v>140.79170984455959</v>
      </c>
      <c r="AB165" s="143">
        <f t="shared" si="42"/>
        <v>129.7492227979275</v>
      </c>
      <c r="AC165" s="147">
        <v>1927</v>
      </c>
      <c r="AD165" s="148">
        <f t="shared" si="31"/>
        <v>20.649999999999995</v>
      </c>
      <c r="AE165" s="140">
        <f t="shared" si="44"/>
        <v>3.8940000000000001</v>
      </c>
      <c r="AF165" s="149">
        <f t="shared" si="32"/>
        <v>0</v>
      </c>
      <c r="AG165" s="149">
        <v>109.890927386214</v>
      </c>
      <c r="AH165" s="150">
        <v>119.422719869868</v>
      </c>
      <c r="AI165" s="151">
        <v>0.32361679555927803</v>
      </c>
      <c r="AJ165" s="151">
        <v>112.983354841888</v>
      </c>
      <c r="AK165" s="151">
        <v>127.171081646229</v>
      </c>
      <c r="AL165" s="151"/>
      <c r="AM165" s="151"/>
      <c r="AN165" s="150"/>
      <c r="AO165" s="150"/>
      <c r="AP165" s="150"/>
      <c r="AQ165" s="150"/>
      <c r="AR165" s="150"/>
      <c r="AS165" s="150"/>
      <c r="AT165" s="152">
        <v>-3.1562740569668998E-2</v>
      </c>
      <c r="AU165" s="152">
        <v>-5.4437936130720802E-2</v>
      </c>
      <c r="AV165" s="152">
        <v>-4.49438202247191E-2</v>
      </c>
      <c r="AW165" s="152">
        <v>-3.1816344019589202E-2</v>
      </c>
      <c r="AX165" s="150"/>
    </row>
    <row r="166" spans="1:50">
      <c r="A166">
        <v>1928</v>
      </c>
      <c r="B166" s="9"/>
      <c r="C166" s="205">
        <v>17.13</v>
      </c>
      <c r="D166" s="205">
        <f t="shared" si="43"/>
        <v>13.02114135515435</v>
      </c>
      <c r="E166" s="144">
        <v>20.67</v>
      </c>
      <c r="F166" s="132">
        <f t="shared" si="37"/>
        <v>99.999999999999986</v>
      </c>
      <c r="G166" s="126">
        <f t="shared" si="36"/>
        <v>102.57485029940121</v>
      </c>
      <c r="H166" s="15">
        <v>112.1</v>
      </c>
      <c r="I166" s="159"/>
      <c r="J166" s="25">
        <f t="shared" si="33"/>
        <v>112.10000000000002</v>
      </c>
      <c r="K166" s="145">
        <v>4.25</v>
      </c>
      <c r="L166" s="144"/>
      <c r="M166" s="146">
        <v>4.87</v>
      </c>
      <c r="N166" s="144"/>
      <c r="O166" s="133">
        <f t="shared" si="39"/>
        <v>4.25</v>
      </c>
      <c r="P166" s="134">
        <f t="shared" si="38"/>
        <v>100</v>
      </c>
      <c r="Q166" s="129">
        <v>123.7</v>
      </c>
      <c r="R166" s="161">
        <v>120.64166666666701</v>
      </c>
      <c r="S166" s="129"/>
      <c r="T166" s="115">
        <f t="shared" si="34"/>
        <v>123.7</v>
      </c>
      <c r="U166" s="25">
        <f t="shared" si="35"/>
        <v>123.7</v>
      </c>
      <c r="V166" s="135">
        <v>20.026607146543501</v>
      </c>
      <c r="W166" s="135">
        <v>25.227889105666399</v>
      </c>
      <c r="X166" s="135">
        <v>22.627248126104899</v>
      </c>
      <c r="Y166" s="135">
        <v>12.072351212435599</v>
      </c>
      <c r="Z166" s="27">
        <f t="shared" si="40"/>
        <v>128.18652849740931</v>
      </c>
      <c r="AA166" s="142">
        <f t="shared" si="41"/>
        <v>138.72630972941852</v>
      </c>
      <c r="AB166" s="143">
        <f t="shared" si="42"/>
        <v>127.58329777506859</v>
      </c>
      <c r="AC166" s="147">
        <v>1928</v>
      </c>
      <c r="AD166" s="148">
        <f>$AD$168*F166/100</f>
        <v>20.649999999999995</v>
      </c>
      <c r="AE166" s="140">
        <f t="shared" si="44"/>
        <v>3.8940000000000001</v>
      </c>
      <c r="AF166" s="149">
        <f t="shared" ref="AF166:AF229" si="45">(J166*F166/100)-H166</f>
        <v>0</v>
      </c>
      <c r="AG166" s="149">
        <v>104.406272292175</v>
      </c>
      <c r="AH166" s="150">
        <v>111.32287785251199</v>
      </c>
      <c r="AI166" s="151">
        <v>0.30782825678646197</v>
      </c>
      <c r="AJ166" s="151">
        <v>110.31301286594</v>
      </c>
      <c r="AK166" s="151">
        <v>121.05537595933799</v>
      </c>
      <c r="AL166" s="151"/>
      <c r="AM166" s="151"/>
      <c r="AN166" s="150"/>
      <c r="AO166" s="150"/>
      <c r="AP166" s="150"/>
      <c r="AQ166" s="150"/>
      <c r="AR166" s="150"/>
      <c r="AS166" s="150"/>
      <c r="AT166" s="152">
        <v>-1.6693163751987199E-2</v>
      </c>
      <c r="AU166" s="152">
        <v>-5.6657625797967501E-2</v>
      </c>
      <c r="AV166" s="152">
        <v>1.44796380090497E-2</v>
      </c>
      <c r="AW166" s="152">
        <v>-3.51159907371675E-2</v>
      </c>
      <c r="AX166" s="150"/>
    </row>
    <row r="167" spans="1:50">
      <c r="A167">
        <v>1929</v>
      </c>
      <c r="B167" s="9"/>
      <c r="C167" s="205">
        <v>17.13</v>
      </c>
      <c r="D167" s="205">
        <f t="shared" si="43"/>
        <v>13.02114135515435</v>
      </c>
      <c r="E167" s="144">
        <v>20.67</v>
      </c>
      <c r="F167" s="132">
        <f t="shared" si="37"/>
        <v>99.999999999999986</v>
      </c>
      <c r="G167" s="126">
        <f t="shared" si="36"/>
        <v>102.57485029940121</v>
      </c>
      <c r="H167" s="15">
        <v>110.1</v>
      </c>
      <c r="I167" s="159"/>
      <c r="J167" s="25">
        <f t="shared" si="33"/>
        <v>110.10000000000002</v>
      </c>
      <c r="K167" s="145">
        <v>4.25</v>
      </c>
      <c r="L167" s="144"/>
      <c r="M167" s="146">
        <v>4.8600000000000003</v>
      </c>
      <c r="N167" s="144"/>
      <c r="O167" s="133">
        <f t="shared" si="39"/>
        <v>4.25</v>
      </c>
      <c r="P167" s="134">
        <f t="shared" si="38"/>
        <v>100</v>
      </c>
      <c r="Q167" s="129">
        <v>118.8</v>
      </c>
      <c r="R167" s="161">
        <v>114.175</v>
      </c>
      <c r="S167" s="129"/>
      <c r="T167" s="115">
        <f t="shared" si="34"/>
        <v>118.8</v>
      </c>
      <c r="U167" s="25">
        <f t="shared" si="35"/>
        <v>118.8</v>
      </c>
      <c r="V167" s="135">
        <v>18.0055744303037</v>
      </c>
      <c r="W167" s="135">
        <v>19.8595082067148</v>
      </c>
      <c r="X167" s="135">
        <v>18.932541318509202</v>
      </c>
      <c r="Y167" s="135">
        <v>4.4494133655252597</v>
      </c>
      <c r="Z167" s="27">
        <f t="shared" si="40"/>
        <v>123.10880829015544</v>
      </c>
      <c r="AA167" s="142">
        <f t="shared" si="41"/>
        <v>132.95751295336788</v>
      </c>
      <c r="AB167" s="143">
        <f t="shared" si="42"/>
        <v>122.5294727217312</v>
      </c>
      <c r="AC167" s="147">
        <v>1929</v>
      </c>
      <c r="AD167" s="148">
        <f>$AD$168*F167/100</f>
        <v>20.649999999999995</v>
      </c>
      <c r="AE167" s="140">
        <f t="shared" si="44"/>
        <v>3.8940000000000001</v>
      </c>
      <c r="AF167" s="149">
        <f t="shared" si="45"/>
        <v>0</v>
      </c>
      <c r="AG167" s="149">
        <v>98.398276036881796</v>
      </c>
      <c r="AH167" s="150">
        <v>102.74473583277801</v>
      </c>
      <c r="AI167" s="151">
        <v>0.214073670775805</v>
      </c>
      <c r="AJ167" s="151">
        <v>105.288270104112</v>
      </c>
      <c r="AK167" s="151">
        <v>111.015644999907</v>
      </c>
      <c r="AL167" s="155">
        <v>115</v>
      </c>
      <c r="AM167" s="155">
        <v>106</v>
      </c>
      <c r="AN167" s="150"/>
      <c r="AO167" s="150"/>
      <c r="AP167" s="150"/>
      <c r="AQ167" s="150"/>
      <c r="AR167" s="150"/>
      <c r="AS167" s="150"/>
      <c r="AT167" s="152">
        <v>-3.9611964430072803E-2</v>
      </c>
      <c r="AU167" s="152">
        <v>-5.6112416277878101E-2</v>
      </c>
      <c r="AV167" s="152">
        <v>-1.7841213202497701E-2</v>
      </c>
      <c r="AW167" s="152">
        <v>-3.6682139448039802E-2</v>
      </c>
      <c r="AX167" s="150"/>
    </row>
    <row r="168" spans="1:50">
      <c r="A168">
        <v>1930</v>
      </c>
      <c r="B168" s="9"/>
      <c r="C168" s="205">
        <v>16.7</v>
      </c>
      <c r="D168" s="205">
        <f t="shared" si="43"/>
        <v>12.694282582082758</v>
      </c>
      <c r="E168" s="144">
        <v>20.67</v>
      </c>
      <c r="F168" s="132">
        <f t="shared" si="37"/>
        <v>99.999999999999986</v>
      </c>
      <c r="G168" s="126">
        <f t="shared" si="36"/>
        <v>100</v>
      </c>
      <c r="H168" s="15">
        <v>100</v>
      </c>
      <c r="I168" s="159"/>
      <c r="J168" s="25">
        <f t="shared" si="33"/>
        <v>100.00000000000001</v>
      </c>
      <c r="K168" s="145">
        <v>4.25</v>
      </c>
      <c r="L168" s="144"/>
      <c r="M168" s="146">
        <v>4.8600000000000003</v>
      </c>
      <c r="N168" s="144"/>
      <c r="O168" s="133">
        <f t="shared" si="39"/>
        <v>4.25</v>
      </c>
      <c r="P168" s="134">
        <f t="shared" si="38"/>
        <v>100</v>
      </c>
      <c r="Q168" s="129">
        <v>100</v>
      </c>
      <c r="R168" s="161">
        <v>96.15</v>
      </c>
      <c r="S168" s="129"/>
      <c r="T168" s="115">
        <f t="shared" si="34"/>
        <v>100</v>
      </c>
      <c r="U168" s="25">
        <f t="shared" si="35"/>
        <v>100</v>
      </c>
      <c r="V168" s="135">
        <v>7.8958600765775797</v>
      </c>
      <c r="W168" s="135">
        <v>0.58936553654302803</v>
      </c>
      <c r="X168" s="135">
        <v>4.2426128065602997</v>
      </c>
      <c r="Y168" s="135">
        <v>-3.4698035973061598</v>
      </c>
      <c r="Z168" s="27">
        <f t="shared" si="40"/>
        <v>103.62694300518135</v>
      </c>
      <c r="AA168" s="142">
        <f t="shared" si="41"/>
        <v>111.91709844559585</v>
      </c>
      <c r="AB168" s="143">
        <f t="shared" si="42"/>
        <v>103.13928680280405</v>
      </c>
      <c r="AC168" s="147">
        <v>1930</v>
      </c>
      <c r="AD168" s="25">
        <v>20.65</v>
      </c>
      <c r="AE168" s="15">
        <v>3.8940000000000001</v>
      </c>
      <c r="AF168" s="149">
        <f t="shared" si="45"/>
        <v>0</v>
      </c>
      <c r="AG168" s="149">
        <v>91.983307217169596</v>
      </c>
      <c r="AH168" s="150">
        <v>93.952967910478904</v>
      </c>
      <c r="AI168" s="151">
        <v>4.6006517634157501E-2</v>
      </c>
      <c r="AJ168" s="151">
        <v>97.343512725726598</v>
      </c>
      <c r="AK168" s="151">
        <v>96.9009978178685</v>
      </c>
      <c r="AL168" s="155"/>
      <c r="AM168" s="155"/>
      <c r="AN168" s="150"/>
      <c r="AO168" s="150"/>
      <c r="AP168" s="150"/>
      <c r="AQ168" s="150"/>
      <c r="AR168" s="150"/>
      <c r="AS168" s="150"/>
      <c r="AT168" s="152">
        <v>-0.158249158249158</v>
      </c>
      <c r="AU168" s="152">
        <v>-5.2164063171398399E-2</v>
      </c>
      <c r="AV168" s="152">
        <v>-9.1734786557674794E-2</v>
      </c>
      <c r="AW168" s="152">
        <v>-3.5900326943272901E-2</v>
      </c>
      <c r="AX168" s="150"/>
    </row>
    <row r="169" spans="1:50">
      <c r="A169">
        <v>1931</v>
      </c>
      <c r="B169" s="9"/>
      <c r="C169" s="205">
        <v>15.23</v>
      </c>
      <c r="D169" s="205">
        <f t="shared" si="43"/>
        <v>11.576881660186851</v>
      </c>
      <c r="E169" s="144">
        <v>20.67</v>
      </c>
      <c r="F169" s="132">
        <f t="shared" si="37"/>
        <v>99.999999999999986</v>
      </c>
      <c r="G169" s="126">
        <f t="shared" si="36"/>
        <v>91.197604790419163</v>
      </c>
      <c r="H169" s="15">
        <v>84.3</v>
      </c>
      <c r="I169" s="159"/>
      <c r="J169" s="25">
        <f t="shared" si="33"/>
        <v>84.300000000000011</v>
      </c>
      <c r="K169" s="145">
        <v>4.63</v>
      </c>
      <c r="L169" s="144"/>
      <c r="M169" s="146">
        <v>4.54</v>
      </c>
      <c r="N169" s="144"/>
      <c r="O169" s="133">
        <f t="shared" si="39"/>
        <v>4.63</v>
      </c>
      <c r="P169" s="134">
        <f t="shared" si="38"/>
        <v>108.94117647058823</v>
      </c>
      <c r="Q169" s="129">
        <v>85.6</v>
      </c>
      <c r="R169" s="161">
        <v>83.05</v>
      </c>
      <c r="S169" s="129"/>
      <c r="T169" s="115">
        <f t="shared" si="34"/>
        <v>85.6</v>
      </c>
      <c r="U169" s="25">
        <f t="shared" si="35"/>
        <v>78.574514038876899</v>
      </c>
      <c r="V169" s="135">
        <v>-7.8022536205972104</v>
      </c>
      <c r="W169" s="135">
        <v>-21.311727686495701</v>
      </c>
      <c r="X169" s="135">
        <v>-14.5569906535464</v>
      </c>
      <c r="Y169" s="135">
        <v>-11.3404040471288</v>
      </c>
      <c r="Z169" s="27">
        <f t="shared" si="40"/>
        <v>88.704663212435236</v>
      </c>
      <c r="AA169" s="142">
        <f t="shared" si="41"/>
        <v>89.49314910765689</v>
      </c>
      <c r="AB169" s="143">
        <f t="shared" si="42"/>
        <v>81.041193388466766</v>
      </c>
      <c r="AC169" s="147">
        <v>1931</v>
      </c>
      <c r="AD169" s="148">
        <f>$AD$168*F169/100</f>
        <v>20.649999999999995</v>
      </c>
      <c r="AE169" s="140">
        <f t="shared" si="44"/>
        <v>4.2421694117647055</v>
      </c>
      <c r="AF169" s="149">
        <f t="shared" si="45"/>
        <v>0</v>
      </c>
      <c r="AG169" s="149">
        <v>85.394751669505894</v>
      </c>
      <c r="AH169" s="150">
        <v>85.374000827096296</v>
      </c>
      <c r="AI169" s="151">
        <v>-6.3910776664890506E-2</v>
      </c>
      <c r="AJ169" s="151">
        <v>87.517036865400001</v>
      </c>
      <c r="AK169" s="151">
        <v>81.195328463186598</v>
      </c>
      <c r="AL169" s="155"/>
      <c r="AM169" s="155"/>
      <c r="AN169" s="150"/>
      <c r="AO169" s="150"/>
      <c r="AP169" s="150"/>
      <c r="AQ169" s="150"/>
      <c r="AR169" s="150"/>
      <c r="AS169" s="150"/>
      <c r="AT169" s="152">
        <v>-0.14399999999999999</v>
      </c>
      <c r="AU169" s="152">
        <v>-4.4009317560995902E-2</v>
      </c>
      <c r="AV169" s="152">
        <v>-0.157</v>
      </c>
      <c r="AW169" s="152">
        <v>-3.1967680751477899E-2</v>
      </c>
      <c r="AX169" s="150"/>
    </row>
    <row r="170" spans="1:50">
      <c r="A170">
        <v>1932</v>
      </c>
      <c r="B170" s="9"/>
      <c r="C170" s="205">
        <v>13.66</v>
      </c>
      <c r="D170" s="205">
        <f t="shared" si="43"/>
        <v>10.383467070134758</v>
      </c>
      <c r="E170" s="144">
        <v>20.67</v>
      </c>
      <c r="F170" s="132">
        <f t="shared" si="37"/>
        <v>99.999999999999986</v>
      </c>
      <c r="G170" s="126">
        <f t="shared" si="36"/>
        <v>81.796407185628752</v>
      </c>
      <c r="H170" s="15">
        <v>75.3</v>
      </c>
      <c r="I170" s="159"/>
      <c r="J170" s="25">
        <f t="shared" si="33"/>
        <v>75.300000000000011</v>
      </c>
      <c r="K170" s="145">
        <v>5.9</v>
      </c>
      <c r="L170" s="144"/>
      <c r="M170" s="146">
        <v>3.51</v>
      </c>
      <c r="N170" s="144"/>
      <c r="O170" s="133">
        <f t="shared" si="39"/>
        <v>5.9</v>
      </c>
      <c r="P170" s="134">
        <f t="shared" si="38"/>
        <v>138.8235294117647</v>
      </c>
      <c r="Q170" s="129">
        <v>82.5</v>
      </c>
      <c r="R170" s="161">
        <v>80.716666666666697</v>
      </c>
      <c r="S170" s="129"/>
      <c r="T170" s="115">
        <f t="shared" si="34"/>
        <v>82.5</v>
      </c>
      <c r="U170" s="25">
        <f t="shared" si="35"/>
        <v>59.427966101694921</v>
      </c>
      <c r="V170" s="135">
        <v>-16.788484367183099</v>
      </c>
      <c r="W170" s="135">
        <v>-40.922941083524201</v>
      </c>
      <c r="X170" s="135">
        <v>-28.855712725353602</v>
      </c>
      <c r="Y170" s="135">
        <v>-18.740368190974301</v>
      </c>
      <c r="Z170" s="27">
        <f t="shared" si="40"/>
        <v>85.492227979274617</v>
      </c>
      <c r="AA170" s="142">
        <f t="shared" si="41"/>
        <v>66.683937823834199</v>
      </c>
      <c r="AB170" s="143">
        <f t="shared" si="42"/>
        <v>61.293580398700293</v>
      </c>
      <c r="AC170" s="147">
        <v>1932</v>
      </c>
      <c r="AD170" s="148">
        <f t="shared" ref="AD170:AD213" si="46">$AD$168*F170/100</f>
        <v>20.649999999999995</v>
      </c>
      <c r="AE170" s="140">
        <f t="shared" si="44"/>
        <v>5.4057882352941169</v>
      </c>
      <c r="AF170" s="149">
        <f t="shared" si="45"/>
        <v>0</v>
      </c>
      <c r="AG170" s="149">
        <v>78.946162158186297</v>
      </c>
      <c r="AH170" s="150">
        <v>77.494731645008997</v>
      </c>
      <c r="AI170" s="151">
        <v>-4.87753728554128E-2</v>
      </c>
      <c r="AJ170" s="151">
        <v>77.732634415841602</v>
      </c>
      <c r="AK170" s="151">
        <v>67.415531713202199</v>
      </c>
      <c r="AL170" s="155"/>
      <c r="AM170" s="155"/>
      <c r="AN170" s="150"/>
      <c r="AO170" s="150"/>
      <c r="AP170" s="150"/>
      <c r="AQ170" s="150"/>
      <c r="AR170" s="150"/>
      <c r="AS170" s="150"/>
      <c r="AT170" s="152">
        <v>-3.6214953271027903E-2</v>
      </c>
      <c r="AU170" s="152">
        <v>-3.1905781479915699E-2</v>
      </c>
      <c r="AV170" s="152">
        <v>-0.10676156583629801</v>
      </c>
      <c r="AW170" s="152">
        <v>-2.4639672997410302E-2</v>
      </c>
      <c r="AX170" s="150"/>
    </row>
    <row r="171" spans="1:50">
      <c r="A171">
        <v>1933</v>
      </c>
      <c r="B171" s="9"/>
      <c r="C171" s="205">
        <v>12.96</v>
      </c>
      <c r="D171" s="205">
        <f t="shared" si="43"/>
        <v>9.8513713930414699</v>
      </c>
      <c r="E171" s="144">
        <v>24.44</v>
      </c>
      <c r="F171" s="132">
        <f t="shared" si="37"/>
        <v>118.23899371069182</v>
      </c>
      <c r="G171" s="126">
        <f t="shared" si="36"/>
        <v>77.604790419161674</v>
      </c>
      <c r="H171" s="15">
        <v>76.2</v>
      </c>
      <c r="I171" s="159"/>
      <c r="J171" s="25">
        <f t="shared" si="33"/>
        <v>64.445744680851064</v>
      </c>
      <c r="K171" s="145">
        <v>6.24</v>
      </c>
      <c r="L171" s="144"/>
      <c r="M171" s="146">
        <v>4.24</v>
      </c>
      <c r="N171" s="144"/>
      <c r="O171" s="133">
        <f t="shared" si="39"/>
        <v>6.24</v>
      </c>
      <c r="P171" s="134">
        <f t="shared" si="38"/>
        <v>146.8235294117647</v>
      </c>
      <c r="Q171" s="129">
        <v>81.400000000000006</v>
      </c>
      <c r="R171" s="161">
        <v>79.658333333333303</v>
      </c>
      <c r="S171" s="129"/>
      <c r="T171" s="115">
        <f t="shared" si="34"/>
        <v>81.400000000000006</v>
      </c>
      <c r="U171" s="25">
        <f t="shared" si="35"/>
        <v>55.440705128205138</v>
      </c>
      <c r="V171" s="135">
        <v>-27.612549869142299</v>
      </c>
      <c r="W171" s="135">
        <v>-45.383425115144199</v>
      </c>
      <c r="X171" s="135">
        <v>-36.497987492143302</v>
      </c>
      <c r="Y171" s="135">
        <v>-25.2798421019383</v>
      </c>
      <c r="Z171" s="27">
        <f t="shared" si="40"/>
        <v>84.352331606217632</v>
      </c>
      <c r="AA171" s="142">
        <f t="shared" si="41"/>
        <v>79.478641335636169</v>
      </c>
      <c r="AB171" s="143">
        <f t="shared" si="42"/>
        <v>57.181147867676387</v>
      </c>
      <c r="AC171" s="147">
        <v>1933</v>
      </c>
      <c r="AD171" s="148">
        <f t="shared" si="46"/>
        <v>24.416352201257858</v>
      </c>
      <c r="AE171" s="140">
        <f t="shared" si="44"/>
        <v>5.7173082352941176</v>
      </c>
      <c r="AF171" s="149">
        <f t="shared" si="45"/>
        <v>0</v>
      </c>
      <c r="AG171" s="149">
        <v>72.940143930811402</v>
      </c>
      <c r="AH171" s="150">
        <v>70.735117418324606</v>
      </c>
      <c r="AI171" s="151">
        <v>-0.44501796430724</v>
      </c>
      <c r="AJ171" s="151">
        <v>68.841751647959896</v>
      </c>
      <c r="AK171" s="151">
        <v>58.240059524194002</v>
      </c>
      <c r="AL171" s="155"/>
      <c r="AM171" s="155"/>
      <c r="AN171" s="150"/>
      <c r="AO171" s="150"/>
      <c r="AP171" s="150"/>
      <c r="AQ171" s="150"/>
      <c r="AR171" s="150"/>
      <c r="AS171" s="150"/>
      <c r="AT171" s="152">
        <v>-1.3333333333333201E-2</v>
      </c>
      <c r="AU171" s="152">
        <v>-1.7110963785793201E-2</v>
      </c>
      <c r="AV171" s="152">
        <v>1.1952191235059801E-2</v>
      </c>
      <c r="AW171" s="152">
        <v>-1.49220989983105E-2</v>
      </c>
      <c r="AX171" s="150"/>
    </row>
    <row r="172" spans="1:50">
      <c r="A172">
        <v>1934</v>
      </c>
      <c r="B172" s="9"/>
      <c r="C172" s="205">
        <v>13.39</v>
      </c>
      <c r="D172" s="205">
        <f t="shared" si="43"/>
        <v>10.178230166113062</v>
      </c>
      <c r="E172" s="144">
        <v>34.94</v>
      </c>
      <c r="F172" s="132">
        <f t="shared" si="37"/>
        <v>169.03725205611997</v>
      </c>
      <c r="G172" s="126">
        <f t="shared" si="36"/>
        <v>80.179640718562879</v>
      </c>
      <c r="H172" s="15">
        <v>86.5</v>
      </c>
      <c r="I172" s="159"/>
      <c r="J172" s="25">
        <f t="shared" si="33"/>
        <v>51.172152261018894</v>
      </c>
      <c r="K172" s="145">
        <v>6.88</v>
      </c>
      <c r="L172" s="144"/>
      <c r="M172" s="146">
        <v>5.04</v>
      </c>
      <c r="N172" s="144"/>
      <c r="O172" s="133">
        <f t="shared" si="39"/>
        <v>6.88</v>
      </c>
      <c r="P172" s="134">
        <f t="shared" si="38"/>
        <v>161.88235294117646</v>
      </c>
      <c r="Q172" s="129">
        <v>84.5</v>
      </c>
      <c r="R172" s="161">
        <v>81.900000000000006</v>
      </c>
      <c r="S172" s="129"/>
      <c r="T172" s="115">
        <f t="shared" si="34"/>
        <v>84.5</v>
      </c>
      <c r="U172" s="25">
        <f t="shared" si="35"/>
        <v>52.198401162790702</v>
      </c>
      <c r="V172" s="135">
        <v>-40.854167832437497</v>
      </c>
      <c r="W172" s="135">
        <v>-49.092311081432896</v>
      </c>
      <c r="X172" s="135">
        <v>-44.973239456935197</v>
      </c>
      <c r="Y172" s="135">
        <v>-30.670125298460299</v>
      </c>
      <c r="Z172" s="27">
        <f t="shared" si="40"/>
        <v>87.564766839378237</v>
      </c>
      <c r="AA172" s="142">
        <f t="shared" si="41"/>
        <v>98.072538860103634</v>
      </c>
      <c r="AB172" s="143">
        <f t="shared" si="42"/>
        <v>53.837058681768895</v>
      </c>
      <c r="AC172" s="147">
        <v>1934</v>
      </c>
      <c r="AD172" s="148">
        <f t="shared" si="46"/>
        <v>34.906192549588773</v>
      </c>
      <c r="AE172" s="140">
        <f t="shared" si="44"/>
        <v>6.3036988235294125</v>
      </c>
      <c r="AF172" s="149">
        <f t="shared" si="45"/>
        <v>0</v>
      </c>
      <c r="AG172" s="149">
        <v>67.642840613399798</v>
      </c>
      <c r="AH172" s="150">
        <v>65.334167884700307</v>
      </c>
      <c r="AI172" s="151">
        <v>-0.37293056639307398</v>
      </c>
      <c r="AJ172" s="151">
        <v>60.884956694049897</v>
      </c>
      <c r="AK172" s="151">
        <v>53.675519948040098</v>
      </c>
      <c r="AL172" s="155"/>
      <c r="AM172" s="155"/>
      <c r="AN172" s="150"/>
      <c r="AO172" s="150"/>
      <c r="AP172" s="150"/>
      <c r="AQ172" s="150"/>
      <c r="AR172" s="150"/>
      <c r="AS172" s="150"/>
      <c r="AT172" s="152">
        <v>3.8083538083538003E-2</v>
      </c>
      <c r="AU172" s="152">
        <v>-9.25465054174632E-4</v>
      </c>
      <c r="AV172" s="152">
        <v>0.13517060367454001</v>
      </c>
      <c r="AW172" s="152">
        <v>-4.6419729998080396E-3</v>
      </c>
      <c r="AX172" s="150"/>
    </row>
    <row r="173" spans="1:50">
      <c r="A173">
        <v>1935</v>
      </c>
      <c r="B173" s="9"/>
      <c r="C173" s="205">
        <v>13.73</v>
      </c>
      <c r="D173" s="205">
        <f t="shared" si="43"/>
        <v>10.436676637844087</v>
      </c>
      <c r="E173" s="144">
        <v>35</v>
      </c>
      <c r="F173" s="132">
        <f t="shared" si="37"/>
        <v>169.32752781809384</v>
      </c>
      <c r="G173" s="126">
        <f t="shared" si="36"/>
        <v>82.215568862275447</v>
      </c>
      <c r="H173" s="15">
        <v>92.6</v>
      </c>
      <c r="I173" s="159"/>
      <c r="J173" s="25">
        <f t="shared" si="33"/>
        <v>54.686914285714288</v>
      </c>
      <c r="K173" s="145">
        <v>7.11</v>
      </c>
      <c r="L173" s="144"/>
      <c r="M173" s="146">
        <v>4.9000000000000004</v>
      </c>
      <c r="N173" s="144"/>
      <c r="O173" s="133">
        <f t="shared" si="39"/>
        <v>7.11</v>
      </c>
      <c r="P173" s="134">
        <f t="shared" si="38"/>
        <v>167.29411764705881</v>
      </c>
      <c r="Q173" s="129">
        <v>86.6</v>
      </c>
      <c r="R173" s="161">
        <v>84.6</v>
      </c>
      <c r="S173" s="129"/>
      <c r="T173" s="115">
        <f t="shared" si="34"/>
        <v>86.6</v>
      </c>
      <c r="U173" s="25">
        <f t="shared" si="35"/>
        <v>51.765119549929679</v>
      </c>
      <c r="V173" s="135">
        <v>-37.283055963030797</v>
      </c>
      <c r="W173" s="135">
        <v>-49.988711121945101</v>
      </c>
      <c r="X173" s="135">
        <v>-43.635883542487903</v>
      </c>
      <c r="Y173" s="135">
        <v>-34.734698752881897</v>
      </c>
      <c r="Z173" s="27">
        <f t="shared" si="40"/>
        <v>89.740932642487053</v>
      </c>
      <c r="AA173" s="142">
        <f t="shared" si="41"/>
        <v>97.717904432930354</v>
      </c>
      <c r="AB173" s="143">
        <f t="shared" si="42"/>
        <v>53.390175116416358</v>
      </c>
      <c r="AC173" s="147">
        <v>1935</v>
      </c>
      <c r="AD173" s="148">
        <f t="shared" si="46"/>
        <v>34.966134494436375</v>
      </c>
      <c r="AE173" s="140">
        <f t="shared" si="44"/>
        <v>6.5144329411764703</v>
      </c>
      <c r="AF173" s="149">
        <f t="shared" si="45"/>
        <v>0</v>
      </c>
      <c r="AG173" s="149">
        <v>63.352994392662097</v>
      </c>
      <c r="AH173" s="150">
        <v>61.377641607610499</v>
      </c>
      <c r="AI173" s="151">
        <v>-0.359186764192574</v>
      </c>
      <c r="AJ173" s="151">
        <v>56.355567137086297</v>
      </c>
      <c r="AK173" s="151">
        <v>52.785167861887302</v>
      </c>
      <c r="AL173" s="155"/>
      <c r="AM173" s="155"/>
      <c r="AN173" s="150"/>
      <c r="AO173" s="150"/>
      <c r="AP173" s="150"/>
      <c r="AQ173" s="150"/>
      <c r="AR173" s="150"/>
      <c r="AS173" s="150"/>
      <c r="AT173" s="152">
        <v>2.4852071005916999E-2</v>
      </c>
      <c r="AU173" s="152">
        <v>1.5387890443918299E-2</v>
      </c>
      <c r="AV173" s="152">
        <v>7.05202312138727E-2</v>
      </c>
      <c r="AW173" s="152">
        <v>4.6424336548015303E-3</v>
      </c>
      <c r="AX173" s="150"/>
    </row>
    <row r="174" spans="1:50">
      <c r="A174">
        <v>1936</v>
      </c>
      <c r="B174" s="9"/>
      <c r="C174" s="205">
        <v>13.86</v>
      </c>
      <c r="D174" s="205">
        <f t="shared" si="43"/>
        <v>10.535494406447127</v>
      </c>
      <c r="E174" s="144">
        <v>35</v>
      </c>
      <c r="F174" s="132">
        <f t="shared" si="37"/>
        <v>169.32752781809384</v>
      </c>
      <c r="G174" s="126">
        <f t="shared" si="36"/>
        <v>82.994011976047901</v>
      </c>
      <c r="H174" s="15">
        <v>93.5</v>
      </c>
      <c r="I174" s="159"/>
      <c r="J174" s="25">
        <f t="shared" si="33"/>
        <v>55.218428571428575</v>
      </c>
      <c r="K174" s="145">
        <v>7.01</v>
      </c>
      <c r="L174" s="144"/>
      <c r="M174" s="146">
        <v>4.97</v>
      </c>
      <c r="N174" s="144"/>
      <c r="O174" s="133">
        <f t="shared" si="39"/>
        <v>7.01</v>
      </c>
      <c r="P174" s="134">
        <f t="shared" si="38"/>
        <v>164.94117647058823</v>
      </c>
      <c r="Q174" s="129">
        <v>91.8</v>
      </c>
      <c r="R174" s="161">
        <v>89.091666666666697</v>
      </c>
      <c r="S174" s="129"/>
      <c r="T174" s="115">
        <f t="shared" si="34"/>
        <v>91.8</v>
      </c>
      <c r="U174" s="25">
        <f t="shared" si="35"/>
        <v>55.656205420827391</v>
      </c>
      <c r="V174" s="135">
        <v>-36.688931966884603</v>
      </c>
      <c r="W174" s="135">
        <v>-46.561718215711799</v>
      </c>
      <c r="X174" s="135">
        <v>-41.625325091298201</v>
      </c>
      <c r="Y174" s="135">
        <v>-37.440074579129302</v>
      </c>
      <c r="Z174" s="27">
        <f t="shared" si="40"/>
        <v>95.129533678756474</v>
      </c>
      <c r="AA174" s="142">
        <f t="shared" si="41"/>
        <v>105.06528497409325</v>
      </c>
      <c r="AB174" s="143">
        <f t="shared" si="42"/>
        <v>57.403413332544929</v>
      </c>
      <c r="AC174" s="147">
        <v>1936</v>
      </c>
      <c r="AD174" s="148">
        <f t="shared" si="46"/>
        <v>34.966134494436375</v>
      </c>
      <c r="AE174" s="140">
        <f t="shared" si="44"/>
        <v>6.4228094117647059</v>
      </c>
      <c r="AF174" s="149">
        <f t="shared" si="45"/>
        <v>0</v>
      </c>
      <c r="AG174" s="149">
        <v>60.203819049175003</v>
      </c>
      <c r="AH174" s="150">
        <v>58.819855471682203</v>
      </c>
      <c r="AI174" s="151">
        <v>-0.28960706556501897</v>
      </c>
      <c r="AJ174" s="151">
        <v>54.481914995360498</v>
      </c>
      <c r="AK174" s="151">
        <v>54.137084826868701</v>
      </c>
      <c r="AL174" s="155"/>
      <c r="AM174" s="155"/>
      <c r="AN174" s="150"/>
      <c r="AO174" s="150"/>
      <c r="AP174" s="150"/>
      <c r="AQ174" s="150"/>
      <c r="AR174" s="150"/>
      <c r="AS174" s="150"/>
      <c r="AT174" s="152">
        <v>6.0046189376443397E-2</v>
      </c>
      <c r="AU174" s="152">
        <v>3.0956368468840999E-2</v>
      </c>
      <c r="AV174" s="152">
        <v>9.7192224622030792E-3</v>
      </c>
      <c r="AW174" s="152">
        <v>1.27709753889659E-2</v>
      </c>
      <c r="AX174" s="150"/>
    </row>
    <row r="175" spans="1:50">
      <c r="A175">
        <v>1937</v>
      </c>
      <c r="B175" s="9"/>
      <c r="C175" s="205">
        <v>14.36</v>
      </c>
      <c r="D175" s="205">
        <f t="shared" si="43"/>
        <v>10.915562747228048</v>
      </c>
      <c r="E175" s="144">
        <v>35</v>
      </c>
      <c r="F175" s="132">
        <f t="shared" si="37"/>
        <v>169.32752781809384</v>
      </c>
      <c r="G175" s="126">
        <f t="shared" si="36"/>
        <v>85.988023952095816</v>
      </c>
      <c r="H175" s="15">
        <v>99.8</v>
      </c>
      <c r="I175" s="159"/>
      <c r="J175" s="25">
        <f t="shared" si="33"/>
        <v>58.93902857142858</v>
      </c>
      <c r="K175" s="145">
        <v>7.04</v>
      </c>
      <c r="L175" s="144"/>
      <c r="M175" s="146">
        <v>4.9400000000000004</v>
      </c>
      <c r="N175" s="144"/>
      <c r="O175" s="133">
        <f t="shared" si="39"/>
        <v>7.04</v>
      </c>
      <c r="P175" s="134">
        <f t="shared" si="38"/>
        <v>165.64705882352942</v>
      </c>
      <c r="Q175" s="129">
        <v>105.2</v>
      </c>
      <c r="R175" s="129">
        <v>102.75</v>
      </c>
      <c r="S175" s="129"/>
      <c r="T175" s="115">
        <f t="shared" si="34"/>
        <v>105.2</v>
      </c>
      <c r="U175" s="25">
        <f t="shared" si="35"/>
        <v>63.508522727272727</v>
      </c>
      <c r="V175" s="135">
        <v>-32.891513549961402</v>
      </c>
      <c r="W175" s="135">
        <v>-39.170406181242001</v>
      </c>
      <c r="X175" s="135">
        <v>-36.030959865601702</v>
      </c>
      <c r="Y175" s="135">
        <v>-38.841776739024901</v>
      </c>
      <c r="Z175" s="27">
        <f t="shared" si="40"/>
        <v>109.01554404145078</v>
      </c>
      <c r="AA175" s="142">
        <f t="shared" si="41"/>
        <v>119.67484168105932</v>
      </c>
      <c r="AB175" s="143">
        <f t="shared" si="42"/>
        <v>65.502237399905809</v>
      </c>
      <c r="AC175" s="147">
        <v>1937</v>
      </c>
      <c r="AD175" s="148">
        <f t="shared" si="46"/>
        <v>34.966134494436375</v>
      </c>
      <c r="AE175" s="140">
        <f t="shared" si="44"/>
        <v>6.4502964705882357</v>
      </c>
      <c r="AF175" s="149">
        <f t="shared" si="45"/>
        <v>0</v>
      </c>
      <c r="AG175" s="149">
        <v>58.241998419588498</v>
      </c>
      <c r="AH175" s="150">
        <v>57.519249945466498</v>
      </c>
      <c r="AI175" s="151">
        <v>-0.37949022419883199</v>
      </c>
      <c r="AJ175" s="151">
        <v>53.940476574801899</v>
      </c>
      <c r="AK175" s="151">
        <v>55.967629783488597</v>
      </c>
      <c r="AL175" s="155"/>
      <c r="AM175" s="155"/>
      <c r="AN175" s="150"/>
      <c r="AO175" s="150"/>
      <c r="AP175" s="150"/>
      <c r="AQ175" s="150"/>
      <c r="AR175" s="150"/>
      <c r="AS175" s="150"/>
      <c r="AT175" s="152">
        <v>0.14596949891067501</v>
      </c>
      <c r="AU175" s="152">
        <v>4.5001876586568901E-2</v>
      </c>
      <c r="AV175" s="152">
        <v>6.7379679144385002E-2</v>
      </c>
      <c r="AW175" s="152">
        <v>2.0242284601723601E-2</v>
      </c>
      <c r="AX175" s="150"/>
    </row>
    <row r="176" spans="1:50">
      <c r="A176">
        <v>1938</v>
      </c>
      <c r="B176" s="9"/>
      <c r="C176" s="205">
        <v>14.09</v>
      </c>
      <c r="D176" s="205">
        <f t="shared" si="43"/>
        <v>10.71032584320635</v>
      </c>
      <c r="E176" s="144">
        <v>35</v>
      </c>
      <c r="F176" s="132">
        <f t="shared" si="37"/>
        <v>169.32752781809384</v>
      </c>
      <c r="G176" s="126">
        <f t="shared" si="36"/>
        <v>84.371257485029943</v>
      </c>
      <c r="H176" s="15">
        <v>90.8</v>
      </c>
      <c r="I176" s="159"/>
      <c r="J176" s="25">
        <f t="shared" si="33"/>
        <v>53.62388571428572</v>
      </c>
      <c r="K176" s="145">
        <v>7.13</v>
      </c>
      <c r="L176" s="144"/>
      <c r="M176" s="146">
        <v>4.8899999999999997</v>
      </c>
      <c r="N176" s="144"/>
      <c r="O176" s="133">
        <f t="shared" si="39"/>
        <v>7.13</v>
      </c>
      <c r="P176" s="134">
        <f t="shared" si="38"/>
        <v>167.76470588235293</v>
      </c>
      <c r="Q176" s="129">
        <v>93.8</v>
      </c>
      <c r="R176" s="161">
        <v>91.4166666666667</v>
      </c>
      <c r="S176" s="162"/>
      <c r="T176" s="115">
        <f t="shared" si="34"/>
        <v>93.8</v>
      </c>
      <c r="U176" s="25">
        <f t="shared" si="35"/>
        <v>55.911640953716692</v>
      </c>
      <c r="V176" s="135">
        <v>-38.120518418223497</v>
      </c>
      <c r="W176" s="135">
        <v>-47.223829676521497</v>
      </c>
      <c r="X176" s="135">
        <v>-42.672174047372501</v>
      </c>
      <c r="Y176" s="135">
        <v>-39.037181699512701</v>
      </c>
      <c r="Z176" s="27">
        <f t="shared" si="40"/>
        <v>97.202072538860108</v>
      </c>
      <c r="AA176" s="142">
        <f t="shared" si="41"/>
        <v>105.62625215889464</v>
      </c>
      <c r="AB176" s="143">
        <f t="shared" si="42"/>
        <v>57.666867719407904</v>
      </c>
      <c r="AC176" s="147">
        <v>1938</v>
      </c>
      <c r="AD176" s="148">
        <f t="shared" si="46"/>
        <v>34.966134494436375</v>
      </c>
      <c r="AE176" s="140">
        <f t="shared" si="44"/>
        <v>6.5327576470588236</v>
      </c>
      <c r="AF176" s="149">
        <f t="shared" si="45"/>
        <v>0</v>
      </c>
      <c r="AG176" s="149">
        <v>57.464478150060799</v>
      </c>
      <c r="AH176" s="150">
        <v>57.302066942797701</v>
      </c>
      <c r="AI176" s="151">
        <v>-0.39216742586474601</v>
      </c>
      <c r="AJ176" s="151">
        <v>53.657089849553003</v>
      </c>
      <c r="AK176" s="151">
        <v>57.000800063294903</v>
      </c>
      <c r="AL176" s="155"/>
      <c r="AM176" s="155"/>
      <c r="AN176" s="150"/>
      <c r="AO176" s="150"/>
      <c r="AP176" s="150"/>
      <c r="AQ176" s="150"/>
      <c r="AR176" s="150"/>
      <c r="AS176" s="150"/>
      <c r="AT176" s="152">
        <v>-0.10836501901140599</v>
      </c>
      <c r="AU176" s="152">
        <v>5.7037220572153199E-2</v>
      </c>
      <c r="AV176" s="152">
        <v>-9.0180360721442795E-2</v>
      </c>
      <c r="AW176" s="152">
        <v>2.7524476162845601E-2</v>
      </c>
      <c r="AX176" s="150"/>
    </row>
    <row r="177" spans="1:50">
      <c r="A177">
        <v>1939</v>
      </c>
      <c r="B177" s="9"/>
      <c r="C177" s="205">
        <v>13.89</v>
      </c>
      <c r="D177" s="205">
        <f t="shared" si="43"/>
        <v>10.558298506893982</v>
      </c>
      <c r="E177" s="144">
        <v>35</v>
      </c>
      <c r="F177" s="132">
        <f t="shared" si="37"/>
        <v>169.32752781809384</v>
      </c>
      <c r="G177" s="126">
        <f t="shared" si="36"/>
        <v>83.17365269461078</v>
      </c>
      <c r="H177" s="15">
        <v>89.2</v>
      </c>
      <c r="I177" s="159"/>
      <c r="J177" s="25">
        <f t="shared" si="33"/>
        <v>52.67897142857143</v>
      </c>
      <c r="K177" s="145">
        <v>7.72</v>
      </c>
      <c r="L177" s="144"/>
      <c r="M177" s="146">
        <v>4.43</v>
      </c>
      <c r="N177" s="144"/>
      <c r="O177" s="133">
        <f t="shared" si="39"/>
        <v>7.72</v>
      </c>
      <c r="P177" s="134">
        <f t="shared" si="38"/>
        <v>181.64705882352942</v>
      </c>
      <c r="R177" s="163">
        <v>96.241666666666703</v>
      </c>
      <c r="T177" s="127">
        <f>T176*(R177/R176)</f>
        <v>98.750793072014588</v>
      </c>
      <c r="U177" s="25">
        <f t="shared" si="35"/>
        <v>54.364102403634973</v>
      </c>
      <c r="V177" s="135">
        <v>-38.955664277633304</v>
      </c>
      <c r="W177" s="135">
        <v>-49.221024199012597</v>
      </c>
      <c r="X177" s="135">
        <v>-44.088344238322897</v>
      </c>
      <c r="Y177" s="135">
        <v>-38.0955577588024</v>
      </c>
      <c r="Z177" s="27">
        <f t="shared" si="40"/>
        <v>102.33242805390113</v>
      </c>
      <c r="AA177" s="142">
        <f t="shared" si="41"/>
        <v>100.74059028417376</v>
      </c>
      <c r="AB177" s="143">
        <f t="shared" si="42"/>
        <v>56.070747495855159</v>
      </c>
      <c r="AC177" s="147">
        <v>1939</v>
      </c>
      <c r="AD177" s="148">
        <f t="shared" si="46"/>
        <v>34.966134494436375</v>
      </c>
      <c r="AE177" s="140">
        <f t="shared" si="44"/>
        <v>7.0733364705882353</v>
      </c>
      <c r="AF177" s="149">
        <f t="shared" si="45"/>
        <v>0</v>
      </c>
      <c r="AG177" s="149">
        <v>57.875283902554202</v>
      </c>
      <c r="AH177" s="150">
        <v>58.054655878055399</v>
      </c>
      <c r="AI177" s="151">
        <v>-0.36916452627485702</v>
      </c>
      <c r="AJ177" s="151">
        <v>54.227433935488897</v>
      </c>
      <c r="AK177" s="151">
        <v>58.481383070005997</v>
      </c>
      <c r="AL177" s="155">
        <v>58</v>
      </c>
      <c r="AM177" s="155">
        <v>54</v>
      </c>
      <c r="AN177" s="150"/>
      <c r="AO177" s="150"/>
      <c r="AP177" s="150"/>
      <c r="AQ177" s="150"/>
      <c r="AR177" s="150"/>
      <c r="AS177" s="150"/>
      <c r="AT177" s="152">
        <v>5.2782515991471199E-2</v>
      </c>
      <c r="AU177" s="152">
        <v>6.7584882423886494E-2</v>
      </c>
      <c r="AV177" s="152">
        <v>-1.7621145374449199E-2</v>
      </c>
      <c r="AW177" s="152">
        <v>3.5557038887529202E-2</v>
      </c>
      <c r="AX177" s="150"/>
    </row>
    <row r="178" spans="1:50">
      <c r="A178">
        <v>1940</v>
      </c>
      <c r="B178" s="9"/>
      <c r="C178" s="205">
        <v>14.03</v>
      </c>
      <c r="D178" s="205">
        <f t="shared" si="43"/>
        <v>10.66471764231264</v>
      </c>
      <c r="E178" s="144">
        <v>35</v>
      </c>
      <c r="F178" s="132">
        <f t="shared" si="37"/>
        <v>169.32752781809384</v>
      </c>
      <c r="G178" s="126">
        <f t="shared" si="36"/>
        <v>84.011976047904199</v>
      </c>
      <c r="H178" s="15">
        <v>90.8</v>
      </c>
      <c r="I178" s="159"/>
      <c r="J178" s="25">
        <f t="shared" si="33"/>
        <v>53.62388571428572</v>
      </c>
      <c r="K178" s="145">
        <v>8.4</v>
      </c>
      <c r="L178" s="144"/>
      <c r="M178" s="146">
        <v>3.83</v>
      </c>
      <c r="N178" s="144"/>
      <c r="O178" s="133">
        <f t="shared" si="39"/>
        <v>8.4</v>
      </c>
      <c r="P178" s="134">
        <f t="shared" si="38"/>
        <v>197.64705882352942</v>
      </c>
      <c r="R178" s="163">
        <v>128.96666666666701</v>
      </c>
      <c r="S178" s="162"/>
      <c r="T178" s="127">
        <f t="shared" ref="T178:T183" si="47">T177*(R178/R177)</f>
        <v>132.32896991795837</v>
      </c>
      <c r="U178" s="25">
        <f t="shared" si="35"/>
        <v>66.952157398967032</v>
      </c>
      <c r="V178" s="135">
        <v>-37.896668834153097</v>
      </c>
      <c r="W178" s="135">
        <v>-37.071006085654901</v>
      </c>
      <c r="X178" s="135">
        <v>-37.483837459904002</v>
      </c>
      <c r="Y178" s="135">
        <v>-36.122523138582402</v>
      </c>
      <c r="Z178" s="27">
        <f t="shared" si="40"/>
        <v>137.1284662362263</v>
      </c>
      <c r="AA178" s="142">
        <f t="shared" si="41"/>
        <v>116.71156126327706</v>
      </c>
      <c r="AB178" s="143">
        <f t="shared" si="42"/>
        <v>69.053977640385398</v>
      </c>
      <c r="AC178" s="147">
        <v>1940</v>
      </c>
      <c r="AD178" s="148">
        <f t="shared" si="46"/>
        <v>34.966134494436375</v>
      </c>
      <c r="AE178" s="140">
        <f t="shared" si="44"/>
        <v>7.6963764705882367</v>
      </c>
      <c r="AF178" s="149">
        <f t="shared" si="45"/>
        <v>0</v>
      </c>
      <c r="AG178" s="149">
        <v>59.440096557530502</v>
      </c>
      <c r="AH178" s="150">
        <v>59.650045496190998</v>
      </c>
      <c r="AI178" s="150"/>
      <c r="AJ178" s="150">
        <v>56.238157998633802</v>
      </c>
      <c r="AK178" s="150">
        <v>61.310566186241999</v>
      </c>
      <c r="AL178" s="150"/>
      <c r="AM178" s="150"/>
      <c r="AN178" s="150"/>
      <c r="AO178" s="150"/>
      <c r="AP178" s="150"/>
      <c r="AQ178" s="150"/>
      <c r="AR178" s="150"/>
      <c r="AS178" s="150"/>
      <c r="AT178" s="152">
        <v>0.340026936436086</v>
      </c>
      <c r="AU178" s="152">
        <v>7.5513321744225606E-2</v>
      </c>
      <c r="AV178" s="152">
        <v>1.79372197309416E-2</v>
      </c>
      <c r="AW178" s="152">
        <v>4.4102413222129197E-2</v>
      </c>
      <c r="AX178" s="150"/>
    </row>
    <row r="179" spans="1:50">
      <c r="A179">
        <v>1941</v>
      </c>
      <c r="B179" s="9"/>
      <c r="C179" s="205">
        <v>14.73</v>
      </c>
      <c r="D179" s="205">
        <f t="shared" si="43"/>
        <v>11.19681331940593</v>
      </c>
      <c r="E179" s="144">
        <v>35</v>
      </c>
      <c r="F179" s="132">
        <f t="shared" si="37"/>
        <v>169.32752781809384</v>
      </c>
      <c r="G179" s="126">
        <f t="shared" si="36"/>
        <v>88.203592814371262</v>
      </c>
      <c r="H179" s="15">
        <v>101.1</v>
      </c>
      <c r="I179" s="159"/>
      <c r="J179" s="25">
        <f t="shared" si="33"/>
        <v>59.706771428571436</v>
      </c>
      <c r="K179" s="145">
        <v>8.4</v>
      </c>
      <c r="L179" s="144"/>
      <c r="M179" s="146">
        <v>4.03</v>
      </c>
      <c r="N179" s="144"/>
      <c r="O179" s="133">
        <f t="shared" si="39"/>
        <v>8.4</v>
      </c>
      <c r="P179" s="134">
        <f t="shared" si="38"/>
        <v>197.64705882352942</v>
      </c>
      <c r="R179" s="163">
        <v>142.48333333333301</v>
      </c>
      <c r="S179" s="162"/>
      <c r="T179" s="127">
        <f t="shared" si="47"/>
        <v>146.19803099361857</v>
      </c>
      <c r="U179" s="25">
        <f t="shared" si="35"/>
        <v>73.969241871771302</v>
      </c>
      <c r="V179" s="135">
        <v>-31.673249793745399</v>
      </c>
      <c r="W179" s="135">
        <v>-30.482772512865001</v>
      </c>
      <c r="X179" s="135">
        <v>-31.078011153305201</v>
      </c>
      <c r="Y179" s="135">
        <v>-33.2836239253364</v>
      </c>
      <c r="Z179" s="27">
        <f t="shared" si="40"/>
        <v>151.50055025245447</v>
      </c>
      <c r="AA179" s="142">
        <f t="shared" si="41"/>
        <v>135.67715944830925</v>
      </c>
      <c r="AB179" s="143">
        <f t="shared" si="42"/>
        <v>76.291348519986016</v>
      </c>
      <c r="AC179" s="147">
        <v>1941</v>
      </c>
      <c r="AD179" s="148">
        <f t="shared" si="46"/>
        <v>34.966134494436375</v>
      </c>
      <c r="AE179" s="140">
        <f t="shared" si="44"/>
        <v>7.6963764705882367</v>
      </c>
      <c r="AF179" s="149">
        <f t="shared" si="45"/>
        <v>0</v>
      </c>
      <c r="AG179" s="149">
        <v>62.072744156425998</v>
      </c>
      <c r="AH179" s="150">
        <v>61.922117983375799</v>
      </c>
      <c r="AI179" s="150"/>
      <c r="AJ179" s="150">
        <v>59.763433226515197</v>
      </c>
      <c r="AK179" s="150">
        <v>64.942409104621007</v>
      </c>
      <c r="AL179" s="150"/>
      <c r="AM179" s="150"/>
      <c r="AN179" s="150"/>
      <c r="AO179" s="150"/>
      <c r="AP179" s="150"/>
      <c r="AQ179" s="150"/>
      <c r="AR179" s="150"/>
      <c r="AS179" s="150"/>
      <c r="AT179" s="152">
        <v>0.104806958414255</v>
      </c>
      <c r="AU179" s="152">
        <v>7.9542974471303096E-2</v>
      </c>
      <c r="AV179" s="152">
        <v>0.113436123348017</v>
      </c>
      <c r="AW179" s="152">
        <v>5.2391257770380201E-2</v>
      </c>
      <c r="AX179" s="150"/>
    </row>
    <row r="180" spans="1:50">
      <c r="A180">
        <v>1942</v>
      </c>
      <c r="B180" s="9"/>
      <c r="C180" s="205">
        <v>16.3</v>
      </c>
      <c r="D180" s="205">
        <f t="shared" si="43"/>
        <v>12.390227909458021</v>
      </c>
      <c r="E180" s="144">
        <v>35</v>
      </c>
      <c r="F180" s="132">
        <f t="shared" si="37"/>
        <v>169.32752781809384</v>
      </c>
      <c r="G180" s="126">
        <f t="shared" si="36"/>
        <v>97.604790419161674</v>
      </c>
      <c r="H180" s="15">
        <v>114.1</v>
      </c>
      <c r="I180" s="159"/>
      <c r="J180" s="25">
        <f t="shared" si="33"/>
        <v>67.384200000000007</v>
      </c>
      <c r="K180" s="145">
        <v>8.4</v>
      </c>
      <c r="L180" s="144"/>
      <c r="M180" s="146">
        <v>4.04</v>
      </c>
      <c r="N180" s="144"/>
      <c r="O180" s="133">
        <f t="shared" si="39"/>
        <v>8.4</v>
      </c>
      <c r="P180" s="134">
        <f t="shared" si="38"/>
        <v>197.64705882352942</v>
      </c>
      <c r="R180" s="163">
        <v>152</v>
      </c>
      <c r="S180" s="162"/>
      <c r="T180" s="127">
        <f t="shared" si="47"/>
        <v>155.96280765724697</v>
      </c>
      <c r="U180" s="25">
        <f t="shared" si="35"/>
        <v>78.909753874202337</v>
      </c>
      <c r="V180" s="135">
        <v>-23.855124862372499</v>
      </c>
      <c r="W180" s="135">
        <v>-25.965301496536</v>
      </c>
      <c r="X180" s="135">
        <v>-24.910213179454299</v>
      </c>
      <c r="Y180" s="135">
        <v>-29.758019348761099</v>
      </c>
      <c r="Z180" s="27">
        <f t="shared" si="40"/>
        <v>161.61948980025593</v>
      </c>
      <c r="AA180" s="142">
        <f t="shared" si="41"/>
        <v>145.09838639845199</v>
      </c>
      <c r="AB180" s="143">
        <f t="shared" si="42"/>
        <v>81.386957363700319</v>
      </c>
      <c r="AC180" s="147">
        <v>1942</v>
      </c>
      <c r="AD180" s="148">
        <f t="shared" si="46"/>
        <v>34.966134494436375</v>
      </c>
      <c r="AE180" s="140">
        <f t="shared" si="44"/>
        <v>7.6963764705882367</v>
      </c>
      <c r="AF180" s="149">
        <f t="shared" si="45"/>
        <v>0</v>
      </c>
      <c r="AG180" s="149">
        <v>65.628953775101394</v>
      </c>
      <c r="AH180" s="150">
        <v>64.707855070818695</v>
      </c>
      <c r="AI180" s="150"/>
      <c r="AJ180" s="150">
        <v>64.008044807116605</v>
      </c>
      <c r="AK180" s="150">
        <v>68.380782789013594</v>
      </c>
      <c r="AL180" s="150"/>
      <c r="AM180" s="150"/>
      <c r="AN180" s="150"/>
      <c r="AO180" s="150"/>
      <c r="AP180" s="150"/>
      <c r="AQ180" s="150"/>
      <c r="AR180" s="150"/>
      <c r="AS180" s="150"/>
      <c r="AT180" s="152">
        <v>6.6792979384122805E-2</v>
      </c>
      <c r="AU180" s="152">
        <v>8.1039412690170495E-2</v>
      </c>
      <c r="AV180" s="152">
        <v>0.12858555885262099</v>
      </c>
      <c r="AW180" s="152">
        <v>5.93925792011053E-2</v>
      </c>
      <c r="AX180" s="150"/>
    </row>
    <row r="181" spans="1:50">
      <c r="A181">
        <v>1943</v>
      </c>
      <c r="B181" s="9"/>
      <c r="C181" s="205">
        <v>17.3</v>
      </c>
      <c r="D181" s="205">
        <f t="shared" si="43"/>
        <v>13.150364591019862</v>
      </c>
      <c r="E181" s="144">
        <v>35</v>
      </c>
      <c r="F181" s="132">
        <f t="shared" si="37"/>
        <v>169.32752781809384</v>
      </c>
      <c r="G181" s="126">
        <f t="shared" si="36"/>
        <v>103.59281437125749</v>
      </c>
      <c r="H181" s="15">
        <v>120.2</v>
      </c>
      <c r="I181" s="159"/>
      <c r="J181" s="25">
        <f t="shared" si="33"/>
        <v>70.986685714285727</v>
      </c>
      <c r="K181" s="145">
        <v>8.4</v>
      </c>
      <c r="L181" s="144"/>
      <c r="M181" s="146">
        <v>4.04</v>
      </c>
      <c r="N181" s="144"/>
      <c r="O181" s="133">
        <f t="shared" si="39"/>
        <v>8.4</v>
      </c>
      <c r="P181" s="134">
        <f t="shared" si="38"/>
        <v>197.64705882352942</v>
      </c>
      <c r="R181" s="163">
        <v>154.40833333333299</v>
      </c>
      <c r="S181" s="162"/>
      <c r="T181" s="127">
        <f t="shared" si="47"/>
        <v>158.43392889699138</v>
      </c>
      <c r="U181" s="25">
        <f t="shared" si="35"/>
        <v>80.160023549073017</v>
      </c>
      <c r="V181" s="135">
        <v>-20.082011745996802</v>
      </c>
      <c r="W181" s="135">
        <v>-25.1275518920393</v>
      </c>
      <c r="X181" s="135">
        <v>-22.604781819018001</v>
      </c>
      <c r="Y181" s="135">
        <v>-25.702812510833201</v>
      </c>
      <c r="Z181" s="27">
        <f t="shared" si="40"/>
        <v>164.18023719895481</v>
      </c>
      <c r="AA181" s="142">
        <f t="shared" si="41"/>
        <v>147.39736850750609</v>
      </c>
      <c r="AB181" s="143">
        <f t="shared" si="42"/>
        <v>82.67647658947368</v>
      </c>
      <c r="AC181" s="147">
        <v>1943</v>
      </c>
      <c r="AD181" s="148">
        <f t="shared" si="46"/>
        <v>34.966134494436375</v>
      </c>
      <c r="AE181" s="140">
        <f t="shared" si="44"/>
        <v>7.6963764705882367</v>
      </c>
      <c r="AF181" s="149">
        <f t="shared" si="45"/>
        <v>0</v>
      </c>
      <c r="AG181" s="149">
        <v>69.940925047853497</v>
      </c>
      <c r="AH181" s="150">
        <v>67.887417309895298</v>
      </c>
      <c r="AI181" s="150"/>
      <c r="AJ181" s="150">
        <v>68.162300186249297</v>
      </c>
      <c r="AK181" s="150">
        <v>71.062088501750395</v>
      </c>
      <c r="AL181" s="150"/>
      <c r="AM181" s="150"/>
      <c r="AN181" s="150"/>
      <c r="AO181" s="150"/>
      <c r="AP181" s="150"/>
      <c r="AQ181" s="150"/>
      <c r="AR181" s="150"/>
      <c r="AS181" s="150"/>
      <c r="AT181" s="152">
        <v>1.5843501343267299E-2</v>
      </c>
      <c r="AU181" s="152">
        <v>8.1620848325308706E-2</v>
      </c>
      <c r="AV181" s="152">
        <v>5.3461875547765103E-2</v>
      </c>
      <c r="AW181" s="152">
        <v>6.4685832838903695E-2</v>
      </c>
      <c r="AX181" s="150"/>
    </row>
    <row r="182" spans="1:50">
      <c r="A182">
        <v>1944</v>
      </c>
      <c r="B182" s="9"/>
      <c r="C182" s="205">
        <v>17.600000000000001</v>
      </c>
      <c r="D182" s="205">
        <f t="shared" si="43"/>
        <v>13.378405595488417</v>
      </c>
      <c r="E182" s="144">
        <v>35</v>
      </c>
      <c r="F182" s="132">
        <f t="shared" si="37"/>
        <v>169.32752781809384</v>
      </c>
      <c r="G182" s="126">
        <f t="shared" si="36"/>
        <v>105.38922155688624</v>
      </c>
      <c r="H182" s="15">
        <v>120.2</v>
      </c>
      <c r="I182" s="159"/>
      <c r="J182" s="25">
        <f t="shared" si="33"/>
        <v>70.986685714285727</v>
      </c>
      <c r="K182" s="145">
        <v>8.4</v>
      </c>
      <c r="L182" s="144"/>
      <c r="M182" s="146">
        <v>4.04</v>
      </c>
      <c r="N182" s="144"/>
      <c r="O182" s="133">
        <f t="shared" si="39"/>
        <v>8.4</v>
      </c>
      <c r="P182" s="134">
        <f t="shared" si="38"/>
        <v>197.64705882352942</v>
      </c>
      <c r="R182" s="163">
        <v>158.933333333333</v>
      </c>
      <c r="S182" s="162"/>
      <c r="T182" s="127">
        <f t="shared" si="47"/>
        <v>163.0769006381035</v>
      </c>
      <c r="U182" s="25">
        <f t="shared" si="35"/>
        <v>82.509146156183306</v>
      </c>
      <c r="V182" s="135">
        <v>-19.903628150580701</v>
      </c>
      <c r="W182" s="135">
        <v>-23.178463394221399</v>
      </c>
      <c r="X182" s="135">
        <v>-21.541045772400999</v>
      </c>
      <c r="Y182" s="135">
        <v>-21.2266284518359</v>
      </c>
      <c r="Z182" s="27">
        <f t="shared" si="40"/>
        <v>168.99160687886371</v>
      </c>
      <c r="AA182" s="142">
        <f t="shared" si="41"/>
        <v>151.71690928680209</v>
      </c>
      <c r="AB182" s="143">
        <f t="shared" si="42"/>
        <v>85.099344892570656</v>
      </c>
      <c r="AC182" s="147">
        <v>1944</v>
      </c>
      <c r="AD182" s="148">
        <f t="shared" si="46"/>
        <v>34.966134494436375</v>
      </c>
      <c r="AE182" s="140">
        <f t="shared" si="44"/>
        <v>7.6963764705882367</v>
      </c>
      <c r="AF182" s="149">
        <f t="shared" si="45"/>
        <v>0</v>
      </c>
      <c r="AG182" s="149">
        <v>74.858568071227793</v>
      </c>
      <c r="AH182" s="150">
        <v>71.400586701272701</v>
      </c>
      <c r="AI182" s="150"/>
      <c r="AJ182" s="150">
        <v>72.5471585406857</v>
      </c>
      <c r="AK182" s="150">
        <v>73.185799908823796</v>
      </c>
      <c r="AL182" s="150"/>
      <c r="AM182" s="150"/>
      <c r="AN182" s="150"/>
      <c r="AO182" s="150"/>
      <c r="AP182" s="150"/>
      <c r="AQ182" s="150"/>
      <c r="AR182" s="150"/>
      <c r="AS182" s="150"/>
      <c r="AT182" s="152">
        <v>2.9305578348081798E-2</v>
      </c>
      <c r="AU182" s="152">
        <v>8.2763028968137795E-2</v>
      </c>
      <c r="AV182" s="152">
        <v>0</v>
      </c>
      <c r="AW182" s="152">
        <v>6.8542403804890004E-2</v>
      </c>
      <c r="AX182" s="150"/>
    </row>
    <row r="183" spans="1:50">
      <c r="A183">
        <v>1945</v>
      </c>
      <c r="B183" s="9"/>
      <c r="C183" s="205">
        <v>18</v>
      </c>
      <c r="D183" s="205">
        <f t="shared" si="43"/>
        <v>13.682460268113152</v>
      </c>
      <c r="E183" s="144">
        <v>35</v>
      </c>
      <c r="F183" s="132">
        <f t="shared" si="37"/>
        <v>169.32752781809384</v>
      </c>
      <c r="G183" s="126">
        <f t="shared" si="36"/>
        <v>107.78443113772455</v>
      </c>
      <c r="H183" s="15">
        <v>122.4</v>
      </c>
      <c r="I183" s="159"/>
      <c r="J183" s="25">
        <f t="shared" si="33"/>
        <v>72.285942857142857</v>
      </c>
      <c r="K183" s="145">
        <v>8.4</v>
      </c>
      <c r="L183" s="144"/>
      <c r="M183" s="146">
        <v>4.03</v>
      </c>
      <c r="N183" s="144"/>
      <c r="O183" s="133">
        <f t="shared" si="39"/>
        <v>8.4</v>
      </c>
      <c r="P183" s="134">
        <f t="shared" si="38"/>
        <v>197.64705882352942</v>
      </c>
      <c r="R183" s="163">
        <v>163.15833333333299</v>
      </c>
      <c r="S183" s="162"/>
      <c r="T183" s="127">
        <f t="shared" si="47"/>
        <v>167.41205104831315</v>
      </c>
      <c r="U183" s="25">
        <f t="shared" si="35"/>
        <v>84.702525828015581</v>
      </c>
      <c r="V183" s="135">
        <v>-18.409691782086401</v>
      </c>
      <c r="W183" s="135">
        <v>-21.376956537407299</v>
      </c>
      <c r="X183" s="135">
        <v>-19.8933241597469</v>
      </c>
      <c r="Y183" s="135">
        <v>-16.407111905134499</v>
      </c>
      <c r="Z183" s="27">
        <f t="shared" si="40"/>
        <v>173.48399072364057</v>
      </c>
      <c r="AA183" s="142">
        <f t="shared" si="41"/>
        <v>155.36455169250479</v>
      </c>
      <c r="AB183" s="143">
        <f t="shared" si="42"/>
        <v>87.361581042976155</v>
      </c>
      <c r="AC183" s="147">
        <v>1945</v>
      </c>
      <c r="AD183" s="148">
        <f t="shared" si="46"/>
        <v>34.966134494436375</v>
      </c>
      <c r="AE183" s="140">
        <f t="shared" si="44"/>
        <v>7.6963764705882367</v>
      </c>
      <c r="AF183" s="149">
        <f t="shared" si="45"/>
        <v>0</v>
      </c>
      <c r="AG183" s="149">
        <v>80.242383691291394</v>
      </c>
      <c r="AH183" s="150">
        <v>75.226171072519193</v>
      </c>
      <c r="AI183" s="150"/>
      <c r="AJ183" s="150">
        <v>78.429478985115395</v>
      </c>
      <c r="AK183" s="150">
        <v>75.194027842309296</v>
      </c>
      <c r="AL183" s="150"/>
      <c r="AM183" s="150"/>
      <c r="AN183" s="150"/>
      <c r="AO183" s="150"/>
      <c r="AP183" s="150"/>
      <c r="AQ183" s="150"/>
      <c r="AR183" s="150"/>
      <c r="AS183" s="150"/>
      <c r="AT183" s="152">
        <v>2.6582534630879898E-2</v>
      </c>
      <c r="AU183" s="152">
        <v>8.5283928740257794E-2</v>
      </c>
      <c r="AV183" s="152">
        <v>1.8302828618968401E-2</v>
      </c>
      <c r="AW183" s="152">
        <v>7.1121437647267097E-2</v>
      </c>
      <c r="AX183" s="150"/>
    </row>
    <row r="184" spans="1:50">
      <c r="A184">
        <v>1946</v>
      </c>
      <c r="B184" s="9"/>
      <c r="C184" s="205">
        <v>19.54</v>
      </c>
      <c r="D184" s="205">
        <f t="shared" si="43"/>
        <v>14.853070757718388</v>
      </c>
      <c r="E184" s="144">
        <v>35</v>
      </c>
      <c r="F184" s="132">
        <f t="shared" si="37"/>
        <v>169.32752781809384</v>
      </c>
      <c r="G184" s="126">
        <f t="shared" si="36"/>
        <v>117.0059880239521</v>
      </c>
      <c r="H184" s="15">
        <v>139.69999999999999</v>
      </c>
      <c r="I184" s="159"/>
      <c r="J184" s="25">
        <f t="shared" si="33"/>
        <v>82.502828571428566</v>
      </c>
      <c r="K184" s="145">
        <v>8.4</v>
      </c>
      <c r="L184" s="144"/>
      <c r="M184" s="146">
        <v>4.03</v>
      </c>
      <c r="N184" s="144"/>
      <c r="O184" s="133">
        <f t="shared" si="39"/>
        <v>8.4</v>
      </c>
      <c r="P184" s="134">
        <f t="shared" si="38"/>
        <v>197.64705882352942</v>
      </c>
      <c r="Q184" s="129">
        <v>162</v>
      </c>
      <c r="R184" s="161">
        <v>177.6</v>
      </c>
      <c r="S184" s="129"/>
      <c r="T184" s="115">
        <f t="shared" ref="T184:T214" si="48">Q184</f>
        <v>162</v>
      </c>
      <c r="U184" s="25">
        <f t="shared" si="35"/>
        <v>81.964285714285708</v>
      </c>
      <c r="V184" s="135">
        <v>-7.9899203464765103</v>
      </c>
      <c r="W184" s="135">
        <v>-24.4919326953985</v>
      </c>
      <c r="X184" s="135">
        <v>-16.240926520937499</v>
      </c>
      <c r="Y184" s="135">
        <v>-11.3250517773001</v>
      </c>
      <c r="Z184" s="27">
        <f t="shared" si="40"/>
        <v>167.87564766839378</v>
      </c>
      <c r="AA184" s="142">
        <f t="shared" si="41"/>
        <v>150.34196891191712</v>
      </c>
      <c r="AB184" s="143">
        <f t="shared" si="42"/>
        <v>84.537379718726882</v>
      </c>
      <c r="AC184" s="147">
        <v>1946</v>
      </c>
      <c r="AD184" s="148">
        <f t="shared" si="46"/>
        <v>34.966134494436375</v>
      </c>
      <c r="AE184" s="140">
        <f t="shared" si="44"/>
        <v>7.6963764705882367</v>
      </c>
      <c r="AF184" s="149">
        <f t="shared" si="45"/>
        <v>0</v>
      </c>
      <c r="AG184" s="149">
        <v>85.914287073399294</v>
      </c>
      <c r="AH184" s="150">
        <v>79.367872384190207</v>
      </c>
      <c r="AI184" s="150"/>
      <c r="AJ184" s="150">
        <v>86.560401120665702</v>
      </c>
      <c r="AK184" s="150">
        <v>77.763616498008005</v>
      </c>
      <c r="AL184" s="150"/>
      <c r="AM184" s="150"/>
      <c r="AN184" s="150"/>
      <c r="AO184" s="150"/>
      <c r="AP184" s="150"/>
      <c r="AQ184" s="150"/>
      <c r="AR184" s="150"/>
      <c r="AS184" s="150"/>
      <c r="AT184" s="152">
        <v>-3.2327431725324297E-2</v>
      </c>
      <c r="AU184" s="152">
        <v>8.9466947257068094E-2</v>
      </c>
      <c r="AV184" s="152">
        <v>0.141339869281045</v>
      </c>
      <c r="AW184" s="152">
        <v>7.1896655876189097E-2</v>
      </c>
      <c r="AX184" s="150"/>
    </row>
    <row r="185" spans="1:50">
      <c r="A185">
        <v>1947</v>
      </c>
      <c r="B185" s="9"/>
      <c r="C185" s="205">
        <v>22.34</v>
      </c>
      <c r="D185" s="205">
        <f t="shared" si="43"/>
        <v>16.981453466091544</v>
      </c>
      <c r="E185" s="144">
        <v>35</v>
      </c>
      <c r="F185" s="132">
        <f t="shared" si="37"/>
        <v>169.32752781809384</v>
      </c>
      <c r="G185" s="126">
        <f t="shared" si="36"/>
        <v>133.77245508982037</v>
      </c>
      <c r="H185" s="15">
        <v>171.5</v>
      </c>
      <c r="I185" s="159"/>
      <c r="J185" s="25">
        <f t="shared" si="33"/>
        <v>101.28300000000002</v>
      </c>
      <c r="K185" s="145">
        <v>8.4</v>
      </c>
      <c r="L185" s="144"/>
      <c r="M185" s="146">
        <v>4.03</v>
      </c>
      <c r="N185" s="144"/>
      <c r="O185" s="133">
        <f t="shared" si="39"/>
        <v>8.4</v>
      </c>
      <c r="P185" s="134">
        <f t="shared" si="38"/>
        <v>197.64705882352942</v>
      </c>
      <c r="Q185" s="129">
        <v>177.4</v>
      </c>
      <c r="R185" s="161">
        <v>223.36666666666699</v>
      </c>
      <c r="S185" s="129"/>
      <c r="T185" s="115">
        <f t="shared" si="48"/>
        <v>177.4</v>
      </c>
      <c r="U185" s="25">
        <f t="shared" si="35"/>
        <v>89.75595238095238</v>
      </c>
      <c r="V185" s="135">
        <v>11.015968450286699</v>
      </c>
      <c r="W185" s="135">
        <v>-17.052274081473001</v>
      </c>
      <c r="X185" s="135">
        <v>-3.0181528155931598</v>
      </c>
      <c r="Y185" s="135">
        <v>-6.0960990974495299</v>
      </c>
      <c r="Z185" s="27">
        <f t="shared" si="40"/>
        <v>183.83419689119171</v>
      </c>
      <c r="AA185" s="142">
        <f t="shared" si="41"/>
        <v>164.63373632700061</v>
      </c>
      <c r="AB185" s="143">
        <f t="shared" si="42"/>
        <v>92.573649148778699</v>
      </c>
      <c r="AC185" s="147">
        <v>1947</v>
      </c>
      <c r="AD185" s="148">
        <f t="shared" si="46"/>
        <v>34.966134494436375</v>
      </c>
      <c r="AE185" s="140">
        <f t="shared" si="44"/>
        <v>7.6963764705882367</v>
      </c>
      <c r="AF185" s="149">
        <f t="shared" si="45"/>
        <v>0</v>
      </c>
      <c r="AG185" s="149">
        <v>91.616769545993193</v>
      </c>
      <c r="AH185" s="150">
        <v>83.835730886115996</v>
      </c>
      <c r="AI185" s="150"/>
      <c r="AJ185" s="150">
        <v>95.647904886758894</v>
      </c>
      <c r="AK185" s="150">
        <v>81.793400790951097</v>
      </c>
      <c r="AL185" s="150"/>
      <c r="AM185" s="150"/>
      <c r="AN185" s="150"/>
      <c r="AO185" s="150"/>
      <c r="AP185" s="150"/>
      <c r="AQ185" s="150"/>
      <c r="AR185" s="150"/>
      <c r="AS185" s="150"/>
      <c r="AT185" s="152">
        <v>9.5061728395061704E-2</v>
      </c>
      <c r="AU185" s="152">
        <v>9.5008470192874006E-2</v>
      </c>
      <c r="AV185" s="152">
        <v>0.22763063707945599</v>
      </c>
      <c r="AW185" s="152">
        <v>6.9813593911527305E-2</v>
      </c>
      <c r="AX185" s="150"/>
    </row>
    <row r="186" spans="1:50">
      <c r="A186">
        <v>1948</v>
      </c>
      <c r="B186" s="9"/>
      <c r="C186" s="205">
        <v>24.08</v>
      </c>
      <c r="D186" s="205">
        <f t="shared" si="43"/>
        <v>18.304091292009151</v>
      </c>
      <c r="E186" s="144">
        <v>35</v>
      </c>
      <c r="F186" s="132">
        <f t="shared" si="37"/>
        <v>169.32752781809384</v>
      </c>
      <c r="G186" s="126">
        <f t="shared" si="36"/>
        <v>144.19161676646706</v>
      </c>
      <c r="H186" s="15">
        <v>185.7</v>
      </c>
      <c r="I186" s="159"/>
      <c r="J186" s="25">
        <f t="shared" si="33"/>
        <v>109.6691142857143</v>
      </c>
      <c r="K186" s="145">
        <v>8.4</v>
      </c>
      <c r="L186" s="144"/>
      <c r="M186" s="146">
        <v>4.03</v>
      </c>
      <c r="N186" s="144"/>
      <c r="O186" s="133">
        <f t="shared" si="39"/>
        <v>8.4</v>
      </c>
      <c r="P186" s="134">
        <f t="shared" si="38"/>
        <v>197.64705882352942</v>
      </c>
      <c r="Q186" s="129">
        <v>202.8</v>
      </c>
      <c r="R186" s="161">
        <v>259.17500000000001</v>
      </c>
      <c r="S186" s="129"/>
      <c r="T186" s="115">
        <f t="shared" si="48"/>
        <v>202.8</v>
      </c>
      <c r="U186" s="25">
        <f t="shared" si="35"/>
        <v>102.60714285714285</v>
      </c>
      <c r="V186" s="135">
        <v>19.648256902240899</v>
      </c>
      <c r="W186" s="135">
        <v>-4.5468437483871202</v>
      </c>
      <c r="X186" s="135">
        <v>7.5507065769268804</v>
      </c>
      <c r="Y186" s="135">
        <v>-0.88506364213632804</v>
      </c>
      <c r="Z186" s="27">
        <f t="shared" si="40"/>
        <v>210.15544041450778</v>
      </c>
      <c r="AA186" s="142">
        <f t="shared" si="41"/>
        <v>188.20587219343699</v>
      </c>
      <c r="AB186" s="143">
        <f t="shared" si="42"/>
        <v>105.82827535159143</v>
      </c>
      <c r="AC186" s="147">
        <v>1948</v>
      </c>
      <c r="AD186" s="148">
        <f t="shared" si="46"/>
        <v>34.966134494436375</v>
      </c>
      <c r="AE186" s="140">
        <f t="shared" si="44"/>
        <v>7.6963764705882367</v>
      </c>
      <c r="AF186" s="149">
        <f t="shared" si="45"/>
        <v>0</v>
      </c>
      <c r="AG186" s="149">
        <v>97.058379566781198</v>
      </c>
      <c r="AH186" s="150">
        <v>88.580108104285202</v>
      </c>
      <c r="AI186" s="150"/>
      <c r="AJ186" s="150">
        <v>103.05316984926201</v>
      </c>
      <c r="AK186" s="150">
        <v>86.727676803500401</v>
      </c>
      <c r="AL186" s="150"/>
      <c r="AM186" s="150"/>
      <c r="AN186" s="150"/>
      <c r="AO186" s="150"/>
      <c r="AP186" s="150"/>
      <c r="AQ186" s="150"/>
      <c r="AR186" s="150"/>
      <c r="AS186" s="150"/>
      <c r="AT186" s="152">
        <v>0.14317925591882699</v>
      </c>
      <c r="AU186" s="152">
        <v>0.100386939432157</v>
      </c>
      <c r="AV186" s="152">
        <v>8.2798833819241899E-2</v>
      </c>
      <c r="AW186" s="152">
        <v>6.4512219307201399E-2</v>
      </c>
      <c r="AX186" s="150"/>
    </row>
    <row r="187" spans="1:50">
      <c r="A187">
        <v>1949</v>
      </c>
      <c r="B187" s="9"/>
      <c r="C187" s="205">
        <v>23.85</v>
      </c>
      <c r="D187" s="205">
        <f t="shared" si="43"/>
        <v>18.129259855249927</v>
      </c>
      <c r="E187" s="144">
        <v>35</v>
      </c>
      <c r="F187" s="132">
        <f t="shared" si="37"/>
        <v>169.32752781809384</v>
      </c>
      <c r="G187" s="126">
        <f t="shared" si="36"/>
        <v>142.81437125748505</v>
      </c>
      <c r="H187" s="15">
        <v>176.5</v>
      </c>
      <c r="I187" s="159"/>
      <c r="J187" s="25">
        <f t="shared" si="33"/>
        <v>104.23585714285716</v>
      </c>
      <c r="K187" s="145">
        <v>8.4</v>
      </c>
      <c r="L187" s="144"/>
      <c r="M187" s="146">
        <v>3.69</v>
      </c>
      <c r="N187" s="144"/>
      <c r="O187" s="133">
        <f>K187</f>
        <v>8.4</v>
      </c>
      <c r="P187" s="134">
        <f t="shared" si="38"/>
        <v>197.64705882352942</v>
      </c>
      <c r="Q187" s="129">
        <v>212.7</v>
      </c>
      <c r="R187" s="161">
        <v>275.191666666667</v>
      </c>
      <c r="S187" s="129"/>
      <c r="T187" s="115">
        <f t="shared" si="48"/>
        <v>212.7</v>
      </c>
      <c r="U187" s="25">
        <f t="shared" si="35"/>
        <v>107.61607142857143</v>
      </c>
      <c r="V187" s="135">
        <v>14.4772273034236</v>
      </c>
      <c r="W187" s="135">
        <v>0.13551441162769601</v>
      </c>
      <c r="X187" s="135">
        <v>7.3063708575256499</v>
      </c>
      <c r="Y187" s="135">
        <v>4.1740242749046699</v>
      </c>
      <c r="Z187" s="27">
        <f t="shared" si="40"/>
        <v>220.41450777202073</v>
      </c>
      <c r="AA187" s="142">
        <f t="shared" si="41"/>
        <v>180.73989637305698</v>
      </c>
      <c r="AB187" s="143">
        <f t="shared" si="42"/>
        <v>110.99444855662473</v>
      </c>
      <c r="AC187" s="147">
        <v>1949</v>
      </c>
      <c r="AD187" s="148">
        <f t="shared" si="46"/>
        <v>34.966134494436375</v>
      </c>
      <c r="AE187" s="140">
        <f t="shared" si="44"/>
        <v>7.6963764705882367</v>
      </c>
      <c r="AF187" s="149">
        <f t="shared" si="45"/>
        <v>0</v>
      </c>
      <c r="AG187" s="149">
        <v>102.044497898011</v>
      </c>
      <c r="AH187" s="150">
        <v>93.516808255824799</v>
      </c>
      <c r="AI187" s="150"/>
      <c r="AJ187" s="150">
        <v>108.021407278456</v>
      </c>
      <c r="AK187" s="150">
        <v>91.539607021034001</v>
      </c>
      <c r="AL187" s="150"/>
      <c r="AM187" s="150"/>
      <c r="AN187" s="150"/>
      <c r="AO187" s="150"/>
      <c r="AP187" s="150"/>
      <c r="AQ187" s="150"/>
      <c r="AR187" s="150"/>
      <c r="AS187" s="150"/>
      <c r="AT187" s="152">
        <v>4.8816568047337097E-2</v>
      </c>
      <c r="AU187" s="152">
        <v>0.104081329441421</v>
      </c>
      <c r="AV187" s="152">
        <v>-4.9542272482498498E-2</v>
      </c>
      <c r="AW187" s="152">
        <v>5.7210670048810398E-2</v>
      </c>
      <c r="AX187" s="150"/>
    </row>
    <row r="188" spans="1:50">
      <c r="A188">
        <v>1950</v>
      </c>
      <c r="B188" s="9"/>
      <c r="C188" s="205">
        <v>24.08</v>
      </c>
      <c r="D188" s="205">
        <f t="shared" si="43"/>
        <v>18.304091292009151</v>
      </c>
      <c r="E188" s="144">
        <v>35</v>
      </c>
      <c r="F188" s="132">
        <f t="shared" si="37"/>
        <v>169.32752781809384</v>
      </c>
      <c r="G188" s="126">
        <f t="shared" si="36"/>
        <v>144.19161676646706</v>
      </c>
      <c r="H188" s="15">
        <v>183.4</v>
      </c>
      <c r="I188" s="159"/>
      <c r="J188" s="25">
        <f t="shared" si="33"/>
        <v>108.31080000000001</v>
      </c>
      <c r="K188" s="145"/>
      <c r="L188" s="144">
        <v>34.71</v>
      </c>
      <c r="M188" s="146">
        <v>2.8</v>
      </c>
      <c r="N188" s="160">
        <f t="shared" ref="N188:N248" si="49">L188/M188</f>
        <v>12.396428571428572</v>
      </c>
      <c r="O188" s="160">
        <f>N188</f>
        <v>12.396428571428572</v>
      </c>
      <c r="P188" s="134">
        <f t="shared" si="38"/>
        <v>291.68067226890759</v>
      </c>
      <c r="Q188" s="129">
        <v>248</v>
      </c>
      <c r="R188" s="161">
        <v>324.73333333333301</v>
      </c>
      <c r="S188" s="129"/>
      <c r="T188" s="115">
        <f t="shared" si="48"/>
        <v>248</v>
      </c>
      <c r="U188" s="25">
        <f t="shared" si="35"/>
        <v>85.02448861999423</v>
      </c>
      <c r="V188" s="135">
        <v>18.823161947872499</v>
      </c>
      <c r="W188" s="135">
        <v>-22.7740243331383</v>
      </c>
      <c r="X188" s="135">
        <v>-1.97543119263291</v>
      </c>
      <c r="Y188" s="135">
        <v>9.0314920421292495</v>
      </c>
      <c r="Z188" s="27">
        <f t="shared" si="40"/>
        <v>256.99481865284974</v>
      </c>
      <c r="AA188" s="142">
        <f t="shared" si="41"/>
        <v>159.90788716177317</v>
      </c>
      <c r="AB188" s="143">
        <f t="shared" si="42"/>
        <v>87.693651170393338</v>
      </c>
      <c r="AC188" s="147">
        <v>1950</v>
      </c>
      <c r="AD188" s="148">
        <f t="shared" si="46"/>
        <v>34.966134494436375</v>
      </c>
      <c r="AE188" s="140">
        <f t="shared" si="44"/>
        <v>11.358045378151262</v>
      </c>
      <c r="AF188" s="149">
        <f t="shared" si="45"/>
        <v>0</v>
      </c>
      <c r="AG188" s="149">
        <v>106.506821506264</v>
      </c>
      <c r="AH188" s="150">
        <v>98.594734476819298</v>
      </c>
      <c r="AI188" s="150"/>
      <c r="AJ188" s="150">
        <v>112.01010516153499</v>
      </c>
      <c r="AK188" s="150">
        <v>96.923128327763095</v>
      </c>
      <c r="AL188" s="150"/>
      <c r="AM188" s="150"/>
      <c r="AN188" s="150"/>
      <c r="AO188" s="150"/>
      <c r="AP188" s="150"/>
      <c r="AQ188" s="150"/>
      <c r="AR188" s="150"/>
      <c r="AS188" s="150"/>
      <c r="AT188" s="152">
        <v>0.16596144804889501</v>
      </c>
      <c r="AU188" s="152">
        <v>0.104998537852036</v>
      </c>
      <c r="AV188" s="152">
        <v>3.90934844192634E-2</v>
      </c>
      <c r="AW188" s="152">
        <v>4.9309950267073799E-2</v>
      </c>
      <c r="AX188" s="150"/>
    </row>
    <row r="189" spans="1:50">
      <c r="A189">
        <v>1951</v>
      </c>
      <c r="B189" s="9"/>
      <c r="C189" s="205">
        <v>25.98</v>
      </c>
      <c r="D189" s="205">
        <f t="shared" si="43"/>
        <v>19.74835098697665</v>
      </c>
      <c r="E189" s="144">
        <v>35</v>
      </c>
      <c r="F189" s="132">
        <f t="shared" si="37"/>
        <v>169.32752781809384</v>
      </c>
      <c r="G189" s="126">
        <f t="shared" si="36"/>
        <v>155.56886227544911</v>
      </c>
      <c r="H189" s="15">
        <v>204.3</v>
      </c>
      <c r="I189" s="159"/>
      <c r="J189" s="25">
        <f t="shared" si="33"/>
        <v>120.65374285714287</v>
      </c>
      <c r="K189" s="145"/>
      <c r="L189" s="144">
        <v>34.71</v>
      </c>
      <c r="M189" s="146">
        <v>2.8</v>
      </c>
      <c r="N189" s="160">
        <f t="shared" si="49"/>
        <v>12.396428571428572</v>
      </c>
      <c r="O189" s="160">
        <f t="shared" ref="O189:O248" si="50">N189</f>
        <v>12.396428571428572</v>
      </c>
      <c r="P189" s="134">
        <f t="shared" si="38"/>
        <v>291.68067226890759</v>
      </c>
      <c r="Q189" s="129">
        <v>365.7</v>
      </c>
      <c r="R189" s="161">
        <v>418.18</v>
      </c>
      <c r="S189" s="129"/>
      <c r="T189" s="115">
        <f t="shared" si="48"/>
        <v>365.7</v>
      </c>
      <c r="U189" s="25">
        <f t="shared" si="35"/>
        <v>125.37683664649956</v>
      </c>
      <c r="V189" s="135">
        <v>31.4563431296252</v>
      </c>
      <c r="W189" s="135">
        <v>17.295734446128002</v>
      </c>
      <c r="X189" s="135">
        <v>24.376038787876599</v>
      </c>
      <c r="Y189" s="135">
        <v>13.6689905138194</v>
      </c>
      <c r="Z189" s="27">
        <f t="shared" si="40"/>
        <v>378.96373056994821</v>
      </c>
      <c r="AA189" s="142">
        <f t="shared" si="41"/>
        <v>235.79965457685668</v>
      </c>
      <c r="AB189" s="143">
        <f t="shared" si="42"/>
        <v>129.3127751331163</v>
      </c>
      <c r="AC189" s="147">
        <v>1951</v>
      </c>
      <c r="AD189" s="148">
        <f t="shared" si="46"/>
        <v>34.966134494436375</v>
      </c>
      <c r="AE189" s="140">
        <f t="shared" si="44"/>
        <v>11.358045378151262</v>
      </c>
      <c r="AF189" s="149">
        <f t="shared" si="45"/>
        <v>0</v>
      </c>
      <c r="AG189" s="149">
        <v>110.399102379138</v>
      </c>
      <c r="AH189" s="150">
        <v>103.79142182079499</v>
      </c>
      <c r="AI189" s="150"/>
      <c r="AJ189" s="150">
        <v>115.219615726204</v>
      </c>
      <c r="AK189" s="150">
        <v>105.185641934221</v>
      </c>
      <c r="AL189" s="150"/>
      <c r="AM189" s="150"/>
      <c r="AN189" s="150"/>
      <c r="AO189" s="150"/>
      <c r="AP189" s="150"/>
      <c r="AQ189" s="150"/>
      <c r="AR189" s="150"/>
      <c r="AS189" s="150"/>
      <c r="AT189" s="152">
        <v>0.47459677419354801</v>
      </c>
      <c r="AU189" s="152">
        <v>0.10149281468143199</v>
      </c>
      <c r="AV189" s="152">
        <v>0.113958560523446</v>
      </c>
      <c r="AW189" s="152">
        <v>4.1143534667397903E-2</v>
      </c>
      <c r="AX189" s="150"/>
    </row>
    <row r="190" spans="1:50">
      <c r="A190">
        <v>1952</v>
      </c>
      <c r="B190" s="9"/>
      <c r="C190" s="205">
        <v>26.55</v>
      </c>
      <c r="D190" s="205">
        <f t="shared" si="43"/>
        <v>20.181628895466901</v>
      </c>
      <c r="E190" s="144">
        <v>35</v>
      </c>
      <c r="F190" s="132">
        <f t="shared" si="37"/>
        <v>169.32752781809384</v>
      </c>
      <c r="G190" s="126">
        <f t="shared" si="36"/>
        <v>158.98203592814372</v>
      </c>
      <c r="H190" s="15">
        <v>198.7</v>
      </c>
      <c r="I190" s="159"/>
      <c r="J190" s="25">
        <f t="shared" si="33"/>
        <v>117.34654285714286</v>
      </c>
      <c r="K190" s="145"/>
      <c r="L190" s="144">
        <v>34.71</v>
      </c>
      <c r="M190" s="146">
        <v>2.79</v>
      </c>
      <c r="N190" s="160">
        <f t="shared" si="49"/>
        <v>12.440860215053764</v>
      </c>
      <c r="O190" s="160">
        <f t="shared" si="50"/>
        <v>12.440860215053764</v>
      </c>
      <c r="P190" s="134">
        <f t="shared" si="38"/>
        <v>292.7261227071474</v>
      </c>
      <c r="Q190" s="129">
        <v>375.1</v>
      </c>
      <c r="R190" s="129"/>
      <c r="T190" s="115">
        <f t="shared" si="48"/>
        <v>375.1</v>
      </c>
      <c r="U190" s="25">
        <f t="shared" si="35"/>
        <v>128.14025496974935</v>
      </c>
      <c r="V190" s="135">
        <v>28.467053142719401</v>
      </c>
      <c r="W190" s="135">
        <v>19.786004338763899</v>
      </c>
      <c r="X190" s="135">
        <v>24.126528740741598</v>
      </c>
      <c r="Y190" s="135">
        <v>17.958101311909601</v>
      </c>
      <c r="Z190" s="27">
        <f t="shared" si="40"/>
        <v>388.70466321243521</v>
      </c>
      <c r="AA190" s="142">
        <f t="shared" si="41"/>
        <v>240.99689119170984</v>
      </c>
      <c r="AB190" s="143">
        <f t="shared" si="42"/>
        <v>132.16294508309412</v>
      </c>
      <c r="AC190" s="147">
        <v>1952</v>
      </c>
      <c r="AD190" s="148">
        <f t="shared" si="46"/>
        <v>34.966134494436375</v>
      </c>
      <c r="AE190" s="140">
        <f t="shared" si="44"/>
        <v>11.398755218216319</v>
      </c>
      <c r="AF190" s="149">
        <f t="shared" si="45"/>
        <v>0</v>
      </c>
      <c r="AG190" s="149">
        <v>113.693324289172</v>
      </c>
      <c r="AH190" s="150">
        <v>108.87565799650901</v>
      </c>
      <c r="AI190" s="150"/>
      <c r="AJ190" s="150">
        <v>116.623589479662</v>
      </c>
      <c r="AK190" s="150">
        <v>112.233506275019</v>
      </c>
      <c r="AL190" s="150"/>
      <c r="AM190" s="150"/>
      <c r="AN190" s="150"/>
      <c r="AO190" s="150"/>
      <c r="AP190" s="150"/>
      <c r="AQ190" s="150"/>
      <c r="AR190" s="150"/>
      <c r="AS190" s="150"/>
      <c r="AT190" s="152">
        <v>2.5704129067541701E-2</v>
      </c>
      <c r="AU190" s="152">
        <v>9.2528039049007194E-2</v>
      </c>
      <c r="AV190" s="152">
        <v>-2.7410670582476801E-2</v>
      </c>
      <c r="AW190" s="152">
        <v>3.2942733296711102E-2</v>
      </c>
      <c r="AX190" s="150"/>
    </row>
    <row r="191" spans="1:50">
      <c r="A191">
        <v>1953</v>
      </c>
      <c r="B191" s="9"/>
      <c r="C191" s="205">
        <v>26.75</v>
      </c>
      <c r="D191" s="205">
        <f t="shared" si="43"/>
        <v>20.333656231779269</v>
      </c>
      <c r="E191" s="144">
        <v>35</v>
      </c>
      <c r="F191" s="132">
        <f t="shared" si="37"/>
        <v>169.32752781809384</v>
      </c>
      <c r="G191" s="126">
        <f t="shared" si="36"/>
        <v>160.17964071856289</v>
      </c>
      <c r="H191" s="15">
        <v>196</v>
      </c>
      <c r="I191" s="159"/>
      <c r="J191" s="25">
        <f t="shared" si="33"/>
        <v>115.75200000000001</v>
      </c>
      <c r="K191" s="145"/>
      <c r="L191" s="144">
        <v>34.71</v>
      </c>
      <c r="M191" s="146">
        <v>2.81</v>
      </c>
      <c r="N191" s="160">
        <f t="shared" si="49"/>
        <v>12.352313167259787</v>
      </c>
      <c r="O191" s="160">
        <f t="shared" si="50"/>
        <v>12.352313167259787</v>
      </c>
      <c r="P191" s="134">
        <f t="shared" si="38"/>
        <v>290.64266275905385</v>
      </c>
      <c r="Q191" s="129">
        <v>375.5</v>
      </c>
      <c r="R191" s="129"/>
      <c r="T191" s="115">
        <f t="shared" si="48"/>
        <v>375.5</v>
      </c>
      <c r="U191" s="25">
        <f t="shared" si="35"/>
        <v>129.19644915010082</v>
      </c>
      <c r="V191" s="135">
        <v>27.195574281192599</v>
      </c>
      <c r="W191" s="135">
        <v>20.598018094628699</v>
      </c>
      <c r="X191" s="135">
        <v>23.896796187910699</v>
      </c>
      <c r="Y191" s="135">
        <v>21.8774765410746</v>
      </c>
      <c r="Z191" s="27">
        <f t="shared" si="40"/>
        <v>389.11917098445593</v>
      </c>
      <c r="AA191" s="142">
        <f t="shared" si="41"/>
        <v>242.98330454807137</v>
      </c>
      <c r="AB191" s="143">
        <f t="shared" si="42"/>
        <v>133.25229622796135</v>
      </c>
      <c r="AC191" s="147">
        <v>1953</v>
      </c>
      <c r="AD191" s="148">
        <f t="shared" si="46"/>
        <v>34.966134494436375</v>
      </c>
      <c r="AE191" s="140">
        <f t="shared" si="44"/>
        <v>11.317625287837556</v>
      </c>
      <c r="AF191" s="149">
        <f t="shared" si="45"/>
        <v>0</v>
      </c>
      <c r="AG191" s="149">
        <v>116.464179985112</v>
      </c>
      <c r="AH191" s="150">
        <v>113.724316494513</v>
      </c>
      <c r="AI191" s="150"/>
      <c r="AJ191" s="150">
        <v>117.012471687036</v>
      </c>
      <c r="AK191" s="150">
        <v>117.111199140031</v>
      </c>
      <c r="AL191" s="150"/>
      <c r="AM191" s="150"/>
      <c r="AN191" s="150"/>
      <c r="AO191" s="150"/>
      <c r="AP191" s="150"/>
      <c r="AQ191" s="150"/>
      <c r="AR191" s="150"/>
      <c r="AS191" s="150"/>
      <c r="AT191" s="152">
        <v>1.06638229805379E-3</v>
      </c>
      <c r="AU191" s="152">
        <v>8.0799129669279504E-2</v>
      </c>
      <c r="AV191" s="152">
        <v>-1.3588324106693399E-2</v>
      </c>
      <c r="AW191" s="152">
        <v>2.5667006460502E-2</v>
      </c>
      <c r="AX191" s="150"/>
    </row>
    <row r="192" spans="1:50">
      <c r="A192">
        <v>1954</v>
      </c>
      <c r="B192" s="9"/>
      <c r="C192" s="205">
        <v>26.88</v>
      </c>
      <c r="D192" s="205">
        <f t="shared" si="43"/>
        <v>20.432474000382307</v>
      </c>
      <c r="E192" s="144">
        <v>35</v>
      </c>
      <c r="F192" s="132">
        <f t="shared" si="37"/>
        <v>169.32752781809384</v>
      </c>
      <c r="G192" s="126">
        <f t="shared" si="36"/>
        <v>160.95808383233535</v>
      </c>
      <c r="H192" s="15">
        <v>196.4</v>
      </c>
      <c r="I192" s="159"/>
      <c r="J192" s="25">
        <f t="shared" si="33"/>
        <v>115.98822857142858</v>
      </c>
      <c r="K192" s="145"/>
      <c r="L192" s="144">
        <v>34.96</v>
      </c>
      <c r="M192" s="146">
        <v>2.81</v>
      </c>
      <c r="N192" s="160">
        <f t="shared" si="49"/>
        <v>12.441281138790035</v>
      </c>
      <c r="O192" s="160">
        <f t="shared" si="50"/>
        <v>12.441281138790035</v>
      </c>
      <c r="P192" s="134">
        <f t="shared" si="38"/>
        <v>292.73602679505967</v>
      </c>
      <c r="Q192" s="129">
        <v>377.8</v>
      </c>
      <c r="R192" s="129"/>
      <c r="T192" s="115">
        <f t="shared" si="48"/>
        <v>377.8</v>
      </c>
      <c r="U192" s="25">
        <f t="shared" si="35"/>
        <v>129.05825228832953</v>
      </c>
      <c r="V192" s="135">
        <v>27.782188839082501</v>
      </c>
      <c r="W192" s="135">
        <v>20.2330276241055</v>
      </c>
      <c r="X192" s="135">
        <v>24.007608231593998</v>
      </c>
      <c r="Y192" s="135">
        <v>25.467452580277801</v>
      </c>
      <c r="Z192" s="27">
        <f t="shared" si="40"/>
        <v>391.50259067357513</v>
      </c>
      <c r="AA192" s="142">
        <f t="shared" si="41"/>
        <v>244.47161773172138</v>
      </c>
      <c r="AB192" s="143">
        <f t="shared" si="42"/>
        <v>133.10976097034657</v>
      </c>
      <c r="AC192" s="147">
        <v>1954</v>
      </c>
      <c r="AD192" s="148">
        <f t="shared" si="46"/>
        <v>34.966134494436375</v>
      </c>
      <c r="AE192" s="140">
        <f t="shared" si="44"/>
        <v>11.399140883399623</v>
      </c>
      <c r="AF192" s="149">
        <f t="shared" si="45"/>
        <v>0</v>
      </c>
      <c r="AG192" s="149">
        <v>118.823128972812</v>
      </c>
      <c r="AH192" s="150">
        <v>118.30101422539001</v>
      </c>
      <c r="AI192" s="150"/>
      <c r="AJ192" s="150">
        <v>117.425511120233</v>
      </c>
      <c r="AK192" s="150">
        <v>120.63536289411999</v>
      </c>
      <c r="AL192" s="150"/>
      <c r="AM192" s="150"/>
      <c r="AN192" s="150"/>
      <c r="AO192" s="150"/>
      <c r="AP192" s="150"/>
      <c r="AQ192" s="150"/>
      <c r="AR192" s="150"/>
      <c r="AS192" s="150"/>
      <c r="AT192" s="152">
        <v>6.12516644474037E-3</v>
      </c>
      <c r="AU192" s="152">
        <v>6.8332766156954203E-2</v>
      </c>
      <c r="AV192" s="152">
        <v>2.0408163265306402E-3</v>
      </c>
      <c r="AW192" s="152">
        <v>1.9672280425467599E-2</v>
      </c>
      <c r="AX192" s="150"/>
    </row>
    <row r="193" spans="1:50">
      <c r="A193">
        <v>1955</v>
      </c>
      <c r="B193" s="9"/>
      <c r="C193" s="205">
        <v>26.78</v>
      </c>
      <c r="D193" s="205">
        <f t="shared" si="43"/>
        <v>20.356460332226124</v>
      </c>
      <c r="E193" s="144">
        <v>35</v>
      </c>
      <c r="F193" s="132">
        <f t="shared" si="37"/>
        <v>169.32752781809384</v>
      </c>
      <c r="G193" s="126">
        <f t="shared" si="36"/>
        <v>160.35928143712576</v>
      </c>
      <c r="H193" s="15">
        <v>196.9</v>
      </c>
      <c r="I193" s="159"/>
      <c r="J193" s="25">
        <f t="shared" si="33"/>
        <v>116.28351428571429</v>
      </c>
      <c r="K193" s="145"/>
      <c r="L193" s="144">
        <v>35.01</v>
      </c>
      <c r="M193" s="146">
        <v>2.79</v>
      </c>
      <c r="N193" s="160">
        <f t="shared" si="49"/>
        <v>12.548387096774192</v>
      </c>
      <c r="O193" s="160">
        <f t="shared" si="50"/>
        <v>12.548387096774192</v>
      </c>
      <c r="P193" s="134">
        <f t="shared" si="38"/>
        <v>295.2561669829222</v>
      </c>
      <c r="Q193" s="129">
        <v>389.4</v>
      </c>
      <c r="R193" s="129"/>
      <c r="T193" s="115">
        <f t="shared" si="48"/>
        <v>389.4</v>
      </c>
      <c r="U193" s="25">
        <f t="shared" si="35"/>
        <v>131.88547557840616</v>
      </c>
      <c r="V193" s="135">
        <v>28.437179110426701</v>
      </c>
      <c r="W193" s="135">
        <v>22.862303998099399</v>
      </c>
      <c r="X193" s="135">
        <v>25.649741554262999</v>
      </c>
      <c r="Y193" s="135">
        <v>28.788559004950798</v>
      </c>
      <c r="Z193" s="27">
        <f t="shared" si="40"/>
        <v>403.52331606217615</v>
      </c>
      <c r="AA193" s="142">
        <f t="shared" si="41"/>
        <v>250.18445595854922</v>
      </c>
      <c r="AB193" s="143">
        <f t="shared" si="42"/>
        <v>136.02573890805442</v>
      </c>
      <c r="AC193" s="147">
        <v>1955</v>
      </c>
      <c r="AD193" s="148">
        <f t="shared" si="46"/>
        <v>34.966134494436375</v>
      </c>
      <c r="AE193" s="140">
        <f t="shared" si="44"/>
        <v>11.49727514231499</v>
      </c>
      <c r="AF193" s="149">
        <f t="shared" si="45"/>
        <v>0</v>
      </c>
      <c r="AG193" s="149">
        <v>120.874688958275</v>
      </c>
      <c r="AH193" s="150">
        <v>122.60882493478</v>
      </c>
      <c r="AI193" s="150"/>
      <c r="AJ193" s="150">
        <v>118.48779932214801</v>
      </c>
      <c r="AK193" s="150">
        <v>123.808906855476</v>
      </c>
      <c r="AL193" s="150"/>
      <c r="AM193" s="150"/>
      <c r="AN193" s="150"/>
      <c r="AO193" s="150"/>
      <c r="AP193" s="150"/>
      <c r="AQ193" s="150"/>
      <c r="AR193" s="150"/>
      <c r="AS193" s="150"/>
      <c r="AT193" s="152">
        <v>3.0704076230809799E-2</v>
      </c>
      <c r="AU193" s="152">
        <v>5.6358300653023399E-2</v>
      </c>
      <c r="AV193" s="152">
        <v>2.5458248472505001E-3</v>
      </c>
      <c r="AW193" s="152">
        <v>1.49219281526328E-2</v>
      </c>
      <c r="AX193" s="150"/>
    </row>
    <row r="194" spans="1:50">
      <c r="A194">
        <v>1956</v>
      </c>
      <c r="B194" s="9"/>
      <c r="C194" s="205">
        <v>27.18</v>
      </c>
      <c r="D194" s="205">
        <f t="shared" si="43"/>
        <v>20.660515004850861</v>
      </c>
      <c r="E194" s="144">
        <v>35</v>
      </c>
      <c r="F194" s="132">
        <f t="shared" si="37"/>
        <v>169.32752781809384</v>
      </c>
      <c r="G194" s="126">
        <f t="shared" si="36"/>
        <v>162.75449101796409</v>
      </c>
      <c r="H194" s="15">
        <v>203.4</v>
      </c>
      <c r="I194" s="159"/>
      <c r="J194" s="25">
        <f t="shared" si="33"/>
        <v>120.12222857142858</v>
      </c>
      <c r="K194" s="145"/>
      <c r="L194" s="144">
        <v>35</v>
      </c>
      <c r="M194" s="146">
        <v>2.8</v>
      </c>
      <c r="N194" s="160">
        <f t="shared" si="49"/>
        <v>12.5</v>
      </c>
      <c r="O194" s="160">
        <f t="shared" si="50"/>
        <v>12.5</v>
      </c>
      <c r="P194" s="134">
        <f t="shared" si="38"/>
        <v>294.11764705882354</v>
      </c>
      <c r="Q194" s="129">
        <v>406.1</v>
      </c>
      <c r="R194" s="129"/>
      <c r="T194" s="115">
        <f t="shared" si="48"/>
        <v>406.1</v>
      </c>
      <c r="U194" s="25">
        <f t="shared" si="35"/>
        <v>138.07399999999998</v>
      </c>
      <c r="V194" s="135">
        <v>32.660827389262899</v>
      </c>
      <c r="W194" s="135">
        <v>28.867137448039099</v>
      </c>
      <c r="X194" s="135">
        <v>30.763982418651</v>
      </c>
      <c r="Y194" s="135">
        <v>31.886726947038401</v>
      </c>
      <c r="Z194" s="27">
        <f t="shared" si="40"/>
        <v>420.82901554404145</v>
      </c>
      <c r="AA194" s="142">
        <f t="shared" si="41"/>
        <v>261.8491652274036</v>
      </c>
      <c r="AB194" s="143">
        <f t="shared" si="42"/>
        <v>142.40853886010365</v>
      </c>
      <c r="AC194" s="147">
        <v>1956</v>
      </c>
      <c r="AD194" s="148">
        <f t="shared" si="46"/>
        <v>34.966134494436375</v>
      </c>
      <c r="AE194" s="140">
        <f t="shared" si="44"/>
        <v>11.452941176470588</v>
      </c>
      <c r="AF194" s="149">
        <f t="shared" si="45"/>
        <v>0</v>
      </c>
      <c r="AG194" s="149">
        <v>122.695246357776</v>
      </c>
      <c r="AH194" s="150">
        <v>126.65181222607001</v>
      </c>
      <c r="AI194" s="150"/>
      <c r="AJ194" s="150">
        <v>120.352590795599</v>
      </c>
      <c r="AK194" s="150">
        <v>126.889619377579</v>
      </c>
      <c r="AL194" s="150"/>
      <c r="AM194" s="150"/>
      <c r="AN194" s="150"/>
      <c r="AO194" s="150"/>
      <c r="AP194" s="150"/>
      <c r="AQ194" s="150"/>
      <c r="AR194" s="150"/>
      <c r="AS194" s="150"/>
      <c r="AT194" s="152">
        <v>4.2886492039034503E-2</v>
      </c>
      <c r="AU194" s="152">
        <v>4.5483009301357402E-2</v>
      </c>
      <c r="AV194" s="152">
        <v>3.3011681056373698E-2</v>
      </c>
      <c r="AW194" s="152">
        <v>1.12030079620331E-2</v>
      </c>
      <c r="AX194" s="150"/>
    </row>
    <row r="195" spans="1:50">
      <c r="A195">
        <v>1957</v>
      </c>
      <c r="B195" s="9"/>
      <c r="C195" s="205">
        <v>28.15</v>
      </c>
      <c r="D195" s="205">
        <f t="shared" si="43"/>
        <v>21.397847585965845</v>
      </c>
      <c r="E195" s="144">
        <v>35</v>
      </c>
      <c r="F195" s="132">
        <f t="shared" si="37"/>
        <v>169.32752781809384</v>
      </c>
      <c r="G195" s="126">
        <f t="shared" si="36"/>
        <v>168.56287425149702</v>
      </c>
      <c r="H195" s="15">
        <v>209.2</v>
      </c>
      <c r="I195" s="159"/>
      <c r="J195" s="25">
        <f t="shared" si="33"/>
        <v>123.54754285714287</v>
      </c>
      <c r="K195" s="145"/>
      <c r="L195" s="144">
        <v>34.950000000000003</v>
      </c>
      <c r="M195" s="146">
        <v>2.79</v>
      </c>
      <c r="N195" s="160">
        <f t="shared" si="49"/>
        <v>12.526881720430108</v>
      </c>
      <c r="O195" s="160">
        <f t="shared" si="50"/>
        <v>12.526881720430108</v>
      </c>
      <c r="P195" s="134">
        <f t="shared" si="38"/>
        <v>294.75015812776724</v>
      </c>
      <c r="Q195" s="129">
        <v>419</v>
      </c>
      <c r="R195" s="129"/>
      <c r="T195" s="115">
        <f t="shared" si="48"/>
        <v>419</v>
      </c>
      <c r="U195" s="25">
        <f t="shared" si="35"/>
        <v>142.15429184549356</v>
      </c>
      <c r="V195" s="135">
        <v>36.4934159696286</v>
      </c>
      <c r="W195" s="135">
        <v>32.798837365876899</v>
      </c>
      <c r="X195" s="135">
        <v>34.646126667752803</v>
      </c>
      <c r="Y195" s="135">
        <v>34.776499363978502</v>
      </c>
      <c r="Z195" s="27">
        <f t="shared" si="40"/>
        <v>434.19689119170982</v>
      </c>
      <c r="AA195" s="142">
        <f t="shared" si="41"/>
        <v>269.20207253886008</v>
      </c>
      <c r="AB195" s="143">
        <f t="shared" si="42"/>
        <v>146.61692276901866</v>
      </c>
      <c r="AC195" s="147">
        <v>1957</v>
      </c>
      <c r="AD195" s="148">
        <f t="shared" si="46"/>
        <v>34.966134494436375</v>
      </c>
      <c r="AE195" s="140">
        <f t="shared" si="44"/>
        <v>11.477571157495255</v>
      </c>
      <c r="AF195" s="149">
        <f t="shared" si="45"/>
        <v>0</v>
      </c>
      <c r="AG195" s="149">
        <v>124.315440698008</v>
      </c>
      <c r="AH195" s="150">
        <v>130.42825145329601</v>
      </c>
      <c r="AI195" s="150"/>
      <c r="AJ195" s="150">
        <v>122.443873602689</v>
      </c>
      <c r="AK195" s="150">
        <v>129.542319862087</v>
      </c>
      <c r="AL195" s="150"/>
      <c r="AM195" s="150"/>
      <c r="AN195" s="150"/>
      <c r="AO195" s="150"/>
      <c r="AP195" s="150"/>
      <c r="AQ195" s="150"/>
      <c r="AR195" s="150"/>
      <c r="AS195" s="150"/>
      <c r="AT195" s="152">
        <v>3.17655749815315E-2</v>
      </c>
      <c r="AU195" s="152">
        <v>3.6057626001604101E-2</v>
      </c>
      <c r="AV195" s="152">
        <v>2.8515240904621299E-2</v>
      </c>
      <c r="AW195" s="152">
        <v>8.1788171406503296E-3</v>
      </c>
      <c r="AX195" s="150"/>
    </row>
    <row r="196" spans="1:50" ht="13">
      <c r="A196">
        <v>1958</v>
      </c>
      <c r="B196" s="9"/>
      <c r="C196" s="205">
        <v>28.92</v>
      </c>
      <c r="D196" s="205">
        <f t="shared" si="43"/>
        <v>21.983152830768464</v>
      </c>
      <c r="E196" s="144">
        <v>35</v>
      </c>
      <c r="F196" s="132">
        <f t="shared" si="37"/>
        <v>169.32752781809384</v>
      </c>
      <c r="G196" s="126">
        <f t="shared" si="36"/>
        <v>173.17365269461078</v>
      </c>
      <c r="H196" s="15">
        <v>212.1</v>
      </c>
      <c r="I196" s="159"/>
      <c r="J196" s="25">
        <f t="shared" si="33"/>
        <v>125.26020000000001</v>
      </c>
      <c r="K196" s="145"/>
      <c r="L196" s="144">
        <v>35.1</v>
      </c>
      <c r="M196" s="146">
        <v>2.81</v>
      </c>
      <c r="N196" s="160">
        <f t="shared" si="49"/>
        <v>12.491103202846976</v>
      </c>
      <c r="O196" s="160">
        <f t="shared" si="50"/>
        <v>12.491103202846976</v>
      </c>
      <c r="P196" s="134">
        <f t="shared" si="38"/>
        <v>293.90831065522298</v>
      </c>
      <c r="Q196" s="129">
        <v>421.7</v>
      </c>
      <c r="R196" s="129"/>
      <c r="S196" s="66"/>
      <c r="T196" s="115">
        <f t="shared" si="48"/>
        <v>421.7</v>
      </c>
      <c r="U196" s="25">
        <f t="shared" si="35"/>
        <v>143.48012108262105</v>
      </c>
      <c r="V196" s="135">
        <v>38.625227145561603</v>
      </c>
      <c r="W196" s="135">
        <v>34.008732304086799</v>
      </c>
      <c r="X196" s="135">
        <v>36.316979724824201</v>
      </c>
      <c r="Y196" s="135">
        <v>37.4611917679252</v>
      </c>
      <c r="Z196" s="27">
        <f t="shared" si="40"/>
        <v>436.99481865284974</v>
      </c>
      <c r="AA196" s="142">
        <f t="shared" si="41"/>
        <v>272.87898675877949</v>
      </c>
      <c r="AB196" s="143">
        <f t="shared" si="42"/>
        <v>147.98437358841505</v>
      </c>
      <c r="AC196" s="147">
        <v>1958</v>
      </c>
      <c r="AD196" s="148">
        <f t="shared" si="46"/>
        <v>34.966134494436375</v>
      </c>
      <c r="AE196" s="140">
        <f t="shared" si="44"/>
        <v>11.444789616914385</v>
      </c>
      <c r="AF196" s="149">
        <f t="shared" si="45"/>
        <v>0</v>
      </c>
      <c r="AG196" s="149">
        <v>125.740359042085</v>
      </c>
      <c r="AH196" s="150">
        <v>133.94249984823699</v>
      </c>
      <c r="AI196" s="150"/>
      <c r="AJ196" s="150">
        <v>124.114772206984</v>
      </c>
      <c r="AK196" s="150">
        <v>131.55528791813001</v>
      </c>
      <c r="AL196" s="150"/>
      <c r="AM196" s="150"/>
      <c r="AN196" s="150"/>
      <c r="AO196" s="150"/>
      <c r="AP196" s="150"/>
      <c r="AQ196" s="150"/>
      <c r="AR196" s="150"/>
      <c r="AS196" s="150"/>
      <c r="AT196" s="152">
        <v>6.4439140811455497E-3</v>
      </c>
      <c r="AU196" s="152">
        <v>2.8406919480788499E-2</v>
      </c>
      <c r="AV196" s="152">
        <v>1.38623326959847E-2</v>
      </c>
      <c r="AW196" s="152">
        <v>5.7307397064095301E-3</v>
      </c>
      <c r="AX196" s="150"/>
    </row>
    <row r="197" spans="1:50" ht="13">
      <c r="A197">
        <v>1959</v>
      </c>
      <c r="B197" s="9"/>
      <c r="C197" s="205">
        <v>29.16</v>
      </c>
      <c r="D197" s="205">
        <f t="shared" si="43"/>
        <v>22.165585634343305</v>
      </c>
      <c r="E197" s="144">
        <v>35</v>
      </c>
      <c r="F197" s="132">
        <f t="shared" si="37"/>
        <v>169.32752781809384</v>
      </c>
      <c r="G197" s="126">
        <f t="shared" si="36"/>
        <v>174.61077844311379</v>
      </c>
      <c r="H197" s="15">
        <v>212.6</v>
      </c>
      <c r="I197" s="159"/>
      <c r="J197" s="25">
        <f t="shared" si="33"/>
        <v>125.55548571428572</v>
      </c>
      <c r="K197" s="145"/>
      <c r="L197" s="144">
        <v>35.090000000000003</v>
      </c>
      <c r="M197" s="146">
        <v>2.81</v>
      </c>
      <c r="N197" s="160">
        <f t="shared" si="49"/>
        <v>12.487544483985767</v>
      </c>
      <c r="O197" s="160">
        <f t="shared" si="50"/>
        <v>12.487544483985767</v>
      </c>
      <c r="P197" s="134">
        <f t="shared" si="38"/>
        <v>293.82457609378275</v>
      </c>
      <c r="Q197" s="129">
        <v>423.2</v>
      </c>
      <c r="R197" s="129"/>
      <c r="S197" s="66"/>
      <c r="T197" s="115">
        <f t="shared" si="48"/>
        <v>423.2</v>
      </c>
      <c r="U197" s="25">
        <f t="shared" si="35"/>
        <v>144.03151895126814</v>
      </c>
      <c r="V197" s="135">
        <v>39.366543211099199</v>
      </c>
      <c r="W197" s="135">
        <v>34.468169975667003</v>
      </c>
      <c r="X197" s="135">
        <v>36.917356593383097</v>
      </c>
      <c r="Y197" s="135">
        <v>39.942815944070297</v>
      </c>
      <c r="Z197" s="27">
        <f t="shared" si="40"/>
        <v>438.54922279792748</v>
      </c>
      <c r="AA197" s="142">
        <f t="shared" si="41"/>
        <v>273.84962579159475</v>
      </c>
      <c r="AB197" s="143">
        <f t="shared" si="42"/>
        <v>148.55308141758351</v>
      </c>
      <c r="AC197" s="147">
        <v>1959</v>
      </c>
      <c r="AD197" s="148">
        <f t="shared" si="46"/>
        <v>34.966134494436375</v>
      </c>
      <c r="AE197" s="140">
        <f t="shared" si="44"/>
        <v>11.441528993091902</v>
      </c>
      <c r="AF197" s="149">
        <f t="shared" si="45"/>
        <v>0</v>
      </c>
      <c r="AG197" s="149">
        <v>126.967634046142</v>
      </c>
      <c r="AH197" s="150">
        <v>137.207732128137</v>
      </c>
      <c r="AI197" s="150"/>
      <c r="AJ197" s="150">
        <v>125.093786537825</v>
      </c>
      <c r="AK197" s="150">
        <v>133.30602986747499</v>
      </c>
      <c r="AL197" s="150"/>
      <c r="AM197" s="150"/>
      <c r="AN197" s="150"/>
      <c r="AO197" s="150"/>
      <c r="AP197" s="150"/>
      <c r="AQ197" s="150"/>
      <c r="AR197" s="150"/>
      <c r="AS197" s="150"/>
      <c r="AT197" s="152">
        <v>3.5570310647379602E-3</v>
      </c>
      <c r="AU197" s="152">
        <v>2.2812737955734502E-2</v>
      </c>
      <c r="AV197" s="152">
        <v>2.3573785950023502E-3</v>
      </c>
      <c r="AW197" s="152">
        <v>3.9435239148756301E-3</v>
      </c>
      <c r="AX197" s="150"/>
    </row>
    <row r="198" spans="1:50" ht="13">
      <c r="A198">
        <v>1960</v>
      </c>
      <c r="B198" s="9"/>
      <c r="C198" s="205">
        <v>29.62</v>
      </c>
      <c r="D198" s="205">
        <f t="shared" si="43"/>
        <v>22.515248507861752</v>
      </c>
      <c r="E198" s="144">
        <v>35</v>
      </c>
      <c r="F198" s="132">
        <f t="shared" si="37"/>
        <v>169.32752781809384</v>
      </c>
      <c r="G198" s="126">
        <f t="shared" si="36"/>
        <v>177.36526946107784</v>
      </c>
      <c r="H198" s="15">
        <v>212.6</v>
      </c>
      <c r="I198" s="159"/>
      <c r="J198" s="25">
        <f t="shared" si="33"/>
        <v>125.55548571428572</v>
      </c>
      <c r="K198" s="145"/>
      <c r="L198" s="144">
        <v>35.28</v>
      </c>
      <c r="M198" s="146">
        <v>2.81</v>
      </c>
      <c r="N198" s="160">
        <f t="shared" si="49"/>
        <v>12.555160142348754</v>
      </c>
      <c r="O198" s="160">
        <f t="shared" si="50"/>
        <v>12.555160142348754</v>
      </c>
      <c r="P198" s="134">
        <f t="shared" si="38"/>
        <v>295.41553276114718</v>
      </c>
      <c r="Q198" s="129">
        <v>428.9</v>
      </c>
      <c r="R198" s="129"/>
      <c r="S198" s="164">
        <v>11.011804659806659</v>
      </c>
      <c r="T198" s="115">
        <f t="shared" si="48"/>
        <v>428.9</v>
      </c>
      <c r="U198" s="25">
        <f t="shared" si="35"/>
        <v>145.18532454648525</v>
      </c>
      <c r="V198" s="135">
        <v>39.827646460279396</v>
      </c>
      <c r="W198" s="135">
        <v>35.5685172541382</v>
      </c>
      <c r="X198" s="135">
        <v>37.698081857208798</v>
      </c>
      <c r="Y198" s="135">
        <v>42.211941557174498</v>
      </c>
      <c r="Z198" s="27">
        <f t="shared" si="40"/>
        <v>444.45595854922277</v>
      </c>
      <c r="AA198" s="142">
        <f t="shared" si="41"/>
        <v>277.53805411629247</v>
      </c>
      <c r="AB198" s="143">
        <f t="shared" si="42"/>
        <v>149.74310827958126</v>
      </c>
      <c r="AC198" s="147">
        <v>1960</v>
      </c>
      <c r="AD198" s="148">
        <f t="shared" si="46"/>
        <v>34.966134494436375</v>
      </c>
      <c r="AE198" s="140">
        <f t="shared" si="44"/>
        <v>11.503480845719071</v>
      </c>
      <c r="AF198" s="149">
        <f t="shared" si="45"/>
        <v>0</v>
      </c>
      <c r="AG198" s="149">
        <v>127.990294775891</v>
      </c>
      <c r="AH198" s="150">
        <v>140.21919801175699</v>
      </c>
      <c r="AI198" s="150"/>
      <c r="AJ198" s="150">
        <v>125.49782578888799</v>
      </c>
      <c r="AK198" s="150">
        <v>135.37028939251201</v>
      </c>
      <c r="AL198" s="150"/>
      <c r="AM198" s="150"/>
      <c r="AN198" s="150"/>
      <c r="AO198" s="150"/>
      <c r="AP198" s="150"/>
      <c r="AQ198" s="150"/>
      <c r="AR198" s="150"/>
      <c r="AS198" s="150"/>
      <c r="AT198" s="152">
        <v>1.34688090737239E-2</v>
      </c>
      <c r="AU198" s="152">
        <v>1.9337299589269899E-2</v>
      </c>
      <c r="AV198" s="152">
        <v>0</v>
      </c>
      <c r="AW198" s="152">
        <v>2.98323395150923E-3</v>
      </c>
      <c r="AX198" s="150"/>
    </row>
    <row r="199" spans="1:50" ht="13">
      <c r="A199">
        <v>1961</v>
      </c>
      <c r="B199" s="9"/>
      <c r="C199" s="205">
        <v>29.92</v>
      </c>
      <c r="D199" s="205">
        <f t="shared" si="43"/>
        <v>22.743289512330307</v>
      </c>
      <c r="E199" s="144">
        <v>35</v>
      </c>
      <c r="F199" s="132">
        <f t="shared" si="37"/>
        <v>169.32752781809384</v>
      </c>
      <c r="G199" s="126">
        <f t="shared" si="36"/>
        <v>179.16167664670658</v>
      </c>
      <c r="H199" s="15">
        <v>212.6</v>
      </c>
      <c r="I199" s="159"/>
      <c r="J199" s="25">
        <f t="shared" si="33"/>
        <v>125.55548571428572</v>
      </c>
      <c r="K199" s="145"/>
      <c r="L199" s="144">
        <v>35.15</v>
      </c>
      <c r="M199" s="146">
        <v>2.8</v>
      </c>
      <c r="N199" s="160">
        <f t="shared" si="49"/>
        <v>12.553571428571429</v>
      </c>
      <c r="O199" s="160">
        <f t="shared" si="50"/>
        <v>12.553571428571429</v>
      </c>
      <c r="P199" s="134">
        <f t="shared" si="38"/>
        <v>295.37815126050418</v>
      </c>
      <c r="Q199" s="129">
        <v>440.3</v>
      </c>
      <c r="R199" s="129"/>
      <c r="S199" s="164">
        <v>11.659557875089401</v>
      </c>
      <c r="T199" s="115">
        <f t="shared" si="48"/>
        <v>440.3</v>
      </c>
      <c r="U199" s="25">
        <f t="shared" si="35"/>
        <v>149.06315789473686</v>
      </c>
      <c r="V199" s="135">
        <v>40.308819187139598</v>
      </c>
      <c r="W199" s="135">
        <v>39.4111601735436</v>
      </c>
      <c r="X199" s="135">
        <v>39.859989680341599</v>
      </c>
      <c r="Y199" s="135">
        <v>44.228883678491897</v>
      </c>
      <c r="Z199" s="27">
        <f t="shared" si="40"/>
        <v>456.26943005181346</v>
      </c>
      <c r="AA199" s="142">
        <f t="shared" si="41"/>
        <v>283.90097869890616</v>
      </c>
      <c r="AB199" s="143">
        <f t="shared" si="42"/>
        <v>153.74267793836927</v>
      </c>
      <c r="AC199" s="147">
        <v>1961</v>
      </c>
      <c r="AD199" s="148">
        <f t="shared" si="46"/>
        <v>34.966134494436375</v>
      </c>
      <c r="AE199" s="140">
        <f t="shared" si="44"/>
        <v>11.502025210084035</v>
      </c>
      <c r="AF199" s="149">
        <f t="shared" si="45"/>
        <v>0</v>
      </c>
      <c r="AG199" s="149">
        <v>128.78749395658599</v>
      </c>
      <c r="AH199" s="150">
        <v>142.92626989657899</v>
      </c>
      <c r="AI199" s="150"/>
      <c r="AJ199" s="150">
        <v>125.60587030791</v>
      </c>
      <c r="AK199" s="150">
        <v>138.09513355314201</v>
      </c>
      <c r="AL199" s="150"/>
      <c r="AM199" s="150"/>
      <c r="AN199" s="150"/>
      <c r="AO199" s="150"/>
      <c r="AP199" s="150"/>
      <c r="AQ199" s="150"/>
      <c r="AR199" s="150"/>
      <c r="AS199" s="150"/>
      <c r="AT199" s="152">
        <v>2.6579622289578001E-2</v>
      </c>
      <c r="AU199" s="152">
        <v>1.7850265475312401E-2</v>
      </c>
      <c r="AV199" s="152">
        <v>0</v>
      </c>
      <c r="AW199" s="152">
        <v>3.0000725485722201E-3</v>
      </c>
      <c r="AX199" s="150"/>
    </row>
    <row r="200" spans="1:50" ht="13">
      <c r="A200">
        <v>1962</v>
      </c>
      <c r="B200" s="9"/>
      <c r="C200" s="205">
        <v>30.26</v>
      </c>
      <c r="D200" s="205">
        <f t="shared" si="43"/>
        <v>23.001735984061334</v>
      </c>
      <c r="E200" s="144">
        <v>35</v>
      </c>
      <c r="F200" s="132">
        <f t="shared" si="37"/>
        <v>169.32752781809384</v>
      </c>
      <c r="G200" s="126">
        <f t="shared" si="36"/>
        <v>181.19760479041918</v>
      </c>
      <c r="H200" s="15">
        <v>212.6</v>
      </c>
      <c r="I200" s="159"/>
      <c r="J200" s="25">
        <f t="shared" si="33"/>
        <v>125.55548571428572</v>
      </c>
      <c r="K200" s="145"/>
      <c r="L200" s="144">
        <v>35.1</v>
      </c>
      <c r="M200" s="146">
        <v>2.81</v>
      </c>
      <c r="N200" s="160">
        <f t="shared" si="49"/>
        <v>12.491103202846976</v>
      </c>
      <c r="O200" s="160">
        <f t="shared" si="50"/>
        <v>12.491103202846976</v>
      </c>
      <c r="P200" s="134">
        <f t="shared" si="38"/>
        <v>293.90831065522298</v>
      </c>
      <c r="Q200" s="129">
        <v>450.1</v>
      </c>
      <c r="R200" s="129"/>
      <c r="S200" s="164">
        <v>11.9186591612025</v>
      </c>
      <c r="T200" s="115">
        <f t="shared" si="48"/>
        <v>450.1</v>
      </c>
      <c r="U200" s="25">
        <f t="shared" si="35"/>
        <v>153.14299857549855</v>
      </c>
      <c r="V200" s="135">
        <v>40.810343685717598</v>
      </c>
      <c r="W200" s="135">
        <v>43.497503928450897</v>
      </c>
      <c r="X200" s="135">
        <v>42.153923807084198</v>
      </c>
      <c r="Y200" s="135">
        <v>45.908818782276597</v>
      </c>
      <c r="Z200" s="27">
        <f t="shared" si="40"/>
        <v>466.42487046632124</v>
      </c>
      <c r="AA200" s="142">
        <f t="shared" si="41"/>
        <v>291.25641911341393</v>
      </c>
      <c r="AB200" s="143">
        <f t="shared" si="42"/>
        <v>157.95059651919755</v>
      </c>
      <c r="AC200" s="147">
        <v>1962</v>
      </c>
      <c r="AD200" s="148">
        <f t="shared" si="46"/>
        <v>34.966134494436375</v>
      </c>
      <c r="AE200" s="140">
        <f t="shared" si="44"/>
        <v>11.444789616914385</v>
      </c>
      <c r="AF200" s="149">
        <f t="shared" si="45"/>
        <v>0</v>
      </c>
      <c r="AG200" s="149">
        <v>129.31428136572001</v>
      </c>
      <c r="AH200" s="150">
        <v>145.21732819996501</v>
      </c>
      <c r="AI200" s="150"/>
      <c r="AJ200" s="150">
        <v>125.724291846331</v>
      </c>
      <c r="AK200" s="150">
        <v>141.410866278425</v>
      </c>
      <c r="AL200" s="150"/>
      <c r="AM200" s="150"/>
      <c r="AN200" s="150"/>
      <c r="AO200" s="150"/>
      <c r="AP200" s="150"/>
      <c r="AQ200" s="150"/>
      <c r="AR200" s="150"/>
      <c r="AS200" s="150"/>
      <c r="AT200" s="152">
        <v>2.2257551669316401E-2</v>
      </c>
      <c r="AU200" s="152">
        <v>1.8162611802624198E-2</v>
      </c>
      <c r="AV200" s="152">
        <v>0</v>
      </c>
      <c r="AW200" s="152">
        <v>4.1144100988113998E-3</v>
      </c>
      <c r="AX200" s="150"/>
    </row>
    <row r="201" spans="1:50" ht="13">
      <c r="A201">
        <v>1963</v>
      </c>
      <c r="B201" s="9"/>
      <c r="C201" s="205">
        <v>30.62</v>
      </c>
      <c r="D201" s="205">
        <f t="shared" si="43"/>
        <v>23.275385189423595</v>
      </c>
      <c r="E201" s="144">
        <v>35</v>
      </c>
      <c r="F201" s="132">
        <f t="shared" si="37"/>
        <v>169.32752781809384</v>
      </c>
      <c r="G201" s="126">
        <f t="shared" si="36"/>
        <v>183.35329341317367</v>
      </c>
      <c r="H201" s="15">
        <v>211.9</v>
      </c>
      <c r="I201" s="159"/>
      <c r="J201" s="25">
        <f t="shared" si="33"/>
        <v>125.14208571428573</v>
      </c>
      <c r="K201" s="145"/>
      <c r="L201" s="144">
        <v>35.090000000000003</v>
      </c>
      <c r="M201" s="146">
        <v>2.8</v>
      </c>
      <c r="N201" s="160">
        <f t="shared" si="49"/>
        <v>12.532142857142858</v>
      </c>
      <c r="O201" s="160">
        <f t="shared" si="50"/>
        <v>12.532142857142858</v>
      </c>
      <c r="P201" s="134">
        <f t="shared" si="38"/>
        <v>294.87394957983196</v>
      </c>
      <c r="Q201" s="129">
        <v>456.2</v>
      </c>
      <c r="R201" s="129"/>
      <c r="S201" s="164">
        <v>11.983434482730775</v>
      </c>
      <c r="T201" s="115">
        <f t="shared" si="48"/>
        <v>456.2</v>
      </c>
      <c r="U201" s="25">
        <f t="shared" si="35"/>
        <v>154.71017383870048</v>
      </c>
      <c r="V201" s="135">
        <v>40.9125022500507</v>
      </c>
      <c r="W201" s="135">
        <v>45.108972873948701</v>
      </c>
      <c r="X201" s="135">
        <v>43.010737561999697</v>
      </c>
      <c r="Y201" s="135">
        <v>47.1232344028016</v>
      </c>
      <c r="Z201" s="27">
        <f t="shared" si="40"/>
        <v>472.74611398963731</v>
      </c>
      <c r="AA201" s="142">
        <f t="shared" si="41"/>
        <v>294.15313759355212</v>
      </c>
      <c r="AB201" s="143">
        <f t="shared" si="42"/>
        <v>159.56696990861397</v>
      </c>
      <c r="AC201" s="147">
        <v>1963</v>
      </c>
      <c r="AD201" s="148">
        <f t="shared" si="46"/>
        <v>34.966134494436375</v>
      </c>
      <c r="AE201" s="140">
        <f t="shared" si="44"/>
        <v>11.482391596638656</v>
      </c>
      <c r="AF201" s="149">
        <f t="shared" si="45"/>
        <v>0</v>
      </c>
      <c r="AG201" s="149">
        <v>129.49363184121901</v>
      </c>
      <c r="AH201" s="150">
        <v>146.93129064031299</v>
      </c>
      <c r="AI201" s="150"/>
      <c r="AJ201" s="150">
        <v>126.15083871962101</v>
      </c>
      <c r="AK201" s="150">
        <v>145.20941364637599</v>
      </c>
      <c r="AL201" s="150"/>
      <c r="AM201" s="150"/>
      <c r="AN201" s="150"/>
      <c r="AO201" s="150"/>
      <c r="AP201" s="150"/>
      <c r="AQ201" s="150"/>
      <c r="AR201" s="150"/>
      <c r="AS201" s="150"/>
      <c r="AT201" s="152">
        <v>1.3552543879137799E-2</v>
      </c>
      <c r="AU201" s="152">
        <v>2.0172608328110402E-2</v>
      </c>
      <c r="AV201" s="152">
        <v>-3.2925682031984399E-3</v>
      </c>
      <c r="AW201" s="152">
        <v>6.4166162694878296E-3</v>
      </c>
      <c r="AX201" s="150"/>
    </row>
    <row r="202" spans="1:50" ht="13">
      <c r="A202">
        <v>1964</v>
      </c>
      <c r="B202" s="9"/>
      <c r="C202" s="205">
        <v>31.03</v>
      </c>
      <c r="D202" s="205">
        <f t="shared" si="43"/>
        <v>23.587041228863949</v>
      </c>
      <c r="E202" s="144">
        <v>35</v>
      </c>
      <c r="F202" s="132">
        <f t="shared" si="37"/>
        <v>169.32752781809384</v>
      </c>
      <c r="G202" s="126">
        <f t="shared" si="36"/>
        <v>185.80838323353294</v>
      </c>
      <c r="H202" s="15">
        <v>212.3</v>
      </c>
      <c r="I202" s="159"/>
      <c r="J202" s="25">
        <f t="shared" si="33"/>
        <v>125.3783142857143</v>
      </c>
      <c r="K202" s="145"/>
      <c r="L202" s="144">
        <v>35.090000000000003</v>
      </c>
      <c r="M202" s="146">
        <v>2.79</v>
      </c>
      <c r="N202" s="160">
        <f t="shared" si="49"/>
        <v>12.577060931899643</v>
      </c>
      <c r="O202" s="160">
        <f t="shared" si="50"/>
        <v>12.577060931899643</v>
      </c>
      <c r="P202" s="134">
        <f t="shared" si="38"/>
        <v>295.93084545646218</v>
      </c>
      <c r="Q202" s="129">
        <v>471.4</v>
      </c>
      <c r="R202" s="129"/>
      <c r="S202" s="164">
        <v>12.372086411900424</v>
      </c>
      <c r="T202" s="115">
        <f t="shared" si="48"/>
        <v>471.4</v>
      </c>
      <c r="U202" s="25">
        <f t="shared" si="35"/>
        <v>159.29397264177828</v>
      </c>
      <c r="V202" s="135">
        <v>41.695577174176897</v>
      </c>
      <c r="W202" s="135">
        <v>49.7670105256515</v>
      </c>
      <c r="X202" s="135">
        <v>45.731293849914202</v>
      </c>
      <c r="Y202" s="135">
        <v>47.706069124587501</v>
      </c>
      <c r="Z202" s="27">
        <f t="shared" si="40"/>
        <v>488.49740932642487</v>
      </c>
      <c r="AA202" s="142">
        <f t="shared" si="41"/>
        <v>302.86839378238341</v>
      </c>
      <c r="AB202" s="143">
        <f t="shared" si="42"/>
        <v>164.29466730258389</v>
      </c>
      <c r="AC202" s="147">
        <v>1964</v>
      </c>
      <c r="AD202" s="148">
        <f t="shared" si="46"/>
        <v>34.966134494436375</v>
      </c>
      <c r="AE202" s="140">
        <f t="shared" si="44"/>
        <v>11.523547122074637</v>
      </c>
      <c r="AF202" s="149">
        <f t="shared" si="45"/>
        <v>0</v>
      </c>
      <c r="AG202" s="149">
        <v>129.211177407354</v>
      </c>
      <c r="AH202" s="150">
        <v>147.86540165401999</v>
      </c>
      <c r="AI202" s="150"/>
      <c r="AJ202" s="150">
        <v>127.135161961139</v>
      </c>
      <c r="AK202" s="150">
        <v>149.262412975535</v>
      </c>
      <c r="AL202" s="150"/>
      <c r="AM202" s="150"/>
      <c r="AN202" s="150"/>
      <c r="AO202" s="150"/>
      <c r="AP202" s="150"/>
      <c r="AQ202" s="150"/>
      <c r="AR202" s="150"/>
      <c r="AS202" s="150"/>
      <c r="AT202" s="152">
        <v>3.3318719859710598E-2</v>
      </c>
      <c r="AU202" s="152">
        <v>2.3819474207342602E-2</v>
      </c>
      <c r="AV202" s="152">
        <v>1.88768286927798E-3</v>
      </c>
      <c r="AW202" s="152">
        <v>9.9559166268744798E-3</v>
      </c>
      <c r="AX202" s="150"/>
    </row>
    <row r="203" spans="1:50" ht="13">
      <c r="A203">
        <v>1965</v>
      </c>
      <c r="B203" s="9"/>
      <c r="C203" s="205">
        <v>31.56</v>
      </c>
      <c r="D203" s="205">
        <f t="shared" si="43"/>
        <v>23.989913670091727</v>
      </c>
      <c r="E203" s="144">
        <v>35</v>
      </c>
      <c r="F203" s="132">
        <f t="shared" si="37"/>
        <v>169.32752781809384</v>
      </c>
      <c r="G203" s="126">
        <f t="shared" si="36"/>
        <v>188.98203592814372</v>
      </c>
      <c r="H203" s="15">
        <v>216.6</v>
      </c>
      <c r="I203" s="159"/>
      <c r="J203" s="25">
        <f t="shared" si="33"/>
        <v>127.91777142857144</v>
      </c>
      <c r="K203" s="145"/>
      <c r="L203" s="144">
        <v>35.130000000000003</v>
      </c>
      <c r="M203" s="146">
        <v>2.8</v>
      </c>
      <c r="N203" s="160">
        <f t="shared" si="49"/>
        <v>12.546428571428573</v>
      </c>
      <c r="O203" s="160">
        <f t="shared" si="50"/>
        <v>12.546428571428573</v>
      </c>
      <c r="P203" s="134">
        <f t="shared" si="38"/>
        <v>295.2100840336135</v>
      </c>
      <c r="Q203" s="129">
        <v>493.1</v>
      </c>
      <c r="R203" s="129"/>
      <c r="S203" s="164">
        <v>12.825513662598343</v>
      </c>
      <c r="T203" s="115">
        <f t="shared" si="48"/>
        <v>493.1</v>
      </c>
      <c r="U203" s="25">
        <f t="shared" si="35"/>
        <v>167.03358952462281</v>
      </c>
      <c r="V203" s="135">
        <v>44.7998507521337</v>
      </c>
      <c r="W203" s="135">
        <v>57.623079559693203</v>
      </c>
      <c r="X203" s="135">
        <v>51.211465155913501</v>
      </c>
      <c r="Y203" s="135">
        <v>47.450136563747201</v>
      </c>
      <c r="Z203" s="27">
        <f t="shared" si="40"/>
        <v>510.98445595854923</v>
      </c>
      <c r="AA203" s="142">
        <f t="shared" si="41"/>
        <v>317.94588370754173</v>
      </c>
      <c r="AB203" s="143">
        <f t="shared" si="42"/>
        <v>172.27725295681915</v>
      </c>
      <c r="AC203" s="147">
        <v>1965</v>
      </c>
      <c r="AD203" s="148">
        <f t="shared" si="46"/>
        <v>34.966134494436375</v>
      </c>
      <c r="AE203" s="140">
        <f t="shared" si="44"/>
        <v>11.49548067226891</v>
      </c>
      <c r="AF203" s="149">
        <f t="shared" si="45"/>
        <v>0</v>
      </c>
      <c r="AG203" s="149">
        <v>128.30921376998299</v>
      </c>
      <c r="AH203" s="150">
        <v>147.77719277108201</v>
      </c>
      <c r="AI203" s="150"/>
      <c r="AJ203" s="150">
        <v>128.59663303104</v>
      </c>
      <c r="AK203" s="150">
        <v>152.59169703564899</v>
      </c>
      <c r="AL203" s="150"/>
      <c r="AM203" s="150"/>
      <c r="AN203" s="150"/>
      <c r="AO203" s="150"/>
      <c r="AP203" s="150"/>
      <c r="AQ203" s="150"/>
      <c r="AR203" s="150"/>
      <c r="AS203" s="150"/>
      <c r="AT203" s="152">
        <v>4.6033092914722198E-2</v>
      </c>
      <c r="AU203" s="152">
        <v>2.8976227951402901E-2</v>
      </c>
      <c r="AV203" s="152">
        <v>2.0254357041921699E-2</v>
      </c>
      <c r="AW203" s="152">
        <v>1.46844448925174E-2</v>
      </c>
      <c r="AX203" s="150"/>
    </row>
    <row r="204" spans="1:50" ht="13">
      <c r="A204">
        <v>1966</v>
      </c>
      <c r="B204" s="9"/>
      <c r="C204" s="205">
        <v>32.46</v>
      </c>
      <c r="D204" s="205">
        <f t="shared" si="43"/>
        <v>24.674036683497384</v>
      </c>
      <c r="E204" s="144">
        <v>35</v>
      </c>
      <c r="F204" s="132">
        <f t="shared" si="37"/>
        <v>169.32752781809384</v>
      </c>
      <c r="G204" s="126">
        <f t="shared" si="36"/>
        <v>194.37125748502996</v>
      </c>
      <c r="H204" s="15">
        <v>223.8</v>
      </c>
      <c r="I204" s="159"/>
      <c r="J204" s="25">
        <f t="shared" si="33"/>
        <v>132.16988571428573</v>
      </c>
      <c r="K204" s="145"/>
      <c r="L204" s="144">
        <v>35.17</v>
      </c>
      <c r="M204" s="146">
        <v>2.79</v>
      </c>
      <c r="N204" s="160">
        <f t="shared" si="49"/>
        <v>12.605734767025091</v>
      </c>
      <c r="O204" s="160">
        <f t="shared" si="50"/>
        <v>12.605734767025091</v>
      </c>
      <c r="P204" s="134">
        <f t="shared" si="38"/>
        <v>296.60552393000211</v>
      </c>
      <c r="Q204" s="129">
        <v>506.8</v>
      </c>
      <c r="R204" s="129"/>
      <c r="S204" s="164">
        <v>13.214165591767987</v>
      </c>
      <c r="T204" s="115">
        <f t="shared" si="48"/>
        <v>506.8</v>
      </c>
      <c r="U204" s="25">
        <f t="shared" si="35"/>
        <v>170.8666761444413</v>
      </c>
      <c r="V204" s="135">
        <v>49.635605277958497</v>
      </c>
      <c r="W204" s="135">
        <v>61.618661812734203</v>
      </c>
      <c r="X204" s="135">
        <v>55.627133545346403</v>
      </c>
      <c r="Y204" s="135">
        <v>46.128502583646899</v>
      </c>
      <c r="Z204" s="27">
        <f t="shared" si="40"/>
        <v>525.18134715025906</v>
      </c>
      <c r="AA204" s="142">
        <f t="shared" si="41"/>
        <v>325.61243523316062</v>
      </c>
      <c r="AB204" s="143">
        <f t="shared" si="42"/>
        <v>176.23067115903365</v>
      </c>
      <c r="AC204" s="147">
        <v>1966</v>
      </c>
      <c r="AD204" s="148">
        <f t="shared" si="46"/>
        <v>34.966134494436375</v>
      </c>
      <c r="AE204" s="140">
        <f t="shared" si="44"/>
        <v>11.549819101834283</v>
      </c>
      <c r="AF204" s="149">
        <f t="shared" si="45"/>
        <v>0</v>
      </c>
      <c r="AG204" s="149">
        <v>126.59192486089</v>
      </c>
      <c r="AH204" s="150">
        <v>146.422841504952</v>
      </c>
      <c r="AI204" s="150"/>
      <c r="AJ204" s="150">
        <v>129.876236069095</v>
      </c>
      <c r="AK204" s="150">
        <v>153.708294271288</v>
      </c>
      <c r="AL204" s="150"/>
      <c r="AM204" s="150"/>
      <c r="AN204" s="150"/>
      <c r="AO204" s="150"/>
      <c r="AP204" s="150"/>
      <c r="AQ204" s="150"/>
      <c r="AR204" s="150"/>
      <c r="AS204" s="150"/>
      <c r="AT204" s="152">
        <v>2.77834110728046E-2</v>
      </c>
      <c r="AU204" s="152">
        <v>3.5610880527897203E-2</v>
      </c>
      <c r="AV204" s="152">
        <v>3.3240997229916899E-2</v>
      </c>
      <c r="AW204" s="152">
        <v>2.0473652450386699E-2</v>
      </c>
      <c r="AX204" s="150"/>
    </row>
    <row r="205" spans="1:50" ht="13">
      <c r="A205">
        <v>1967</v>
      </c>
      <c r="B205" s="9"/>
      <c r="C205" s="205">
        <v>33.4</v>
      </c>
      <c r="D205" s="205">
        <f t="shared" si="43"/>
        <v>25.388565164165517</v>
      </c>
      <c r="E205" s="144">
        <v>35</v>
      </c>
      <c r="F205" s="132">
        <f t="shared" si="37"/>
        <v>169.32752781809384</v>
      </c>
      <c r="G205" s="126">
        <f t="shared" si="36"/>
        <v>200</v>
      </c>
      <c r="H205" s="15">
        <v>224.2</v>
      </c>
      <c r="I205" s="159"/>
      <c r="J205" s="25">
        <f t="shared" si="33"/>
        <v>132.4061142857143</v>
      </c>
      <c r="K205" s="145"/>
      <c r="L205" s="144">
        <v>35.19</v>
      </c>
      <c r="M205" s="146">
        <v>2.75</v>
      </c>
      <c r="N205" s="160">
        <f t="shared" si="49"/>
        <v>12.796363636363635</v>
      </c>
      <c r="O205" s="160">
        <f t="shared" si="50"/>
        <v>12.796363636363635</v>
      </c>
      <c r="P205" s="134">
        <f t="shared" si="38"/>
        <v>301.09090909090907</v>
      </c>
      <c r="Q205" s="129">
        <v>513.29999999999995</v>
      </c>
      <c r="R205" s="129"/>
      <c r="S205" s="164">
        <v>13.408491556352814</v>
      </c>
      <c r="T205" s="115">
        <f t="shared" si="48"/>
        <v>513.29999999999995</v>
      </c>
      <c r="U205" s="25">
        <f t="shared" si="35"/>
        <v>170.4800724637681</v>
      </c>
      <c r="V205" s="135">
        <v>50.483123045689297</v>
      </c>
      <c r="W205" s="135">
        <v>61.425258281955202</v>
      </c>
      <c r="X205" s="135">
        <v>55.954190663822203</v>
      </c>
      <c r="Y205" s="135">
        <v>43.551846333574296</v>
      </c>
      <c r="Z205" s="27">
        <f t="shared" si="40"/>
        <v>531.9170984455958</v>
      </c>
      <c r="AA205" s="142">
        <f t="shared" si="41"/>
        <v>325.06044905008633</v>
      </c>
      <c r="AB205" s="143">
        <f t="shared" si="42"/>
        <v>175.83193088003395</v>
      </c>
      <c r="AC205" s="147">
        <v>1967</v>
      </c>
      <c r="AD205" s="148">
        <f t="shared" si="46"/>
        <v>34.966134494436375</v>
      </c>
      <c r="AE205" s="140">
        <f t="shared" si="44"/>
        <v>11.724479999999998</v>
      </c>
      <c r="AF205" s="149">
        <f t="shared" si="45"/>
        <v>0</v>
      </c>
      <c r="AG205" s="149">
        <v>123.85980247416001</v>
      </c>
      <c r="AH205" s="150">
        <v>143.62605344137401</v>
      </c>
      <c r="AI205" s="150"/>
      <c r="AJ205" s="150">
        <v>130.09607753806401</v>
      </c>
      <c r="AK205" s="150">
        <v>151.76933411513701</v>
      </c>
      <c r="AL205" s="165">
        <v>152</v>
      </c>
      <c r="AM205" s="165">
        <v>130</v>
      </c>
      <c r="AN205" s="150"/>
      <c r="AO205" s="150"/>
      <c r="AP205" s="150"/>
      <c r="AQ205" s="150"/>
      <c r="AR205" s="150"/>
      <c r="AS205" s="150"/>
      <c r="AT205" s="152">
        <v>1.2825572217837301E-2</v>
      </c>
      <c r="AU205" s="152">
        <v>4.3862011554064398E-2</v>
      </c>
      <c r="AV205" s="152">
        <v>1.78731009830195E-3</v>
      </c>
      <c r="AW205" s="152">
        <v>2.7250689805946499E-2</v>
      </c>
      <c r="AX205" s="150"/>
    </row>
    <row r="206" spans="1:50" ht="13">
      <c r="A206">
        <v>1968</v>
      </c>
      <c r="B206" s="9"/>
      <c r="C206" s="205">
        <v>34.799999999999997</v>
      </c>
      <c r="D206" s="205">
        <f t="shared" si="43"/>
        <v>26.452756518352089</v>
      </c>
      <c r="E206" s="144">
        <v>39.26</v>
      </c>
      <c r="F206" s="132">
        <f t="shared" si="37"/>
        <v>189.93710691823898</v>
      </c>
      <c r="G206" s="126">
        <f t="shared" si="36"/>
        <v>208.3832335329341</v>
      </c>
      <c r="H206" s="15">
        <v>229.8</v>
      </c>
      <c r="I206" s="159"/>
      <c r="J206" s="25">
        <f t="shared" si="33"/>
        <v>120.98741721854306</v>
      </c>
      <c r="K206" s="145"/>
      <c r="L206" s="144">
        <v>38.69</v>
      </c>
      <c r="M206" s="146">
        <v>2.39</v>
      </c>
      <c r="N206" s="160">
        <f t="shared" si="49"/>
        <v>16.18828451882845</v>
      </c>
      <c r="O206" s="160">
        <f t="shared" si="50"/>
        <v>16.18828451882845</v>
      </c>
      <c r="P206" s="134">
        <f t="shared" si="38"/>
        <v>380.90081220772822</v>
      </c>
      <c r="Q206" s="129">
        <v>536.1</v>
      </c>
      <c r="R206" s="129"/>
      <c r="S206" s="164">
        <v>13.926694128579006</v>
      </c>
      <c r="T206" s="115">
        <f t="shared" si="48"/>
        <v>536.1</v>
      </c>
      <c r="U206" s="25">
        <f t="shared" si="35"/>
        <v>140.74530240372192</v>
      </c>
      <c r="V206" s="135">
        <v>39.692686349363498</v>
      </c>
      <c r="W206" s="135">
        <v>31.9343891250616</v>
      </c>
      <c r="X206" s="135">
        <v>35.813537737212499</v>
      </c>
      <c r="Y206" s="135">
        <v>39.6258332724342</v>
      </c>
      <c r="Z206" s="27">
        <f t="shared" si="40"/>
        <v>555.54404145077717</v>
      </c>
      <c r="AA206" s="142">
        <f t="shared" si="41"/>
        <v>295.05561312607944</v>
      </c>
      <c r="AB206" s="143">
        <f t="shared" si="42"/>
        <v>145.16370110764859</v>
      </c>
      <c r="AC206" s="147">
        <v>1968</v>
      </c>
      <c r="AD206" s="148">
        <f t="shared" si="46"/>
        <v>39.222012578616344</v>
      </c>
      <c r="AE206" s="140">
        <f t="shared" si="44"/>
        <v>14.832277627368937</v>
      </c>
      <c r="AF206" s="149">
        <f t="shared" si="45"/>
        <v>0</v>
      </c>
      <c r="AG206" s="149">
        <v>119.969319155268</v>
      </c>
      <c r="AH206" s="150">
        <v>139.334505751042</v>
      </c>
      <c r="AI206" s="150"/>
      <c r="AJ206" s="150">
        <v>129.14951854434301</v>
      </c>
      <c r="AK206" s="150">
        <v>147.63584790945299</v>
      </c>
      <c r="AL206" s="165"/>
      <c r="AM206" s="165"/>
      <c r="AN206" s="150"/>
      <c r="AO206" s="150"/>
      <c r="AP206" s="150"/>
      <c r="AQ206" s="150"/>
      <c r="AR206" s="150"/>
      <c r="AS206" s="150"/>
      <c r="AT206" s="152">
        <v>4.4418468731735897E-2</v>
      </c>
      <c r="AU206" s="152">
        <v>5.37899259525925E-2</v>
      </c>
      <c r="AV206" s="152">
        <v>2.4977698483496898E-2</v>
      </c>
      <c r="AW206" s="152">
        <v>3.50703809124564E-2</v>
      </c>
      <c r="AX206" s="150"/>
    </row>
    <row r="207" spans="1:50" ht="13">
      <c r="A207">
        <v>1969</v>
      </c>
      <c r="B207" s="9"/>
      <c r="C207" s="205">
        <v>36.67</v>
      </c>
      <c r="D207" s="205">
        <f t="shared" si="43"/>
        <v>27.874212112872737</v>
      </c>
      <c r="E207" s="144">
        <v>41.51</v>
      </c>
      <c r="F207" s="132">
        <f t="shared" si="37"/>
        <v>200.8224479922593</v>
      </c>
      <c r="G207" s="126">
        <f t="shared" si="36"/>
        <v>219.5808383233533</v>
      </c>
      <c r="H207" s="15">
        <v>238.8</v>
      </c>
      <c r="I207" s="159"/>
      <c r="J207" s="25">
        <f t="shared" si="33"/>
        <v>118.91100939532643</v>
      </c>
      <c r="K207" s="145"/>
      <c r="L207" s="144">
        <v>41.09</v>
      </c>
      <c r="M207" s="146">
        <v>2.39</v>
      </c>
      <c r="N207" s="160">
        <f t="shared" si="49"/>
        <v>17.192468619246863</v>
      </c>
      <c r="O207" s="160">
        <f t="shared" si="50"/>
        <v>17.192468619246863</v>
      </c>
      <c r="P207" s="134">
        <f t="shared" si="38"/>
        <v>404.52867339404384</v>
      </c>
      <c r="Q207" s="129">
        <v>557</v>
      </c>
      <c r="R207" s="129"/>
      <c r="S207" s="164">
        <v>14.380121379276931</v>
      </c>
      <c r="T207" s="115">
        <f t="shared" si="48"/>
        <v>557</v>
      </c>
      <c r="U207" s="25">
        <f t="shared" si="35"/>
        <v>137.69110489170114</v>
      </c>
      <c r="V207" s="135">
        <v>38.264577483018698</v>
      </c>
      <c r="W207" s="135">
        <v>29.157593660280799</v>
      </c>
      <c r="X207" s="135">
        <v>33.711085571649697</v>
      </c>
      <c r="Y207" s="135">
        <v>34.3801523024337</v>
      </c>
      <c r="Z207" s="27">
        <f t="shared" si="40"/>
        <v>577.20207253886008</v>
      </c>
      <c r="AA207" s="142">
        <f t="shared" si="41"/>
        <v>306.55843408175014</v>
      </c>
      <c r="AB207" s="143">
        <f t="shared" si="42"/>
        <v>142.01362357620135</v>
      </c>
      <c r="AC207" s="147">
        <v>1969</v>
      </c>
      <c r="AD207" s="148">
        <f t="shared" si="46"/>
        <v>41.469835510401545</v>
      </c>
      <c r="AE207" s="140">
        <f t="shared" si="44"/>
        <v>15.752346541964068</v>
      </c>
      <c r="AF207" s="149">
        <f t="shared" si="45"/>
        <v>0</v>
      </c>
      <c r="AG207" s="149">
        <v>114.862649424949</v>
      </c>
      <c r="AH207" s="150">
        <v>133.66821507023801</v>
      </c>
      <c r="AI207" s="150"/>
      <c r="AJ207" s="150">
        <v>127.707894348304</v>
      </c>
      <c r="AK207" s="150">
        <v>145.19908895811199</v>
      </c>
      <c r="AL207" s="165"/>
      <c r="AM207" s="165"/>
      <c r="AN207" s="150"/>
      <c r="AO207" s="150"/>
      <c r="AP207" s="150"/>
      <c r="AQ207" s="150"/>
      <c r="AR207" s="150"/>
      <c r="AS207" s="150"/>
      <c r="AT207" s="152">
        <v>3.8985263943294102E-2</v>
      </c>
      <c r="AU207" s="152">
        <v>6.5144564252807305E-2</v>
      </c>
      <c r="AV207" s="152">
        <v>3.91644908616188E-2</v>
      </c>
      <c r="AW207" s="152">
        <v>4.3732915926099201E-2</v>
      </c>
      <c r="AX207" s="150"/>
    </row>
    <row r="208" spans="1:50" ht="13">
      <c r="A208">
        <v>1970</v>
      </c>
      <c r="B208" s="9"/>
      <c r="C208" s="205">
        <v>38.840000000000003</v>
      </c>
      <c r="D208" s="205">
        <f t="shared" si="43"/>
        <v>29.523708711861939</v>
      </c>
      <c r="E208" s="144">
        <v>36.409999999999997</v>
      </c>
      <c r="F208" s="132">
        <f t="shared" si="37"/>
        <v>176.1490082244799</v>
      </c>
      <c r="G208" s="126">
        <f t="shared" si="36"/>
        <v>232.57485029940125</v>
      </c>
      <c r="H208" s="15">
        <v>247.5</v>
      </c>
      <c r="I208" s="159"/>
      <c r="J208" s="25">
        <f t="shared" si="33"/>
        <v>140.50604229607254</v>
      </c>
      <c r="K208" s="145"/>
      <c r="L208" s="144">
        <v>35.94</v>
      </c>
      <c r="M208" s="146">
        <v>2.4</v>
      </c>
      <c r="N208" s="160">
        <f t="shared" si="49"/>
        <v>14.975</v>
      </c>
      <c r="O208" s="160">
        <f t="shared" si="50"/>
        <v>14.975</v>
      </c>
      <c r="P208" s="134">
        <f t="shared" si="38"/>
        <v>352.35294117647061</v>
      </c>
      <c r="Q208" s="129">
        <v>596.29999999999995</v>
      </c>
      <c r="R208" s="129"/>
      <c r="S208" s="164">
        <v>15.351751202201047</v>
      </c>
      <c r="T208" s="115">
        <f t="shared" si="48"/>
        <v>596.29999999999995</v>
      </c>
      <c r="U208" s="25">
        <f t="shared" si="35"/>
        <v>169.23372287145239</v>
      </c>
      <c r="V208" s="135">
        <v>60.539078740692602</v>
      </c>
      <c r="W208" s="135">
        <v>61.026430366364799</v>
      </c>
      <c r="X208" s="135">
        <v>60.782754553528697</v>
      </c>
      <c r="Y208" s="135">
        <v>27.806369370428001</v>
      </c>
      <c r="Z208" s="27">
        <f t="shared" si="40"/>
        <v>617.92746113989631</v>
      </c>
      <c r="AA208" s="142">
        <f t="shared" si="41"/>
        <v>329.56131260794467</v>
      </c>
      <c r="AB208" s="143">
        <f t="shared" si="42"/>
        <v>174.54645479944986</v>
      </c>
      <c r="AC208" s="147">
        <v>1970</v>
      </c>
      <c r="AD208" s="148">
        <f t="shared" si="46"/>
        <v>36.374770198355094</v>
      </c>
      <c r="AE208" s="140">
        <f t="shared" si="44"/>
        <v>13.720623529411766</v>
      </c>
      <c r="AF208" s="149">
        <f t="shared" si="45"/>
        <v>0</v>
      </c>
      <c r="AG208" s="149">
        <v>108.49177461238401</v>
      </c>
      <c r="AH208" s="150">
        <v>126.63425297773</v>
      </c>
      <c r="AI208" s="150"/>
      <c r="AJ208" s="150">
        <v>123.709367362208</v>
      </c>
      <c r="AK208" s="150">
        <v>141.818361261842</v>
      </c>
      <c r="AL208" s="165"/>
      <c r="AM208" s="165"/>
      <c r="AN208" s="150"/>
      <c r="AO208" s="150"/>
      <c r="AP208" s="150"/>
      <c r="AQ208" s="150"/>
      <c r="AR208" s="150"/>
      <c r="AS208" s="150"/>
      <c r="AT208" s="152">
        <v>7.0556552962297903E-2</v>
      </c>
      <c r="AU208" s="152">
        <v>7.7582152411826005E-2</v>
      </c>
      <c r="AV208" s="152">
        <v>3.6432160804020002E-2</v>
      </c>
      <c r="AW208" s="152">
        <v>5.2937558178768503E-2</v>
      </c>
      <c r="AX208" s="150"/>
    </row>
    <row r="209" spans="1:50" ht="13">
      <c r="A209">
        <v>1971</v>
      </c>
      <c r="B209" s="9"/>
      <c r="C209" s="205">
        <v>40.51</v>
      </c>
      <c r="D209" s="205">
        <f t="shared" si="43"/>
        <v>30.793136970070211</v>
      </c>
      <c r="E209" s="144">
        <v>41.25</v>
      </c>
      <c r="F209" s="132">
        <f t="shared" si="37"/>
        <v>199.56458635703916</v>
      </c>
      <c r="G209" s="126">
        <f t="shared" si="36"/>
        <v>242.57485029940122</v>
      </c>
      <c r="H209" s="15">
        <v>255.4</v>
      </c>
      <c r="I209" s="159"/>
      <c r="J209" s="25">
        <f t="shared" si="33"/>
        <v>127.97861818181819</v>
      </c>
      <c r="K209" s="145"/>
      <c r="L209" s="144">
        <v>40.799999999999997</v>
      </c>
      <c r="M209" s="146">
        <v>2.44</v>
      </c>
      <c r="N209" s="160">
        <f t="shared" si="49"/>
        <v>16.721311475409834</v>
      </c>
      <c r="O209" s="160">
        <f t="shared" si="50"/>
        <v>16.721311475409834</v>
      </c>
      <c r="P209" s="134">
        <f t="shared" si="38"/>
        <v>393.44262295081961</v>
      </c>
      <c r="Q209" s="129">
        <v>650</v>
      </c>
      <c r="R209" s="129"/>
      <c r="S209" s="164">
        <v>16.712032954294813</v>
      </c>
      <c r="T209" s="115">
        <f t="shared" si="48"/>
        <v>650</v>
      </c>
      <c r="U209" s="25">
        <f t="shared" si="35"/>
        <v>165.20833333333337</v>
      </c>
      <c r="V209" s="135">
        <v>48.706472416422798</v>
      </c>
      <c r="W209" s="135">
        <v>57.382476882586801</v>
      </c>
      <c r="X209" s="135">
        <v>53.044474649504799</v>
      </c>
      <c r="Y209" s="135">
        <v>19.8893597559642</v>
      </c>
      <c r="Z209" s="27">
        <f t="shared" si="40"/>
        <v>673.57512953367871</v>
      </c>
      <c r="AA209" s="142">
        <f t="shared" si="41"/>
        <v>365.22740356937243</v>
      </c>
      <c r="AB209" s="143">
        <f t="shared" si="42"/>
        <v>170.39469673879918</v>
      </c>
      <c r="AC209" s="147">
        <v>1971</v>
      </c>
      <c r="AD209" s="148">
        <f t="shared" si="46"/>
        <v>41.210087082728585</v>
      </c>
      <c r="AE209" s="140">
        <f t="shared" si="44"/>
        <v>15.320655737704918</v>
      </c>
      <c r="AF209" s="149">
        <f t="shared" si="45"/>
        <v>0</v>
      </c>
      <c r="AG209" s="149">
        <v>100.854049552505</v>
      </c>
      <c r="AH209" s="150">
        <v>118.227908901587</v>
      </c>
      <c r="AI209" s="150"/>
      <c r="AJ209" s="150">
        <v>112.322801882211</v>
      </c>
      <c r="AK209" s="150">
        <v>130.616605835332</v>
      </c>
      <c r="AL209" s="165"/>
      <c r="AM209" s="165"/>
      <c r="AN209" s="150"/>
      <c r="AO209" s="150"/>
      <c r="AP209" s="150"/>
      <c r="AQ209" s="150"/>
      <c r="AR209" s="150"/>
      <c r="AS209" s="150"/>
      <c r="AT209" s="152">
        <v>9.0055341271172304E-2</v>
      </c>
      <c r="AU209" s="152">
        <v>9.04973233836706E-2</v>
      </c>
      <c r="AV209" s="152">
        <v>3.1919191919191903E-2</v>
      </c>
      <c r="AW209" s="152">
        <v>6.2337886751712902E-2</v>
      </c>
      <c r="AX209" s="150"/>
    </row>
    <row r="210" spans="1:50" ht="13">
      <c r="A210">
        <v>1972</v>
      </c>
      <c r="B210" s="9"/>
      <c r="C210" s="205">
        <v>41.85</v>
      </c>
      <c r="D210" s="205">
        <f t="shared" si="43"/>
        <v>31.811720123363077</v>
      </c>
      <c r="E210" s="144">
        <v>58.6</v>
      </c>
      <c r="F210" s="132">
        <f t="shared" si="37"/>
        <v>283.50266086115141</v>
      </c>
      <c r="G210" s="126">
        <f t="shared" si="36"/>
        <v>250.59880239520959</v>
      </c>
      <c r="H210" s="15">
        <v>267</v>
      </c>
      <c r="I210" s="159"/>
      <c r="J210" s="25">
        <f t="shared" ref="J210:J248" si="51">H210*100/F210</f>
        <v>94.17901023890785</v>
      </c>
      <c r="K210" s="145"/>
      <c r="L210" s="144">
        <v>58.16</v>
      </c>
      <c r="M210" s="146">
        <v>2.5</v>
      </c>
      <c r="N210" s="160">
        <f t="shared" si="49"/>
        <v>23.263999999999999</v>
      </c>
      <c r="O210" s="160">
        <f t="shared" si="50"/>
        <v>23.263999999999999</v>
      </c>
      <c r="P210" s="134">
        <f t="shared" si="38"/>
        <v>547.38823529411764</v>
      </c>
      <c r="Q210" s="129">
        <v>684.6</v>
      </c>
      <c r="R210" s="129"/>
      <c r="S210" s="164">
        <v>17.618887455690651</v>
      </c>
      <c r="T210" s="115">
        <f t="shared" si="48"/>
        <v>684.6</v>
      </c>
      <c r="U210" s="25">
        <f t="shared" ref="U210:U248" si="52">T210*100/P210</f>
        <v>125.0666265474553</v>
      </c>
      <c r="V210" s="135">
        <v>15.627040804247001</v>
      </c>
      <c r="W210" s="135">
        <v>17.6673300087432</v>
      </c>
      <c r="X210" s="135">
        <v>16.647185406495101</v>
      </c>
      <c r="Y210" s="135">
        <v>10.943762590420601</v>
      </c>
      <c r="Z210" s="27">
        <f t="shared" si="40"/>
        <v>709.43005181347155</v>
      </c>
      <c r="AA210" s="142">
        <f t="shared" si="41"/>
        <v>394.12780656303977</v>
      </c>
      <c r="AB210" s="143">
        <f t="shared" si="42"/>
        <v>128.99282664937178</v>
      </c>
      <c r="AC210" s="147">
        <v>1972</v>
      </c>
      <c r="AD210" s="148">
        <f t="shared" si="46"/>
        <v>58.543299467827765</v>
      </c>
      <c r="AE210" s="140">
        <f t="shared" si="44"/>
        <v>21.315297882352944</v>
      </c>
      <c r="AF210" s="149">
        <f t="shared" si="45"/>
        <v>0</v>
      </c>
      <c r="AG210" s="149">
        <v>92.267411334120894</v>
      </c>
      <c r="AH210" s="150">
        <v>108.752329740099</v>
      </c>
      <c r="AI210" s="150"/>
      <c r="AJ210" s="150">
        <v>94.330606417069902</v>
      </c>
      <c r="AK210" s="150">
        <v>109.917309939322</v>
      </c>
      <c r="AL210" s="165"/>
      <c r="AM210" s="165"/>
      <c r="AN210" s="150"/>
      <c r="AO210" s="150"/>
      <c r="AP210" s="150"/>
      <c r="AQ210" s="150"/>
      <c r="AR210" s="150"/>
      <c r="AS210" s="150"/>
      <c r="AT210" s="152">
        <v>5.32307692307692E-2</v>
      </c>
      <c r="AU210" s="152">
        <v>0.103214454127868</v>
      </c>
      <c r="AV210" s="152">
        <v>4.5418950665622501E-2</v>
      </c>
      <c r="AW210" s="152">
        <v>7.1422426752433404E-2</v>
      </c>
      <c r="AX210" s="150"/>
    </row>
    <row r="211" spans="1:50" ht="13">
      <c r="A211">
        <v>1973</v>
      </c>
      <c r="B211" s="9"/>
      <c r="C211" s="205">
        <v>44.45</v>
      </c>
      <c r="D211" s="205">
        <f t="shared" si="43"/>
        <v>33.788075495423868</v>
      </c>
      <c r="E211" s="144">
        <v>97.81</v>
      </c>
      <c r="F211" s="132">
        <f t="shared" si="37"/>
        <v>473.19787131107881</v>
      </c>
      <c r="G211" s="126">
        <f t="shared" ref="G211:G248" si="53">C211*100/$C$168</f>
        <v>266.16766467065867</v>
      </c>
      <c r="H211" s="15">
        <v>302</v>
      </c>
      <c r="I211" s="159"/>
      <c r="J211" s="25">
        <f t="shared" si="51"/>
        <v>63.821081688988862</v>
      </c>
      <c r="K211" s="145"/>
      <c r="L211" s="144">
        <v>97.32</v>
      </c>
      <c r="M211" s="146">
        <v>2.4500000000000002</v>
      </c>
      <c r="N211" s="160">
        <f t="shared" si="49"/>
        <v>39.722448979591832</v>
      </c>
      <c r="O211" s="160">
        <f t="shared" si="50"/>
        <v>39.722448979591832</v>
      </c>
      <c r="P211" s="134">
        <f t="shared" si="38"/>
        <v>934.64585834333718</v>
      </c>
      <c r="Q211" s="129">
        <v>734.7</v>
      </c>
      <c r="R211" s="129"/>
      <c r="S211" s="164">
        <v>18.914393886256139</v>
      </c>
      <c r="T211" s="115">
        <f t="shared" si="48"/>
        <v>734.7</v>
      </c>
      <c r="U211" s="25">
        <f t="shared" si="52"/>
        <v>78.607313501849575</v>
      </c>
      <c r="V211" s="135">
        <v>-13.9889338017973</v>
      </c>
      <c r="W211" s="135">
        <v>-28.317394294845101</v>
      </c>
      <c r="X211" s="135">
        <v>-21.153164048321202</v>
      </c>
      <c r="Y211" s="135">
        <v>1.61576815411056</v>
      </c>
      <c r="Z211" s="27">
        <f t="shared" si="40"/>
        <v>761.34715025906735</v>
      </c>
      <c r="AA211" s="142">
        <f t="shared" si="41"/>
        <v>414.51122625215896</v>
      </c>
      <c r="AB211" s="143">
        <f t="shared" si="42"/>
        <v>81.075022520651942</v>
      </c>
      <c r="AC211" s="147">
        <v>1973</v>
      </c>
      <c r="AD211" s="148">
        <f t="shared" si="46"/>
        <v>97.715360425737757</v>
      </c>
      <c r="AE211" s="140">
        <f t="shared" si="44"/>
        <v>36.395109723889547</v>
      </c>
      <c r="AF211" s="149">
        <f t="shared" si="45"/>
        <v>0</v>
      </c>
      <c r="AG211" s="149">
        <v>83.320856550513895</v>
      </c>
      <c r="AH211" s="150">
        <v>98.932483302540902</v>
      </c>
      <c r="AI211" s="150"/>
      <c r="AJ211" s="150">
        <v>75.727588848134999</v>
      </c>
      <c r="AK211" s="150">
        <v>87.975092222777207</v>
      </c>
      <c r="AL211" s="165"/>
      <c r="AM211" s="165"/>
      <c r="AN211" s="150"/>
      <c r="AO211" s="150"/>
      <c r="AP211" s="150"/>
      <c r="AQ211" s="150"/>
      <c r="AR211" s="150"/>
      <c r="AS211" s="150"/>
      <c r="AT211" s="152">
        <v>7.3181419807186704E-2</v>
      </c>
      <c r="AU211" s="152">
        <v>0.11505350178282001</v>
      </c>
      <c r="AV211" s="152">
        <v>0.131086142322097</v>
      </c>
      <c r="AW211" s="152">
        <v>7.9375516340106006E-2</v>
      </c>
      <c r="AX211" s="150"/>
    </row>
    <row r="212" spans="1:50" ht="13">
      <c r="A212">
        <v>1974</v>
      </c>
      <c r="B212" s="9"/>
      <c r="C212" s="205">
        <v>49.33</v>
      </c>
      <c r="D212" s="205">
        <f t="shared" si="43"/>
        <v>37.497542501445658</v>
      </c>
      <c r="E212" s="144">
        <v>159.74</v>
      </c>
      <c r="F212" s="132">
        <f t="shared" si="37"/>
        <v>772.8108369617803</v>
      </c>
      <c r="G212" s="126">
        <f t="shared" si="53"/>
        <v>295.38922155688624</v>
      </c>
      <c r="H212" s="15">
        <v>359</v>
      </c>
      <c r="I212" s="159"/>
      <c r="J212" s="25">
        <f t="shared" si="51"/>
        <v>46.453799924877927</v>
      </c>
      <c r="K212" s="145"/>
      <c r="L212" s="144">
        <v>159.26</v>
      </c>
      <c r="M212" s="146">
        <v>2.34</v>
      </c>
      <c r="N212" s="160">
        <f t="shared" si="49"/>
        <v>68.059829059829056</v>
      </c>
      <c r="O212" s="160">
        <f t="shared" si="50"/>
        <v>68.059829059829056</v>
      </c>
      <c r="P212" s="134">
        <f t="shared" si="38"/>
        <v>1601.4077425842131</v>
      </c>
      <c r="Q212" s="129">
        <v>906.4</v>
      </c>
      <c r="R212" s="129"/>
      <c r="S212" s="164">
        <v>23.448666393235357</v>
      </c>
      <c r="T212" s="115">
        <f t="shared" si="48"/>
        <v>906.4</v>
      </c>
      <c r="U212" s="25">
        <f t="shared" si="52"/>
        <v>56.600200929298005</v>
      </c>
      <c r="V212" s="135">
        <v>-30.5911691076724</v>
      </c>
      <c r="W212" s="135">
        <v>-49.800060907336302</v>
      </c>
      <c r="X212" s="135">
        <v>-40.195615007504301</v>
      </c>
      <c r="Y212" s="135">
        <v>-7.3913990444913997</v>
      </c>
      <c r="Z212" s="27">
        <f t="shared" si="40"/>
        <v>939.27461139896377</v>
      </c>
      <c r="AA212" s="142">
        <f t="shared" si="41"/>
        <v>488.4227979274612</v>
      </c>
      <c r="AB212" s="143">
        <f t="shared" si="42"/>
        <v>58.377043567432025</v>
      </c>
      <c r="AC212" s="147">
        <v>1974</v>
      </c>
      <c r="AD212" s="148">
        <f t="shared" si="46"/>
        <v>159.58543783260762</v>
      </c>
      <c r="AE212" s="140">
        <f t="shared" si="44"/>
        <v>62.358817496229257</v>
      </c>
      <c r="AF212" s="149">
        <f t="shared" si="45"/>
        <v>0</v>
      </c>
      <c r="AG212" s="149">
        <v>74.622807681626199</v>
      </c>
      <c r="AH212" s="150">
        <v>89.504714100785606</v>
      </c>
      <c r="AI212" s="150"/>
      <c r="AJ212" s="150">
        <v>62.468354917734501</v>
      </c>
      <c r="AK212" s="150">
        <v>73.035468021554493</v>
      </c>
      <c r="AL212" s="165"/>
      <c r="AM212" s="165"/>
      <c r="AN212" s="150"/>
      <c r="AO212" s="150"/>
      <c r="AP212" s="150"/>
      <c r="AQ212" s="150"/>
      <c r="AR212" s="150"/>
      <c r="AS212" s="150"/>
      <c r="AT212" s="152">
        <v>0.233700830270858</v>
      </c>
      <c r="AU212" s="152">
        <v>0.124834586637957</v>
      </c>
      <c r="AV212" s="152">
        <v>0.18874172185430399</v>
      </c>
      <c r="AW212" s="152">
        <v>8.5121458913038198E-2</v>
      </c>
      <c r="AX212" s="150"/>
    </row>
    <row r="213" spans="1:50" ht="13">
      <c r="A213">
        <v>1975</v>
      </c>
      <c r="B213" s="9"/>
      <c r="C213" s="205">
        <v>53.84</v>
      </c>
      <c r="D213" s="205">
        <f t="shared" si="43"/>
        <v>40.925758935289565</v>
      </c>
      <c r="E213" s="144">
        <v>161.49</v>
      </c>
      <c r="F213" s="132">
        <f t="shared" si="37"/>
        <v>781.27721335268495</v>
      </c>
      <c r="G213" s="126">
        <f t="shared" si="53"/>
        <v>322.39520958083835</v>
      </c>
      <c r="H213" s="15">
        <v>392.2</v>
      </c>
      <c r="I213" s="159"/>
      <c r="J213" s="25">
        <f t="shared" si="51"/>
        <v>50.199851383986633</v>
      </c>
      <c r="K213" s="145"/>
      <c r="L213" s="144">
        <v>161.02000000000001</v>
      </c>
      <c r="M213" s="146">
        <v>2.2200000000000002</v>
      </c>
      <c r="N213" s="160">
        <f t="shared" si="49"/>
        <v>72.531531531531527</v>
      </c>
      <c r="O213" s="160">
        <f t="shared" si="50"/>
        <v>72.531531531531527</v>
      </c>
      <c r="P213" s="134">
        <f t="shared" si="38"/>
        <v>1706.6242713301535</v>
      </c>
      <c r="Q213" s="129">
        <v>1125.3</v>
      </c>
      <c r="R213" s="129"/>
      <c r="S213" s="164">
        <v>28.825018080082131</v>
      </c>
      <c r="T213" s="115">
        <f t="shared" si="48"/>
        <v>1125.3</v>
      </c>
      <c r="U213" s="25">
        <f t="shared" si="52"/>
        <v>65.937184821761278</v>
      </c>
      <c r="V213" s="135">
        <v>-26.0493828193406</v>
      </c>
      <c r="W213" s="135">
        <v>-39.879015547363402</v>
      </c>
      <c r="X213" s="135">
        <v>-32.964199183352001</v>
      </c>
      <c r="Y213" s="135">
        <v>-15.602203818935299</v>
      </c>
      <c r="Z213" s="27">
        <f t="shared" si="40"/>
        <v>1166.1139896373056</v>
      </c>
      <c r="AA213" s="142">
        <f t="shared" si="41"/>
        <v>575.28290155440413</v>
      </c>
      <c r="AB213" s="143">
        <f t="shared" si="42"/>
        <v>68.007142163011338</v>
      </c>
      <c r="AC213" s="147">
        <v>1975</v>
      </c>
      <c r="AD213" s="148">
        <f t="shared" si="46"/>
        <v>161.33374455732942</v>
      </c>
      <c r="AE213" s="140">
        <f t="shared" si="44"/>
        <v>66.455949125596177</v>
      </c>
      <c r="AF213" s="149">
        <f t="shared" si="45"/>
        <v>0</v>
      </c>
      <c r="AG213" s="149">
        <v>66.586678641894494</v>
      </c>
      <c r="AH213" s="150">
        <v>80.923341813681304</v>
      </c>
      <c r="AI213" s="150"/>
      <c r="AJ213" s="150">
        <v>56.538314085484899</v>
      </c>
      <c r="AK213" s="150">
        <v>67.595588597251407</v>
      </c>
      <c r="AL213" s="165"/>
      <c r="AM213" s="165"/>
      <c r="AN213" s="150"/>
      <c r="AO213" s="150"/>
      <c r="AP213" s="150"/>
      <c r="AQ213" s="150"/>
      <c r="AR213" s="150"/>
      <c r="AS213" s="150"/>
      <c r="AT213" s="152">
        <v>0.24150485436893199</v>
      </c>
      <c r="AU213" s="152">
        <v>0.130959108162954</v>
      </c>
      <c r="AV213" s="152">
        <v>9.2479108635097396E-2</v>
      </c>
      <c r="AW213" s="152">
        <v>8.8101664129357896E-2</v>
      </c>
      <c r="AX213" s="150"/>
    </row>
    <row r="214" spans="1:50" ht="13">
      <c r="A214">
        <v>1976</v>
      </c>
      <c r="B214" s="9"/>
      <c r="C214" s="205">
        <v>56.94</v>
      </c>
      <c r="D214" s="205">
        <f t="shared" si="43"/>
        <v>43.282182648131268</v>
      </c>
      <c r="E214" s="144">
        <v>125.32</v>
      </c>
      <c r="F214" s="132">
        <f t="shared" si="37"/>
        <v>606.28930817610058</v>
      </c>
      <c r="G214" s="126">
        <f t="shared" si="53"/>
        <v>340.95808383233532</v>
      </c>
      <c r="H214" s="15">
        <v>410.2</v>
      </c>
      <c r="I214" s="166">
        <v>61.1</v>
      </c>
      <c r="J214" s="25">
        <f t="shared" si="51"/>
        <v>67.657468879668059</v>
      </c>
      <c r="K214" s="145"/>
      <c r="L214" s="144">
        <v>124.84</v>
      </c>
      <c r="M214" s="146">
        <v>1.8</v>
      </c>
      <c r="N214" s="160">
        <f t="shared" si="49"/>
        <v>69.355555555555554</v>
      </c>
      <c r="O214" s="160">
        <f t="shared" si="50"/>
        <v>69.355555555555554</v>
      </c>
      <c r="P214" s="134">
        <f t="shared" si="38"/>
        <v>1631.8954248366013</v>
      </c>
      <c r="Q214" s="129">
        <v>1248.4000000000001</v>
      </c>
      <c r="R214" s="129"/>
      <c r="S214" s="164">
        <v>33.424065908589625</v>
      </c>
      <c r="T214" s="115">
        <f t="shared" si="48"/>
        <v>1248.4000000000001</v>
      </c>
      <c r="U214" s="25">
        <f t="shared" si="52"/>
        <v>76.500000000000014</v>
      </c>
      <c r="V214" s="135">
        <v>-7.7732926427644902</v>
      </c>
      <c r="W214" s="135">
        <v>-28.682584773037899</v>
      </c>
      <c r="X214" s="135">
        <v>-18.227938707901199</v>
      </c>
      <c r="Y214" s="135">
        <v>-22.869153142401299</v>
      </c>
      <c r="Z214" s="27">
        <f t="shared" si="40"/>
        <v>1293.6787564766842</v>
      </c>
      <c r="AA214" s="142">
        <f t="shared" si="41"/>
        <v>517.47150259067371</v>
      </c>
      <c r="AB214" s="143">
        <f t="shared" si="42"/>
        <v>78.901554404145102</v>
      </c>
      <c r="AC214" s="147">
        <v>1976</v>
      </c>
      <c r="AD214" s="167">
        <v>124.71</v>
      </c>
      <c r="AE214" s="168">
        <v>73.255402259999997</v>
      </c>
      <c r="AF214" s="149">
        <f t="shared" si="45"/>
        <v>0</v>
      </c>
      <c r="AG214" s="169">
        <v>59.344255268939499</v>
      </c>
      <c r="AH214" s="170">
        <v>73.293638979068206</v>
      </c>
      <c r="AI214" s="170"/>
      <c r="AJ214" s="170">
        <v>54.586757505090901</v>
      </c>
      <c r="AK214" s="170">
        <v>68.007449204280803</v>
      </c>
      <c r="AL214" s="171"/>
      <c r="AM214" s="171"/>
      <c r="AN214" s="170"/>
      <c r="AO214" s="170"/>
      <c r="AP214" s="170"/>
      <c r="AQ214" s="170"/>
      <c r="AR214" s="170"/>
      <c r="AS214" s="170"/>
      <c r="AT214" s="172">
        <v>0.109393050742024</v>
      </c>
      <c r="AU214" s="172">
        <v>0.13291712826381499</v>
      </c>
      <c r="AV214" s="172">
        <v>4.5894951555328897E-2</v>
      </c>
      <c r="AW214" s="172">
        <v>8.8793744276605302E-2</v>
      </c>
      <c r="AX214" s="170"/>
    </row>
    <row r="215" spans="1:50" ht="13">
      <c r="A215">
        <v>1977</v>
      </c>
      <c r="B215" s="9"/>
      <c r="C215" s="205">
        <v>60.61</v>
      </c>
      <c r="D215" s="205">
        <f t="shared" si="43"/>
        <v>46.071884269463233</v>
      </c>
      <c r="E215" s="144">
        <v>148.31</v>
      </c>
      <c r="F215" s="132">
        <f t="shared" si="37"/>
        <v>717.51330430575706</v>
      </c>
      <c r="G215" s="126">
        <f t="shared" si="53"/>
        <v>362.93413173652698</v>
      </c>
      <c r="H215" s="25">
        <f t="shared" ref="H215:H249" si="54">H214*(I215/I214)</f>
        <v>435.71162029459907</v>
      </c>
      <c r="I215" s="166">
        <v>64.900000000000006</v>
      </c>
      <c r="J215" s="25">
        <f t="shared" si="51"/>
        <v>60.725232226345916</v>
      </c>
      <c r="K215" s="145"/>
      <c r="L215" s="144">
        <v>147.71</v>
      </c>
      <c r="M215" s="146">
        <v>1.75</v>
      </c>
      <c r="N215" s="160">
        <f t="shared" si="49"/>
        <v>84.405714285714296</v>
      </c>
      <c r="O215" s="160">
        <f t="shared" si="50"/>
        <v>84.405714285714296</v>
      </c>
      <c r="P215" s="134">
        <f t="shared" si="38"/>
        <v>1986.0168067226894</v>
      </c>
      <c r="Q215" s="129"/>
      <c r="R215" s="135"/>
      <c r="S215" s="164">
        <v>39.512946132247421</v>
      </c>
      <c r="T215" s="132">
        <f>T214*(S215/S214)</f>
        <v>1475.8217054263566</v>
      </c>
      <c r="U215" s="25">
        <f t="shared" si="52"/>
        <v>74.310635259011079</v>
      </c>
      <c r="V215" s="135">
        <v>-13.862616283906201</v>
      </c>
      <c r="W215" s="135">
        <v>-30.1790759819478</v>
      </c>
      <c r="X215" s="135">
        <v>-22.020846132927002</v>
      </c>
      <c r="Y215" s="135">
        <v>-29.218373941713502</v>
      </c>
      <c r="Z215" s="27">
        <f t="shared" si="40"/>
        <v>1529.348917540266</v>
      </c>
      <c r="AA215" s="142">
        <f t="shared" si="41"/>
        <v>594.74680126565897</v>
      </c>
      <c r="AB215" s="143">
        <f t="shared" si="42"/>
        <v>76.643459224777061</v>
      </c>
      <c r="AC215" s="147">
        <v>1977</v>
      </c>
      <c r="AD215" s="167">
        <v>147.78</v>
      </c>
      <c r="AE215" s="168">
        <v>77.534107019999993</v>
      </c>
      <c r="AF215" s="149">
        <f t="shared" si="45"/>
        <v>0</v>
      </c>
      <c r="AG215" s="169">
        <v>52.863356613962601</v>
      </c>
      <c r="AH215" s="170">
        <v>66.515444716649895</v>
      </c>
      <c r="AI215" s="170"/>
      <c r="AJ215" s="170">
        <v>51.1468716350957</v>
      </c>
      <c r="AK215" s="170">
        <v>68.217848897971706</v>
      </c>
      <c r="AL215" s="171"/>
      <c r="AM215" s="171"/>
      <c r="AN215" s="170"/>
      <c r="AO215" s="170"/>
      <c r="AP215" s="170"/>
      <c r="AQ215" s="170"/>
      <c r="AR215" s="170"/>
      <c r="AS215" s="170"/>
      <c r="AT215" s="172">
        <v>0.182169176545978</v>
      </c>
      <c r="AU215" s="172">
        <v>0.131304166308602</v>
      </c>
      <c r="AV215" s="172">
        <v>6.21891760117015E-2</v>
      </c>
      <c r="AW215" s="172">
        <v>8.7719086087378106E-2</v>
      </c>
      <c r="AX215" s="170"/>
    </row>
    <row r="216" spans="1:50" ht="13">
      <c r="A216">
        <v>1978</v>
      </c>
      <c r="B216" s="9"/>
      <c r="C216" s="205">
        <v>65.22</v>
      </c>
      <c r="D216" s="205">
        <f t="shared" si="43"/>
        <v>49.576114371463319</v>
      </c>
      <c r="E216" s="144">
        <v>193.55</v>
      </c>
      <c r="F216" s="132">
        <f t="shared" ref="F216:F248" si="55">E216*100/$E$168</f>
        <v>936.3812288340589</v>
      </c>
      <c r="G216" s="126">
        <f t="shared" si="53"/>
        <v>390.53892215568862</v>
      </c>
      <c r="H216" s="25">
        <f t="shared" si="54"/>
        <v>469.27954173486097</v>
      </c>
      <c r="I216" s="166">
        <v>69.900000000000006</v>
      </c>
      <c r="J216" s="25">
        <f t="shared" si="51"/>
        <v>50.116291023815954</v>
      </c>
      <c r="K216" s="145"/>
      <c r="L216" s="144">
        <v>193.22</v>
      </c>
      <c r="M216" s="146">
        <v>1.92</v>
      </c>
      <c r="N216" s="160">
        <f t="shared" si="49"/>
        <v>100.63541666666667</v>
      </c>
      <c r="O216" s="160">
        <f t="shared" si="50"/>
        <v>100.63541666666667</v>
      </c>
      <c r="P216" s="134">
        <f t="shared" ref="P216:P248" si="56">O216*100/$O$168</f>
        <v>2367.8921568627452</v>
      </c>
      <c r="Q216" s="129"/>
      <c r="R216" s="135"/>
      <c r="S216" s="164">
        <v>43.399465423943887</v>
      </c>
      <c r="T216" s="132">
        <f t="shared" ref="T216:T248" si="57">T215*(S216/S215)</f>
        <v>1620.9844961240308</v>
      </c>
      <c r="U216" s="25">
        <f t="shared" si="52"/>
        <v>68.456854820267523</v>
      </c>
      <c r="V216" s="135">
        <v>-23.607071448728298</v>
      </c>
      <c r="W216" s="135">
        <v>-35.276777411157397</v>
      </c>
      <c r="X216" s="135">
        <v>-29.441924429942802</v>
      </c>
      <c r="Y216" s="135">
        <v>-34.629580999351397</v>
      </c>
      <c r="Z216" s="27">
        <f t="shared" si="40"/>
        <v>1679.7766799212754</v>
      </c>
      <c r="AA216" s="142">
        <f t="shared" si="41"/>
        <v>716.7047167664108</v>
      </c>
      <c r="AB216" s="143">
        <f t="shared" si="42"/>
        <v>70.605911829254907</v>
      </c>
      <c r="AC216" s="147">
        <v>1978</v>
      </c>
      <c r="AD216" s="167">
        <v>193.39</v>
      </c>
      <c r="AE216" s="168">
        <v>95.055246189999991</v>
      </c>
      <c r="AF216" s="149">
        <f t="shared" si="45"/>
        <v>0</v>
      </c>
      <c r="AG216" s="169">
        <v>47.188259175476297</v>
      </c>
      <c r="AH216" s="170">
        <v>60.491061756339001</v>
      </c>
      <c r="AI216" s="170"/>
      <c r="AJ216" s="170">
        <v>44.886257099012099</v>
      </c>
      <c r="AK216" s="170">
        <v>64.017770332226306</v>
      </c>
      <c r="AL216" s="171"/>
      <c r="AM216" s="171"/>
      <c r="AN216" s="170"/>
      <c r="AO216" s="170"/>
      <c r="AP216" s="170"/>
      <c r="AQ216" s="170"/>
      <c r="AR216" s="170"/>
      <c r="AS216" s="170"/>
      <c r="AT216" s="172">
        <v>9.8358878454012005E-2</v>
      </c>
      <c r="AU216" s="172">
        <v>0.126480500890161</v>
      </c>
      <c r="AV216" s="172">
        <v>7.7046659475338994E-2</v>
      </c>
      <c r="AW216" s="172">
        <v>8.4970088367061505E-2</v>
      </c>
      <c r="AX216" s="170"/>
    </row>
    <row r="217" spans="1:50" ht="13">
      <c r="A217">
        <v>1979</v>
      </c>
      <c r="B217" s="9"/>
      <c r="C217" s="205">
        <v>72.569999999999993</v>
      </c>
      <c r="D217" s="205">
        <f t="shared" si="43"/>
        <v>55.163118980942855</v>
      </c>
      <c r="E217" s="144">
        <v>307.5</v>
      </c>
      <c r="F217" s="132">
        <f t="shared" si="55"/>
        <v>1487.6632801161102</v>
      </c>
      <c r="G217" s="126">
        <f t="shared" si="53"/>
        <v>434.55089820359279</v>
      </c>
      <c r="H217" s="25">
        <f t="shared" si="54"/>
        <v>528.3590834697219</v>
      </c>
      <c r="I217" s="166">
        <v>78.7</v>
      </c>
      <c r="J217" s="25">
        <f t="shared" si="51"/>
        <v>35.51603985469643</v>
      </c>
      <c r="K217" s="145"/>
      <c r="L217" s="144">
        <v>306.68</v>
      </c>
      <c r="M217" s="146">
        <v>2.12</v>
      </c>
      <c r="N217" s="160">
        <f t="shared" si="49"/>
        <v>144.66037735849056</v>
      </c>
      <c r="O217" s="160">
        <f t="shared" si="50"/>
        <v>144.66037735849056</v>
      </c>
      <c r="P217" s="134">
        <f t="shared" si="56"/>
        <v>3403.7735849056603</v>
      </c>
      <c r="Q217" s="129"/>
      <c r="R217" s="135"/>
      <c r="S217" s="164">
        <v>48.128063895507921</v>
      </c>
      <c r="T217" s="132">
        <f t="shared" si="57"/>
        <v>1797.5992248062014</v>
      </c>
      <c r="U217" s="25">
        <f t="shared" si="52"/>
        <v>52.811950617920559</v>
      </c>
      <c r="V217" s="135">
        <v>-37.3163758431932</v>
      </c>
      <c r="W217" s="135">
        <v>-50.113958137210098</v>
      </c>
      <c r="X217" s="135">
        <v>-43.715166990201702</v>
      </c>
      <c r="Y217" s="135">
        <v>-39.010513819706397</v>
      </c>
      <c r="Z217" s="27">
        <f t="shared" si="40"/>
        <v>1862.7971241515042</v>
      </c>
      <c r="AA217" s="142">
        <f t="shared" si="41"/>
        <v>877.58442293359758</v>
      </c>
      <c r="AB217" s="143">
        <f t="shared" si="42"/>
        <v>54.469869213972324</v>
      </c>
      <c r="AC217" s="147">
        <v>1979</v>
      </c>
      <c r="AD217" s="167">
        <v>304.83</v>
      </c>
      <c r="AE217" s="168">
        <v>137.06376119999999</v>
      </c>
      <c r="AF217" s="149">
        <f t="shared" si="45"/>
        <v>0</v>
      </c>
      <c r="AG217" s="169">
        <v>42.434605885853003</v>
      </c>
      <c r="AH217" s="170">
        <v>55.279038380881801</v>
      </c>
      <c r="AI217" s="170"/>
      <c r="AJ217" s="170">
        <v>37.423557308654303</v>
      </c>
      <c r="AK217" s="170">
        <v>55.838913194956099</v>
      </c>
      <c r="AL217" s="171"/>
      <c r="AM217" s="171"/>
      <c r="AN217" s="170"/>
      <c r="AO217" s="170"/>
      <c r="AP217" s="170"/>
      <c r="AQ217" s="170"/>
      <c r="AR217" s="170"/>
      <c r="AS217" s="170"/>
      <c r="AT217" s="172">
        <v>0.108958778023171</v>
      </c>
      <c r="AU217" s="172">
        <v>0.11931506070371201</v>
      </c>
      <c r="AV217" s="172">
        <v>0.125894988066825</v>
      </c>
      <c r="AW217" s="172">
        <v>8.0383850820283695E-2</v>
      </c>
      <c r="AX217" s="170"/>
    </row>
    <row r="218" spans="1:50" ht="13">
      <c r="A218">
        <v>1980</v>
      </c>
      <c r="B218" s="9"/>
      <c r="C218" s="205">
        <v>82.38</v>
      </c>
      <c r="D218" s="205">
        <f t="shared" si="43"/>
        <v>62.620059827064523</v>
      </c>
      <c r="E218" s="144">
        <v>612.55999999999995</v>
      </c>
      <c r="F218" s="132">
        <f t="shared" si="55"/>
        <v>2963.5220125786159</v>
      </c>
      <c r="G218" s="126">
        <f t="shared" si="53"/>
        <v>493.29341317365271</v>
      </c>
      <c r="H218" s="25">
        <f t="shared" si="54"/>
        <v>602.87986906710319</v>
      </c>
      <c r="I218" s="166">
        <v>89.8</v>
      </c>
      <c r="J218" s="25">
        <f t="shared" si="51"/>
        <v>20.343357211729504</v>
      </c>
      <c r="K218" s="145"/>
      <c r="L218" s="144">
        <v>612.55999999999995</v>
      </c>
      <c r="M218" s="146">
        <v>2.33</v>
      </c>
      <c r="N218" s="160">
        <f t="shared" si="49"/>
        <v>262.90128755364805</v>
      </c>
      <c r="O218" s="160">
        <f t="shared" si="50"/>
        <v>262.90128755364805</v>
      </c>
      <c r="P218" s="134">
        <f t="shared" si="56"/>
        <v>6185.9126483211303</v>
      </c>
      <c r="Q218" s="129"/>
      <c r="R218" s="135"/>
      <c r="S218" s="164">
        <v>54.864697334448479</v>
      </c>
      <c r="T218" s="132">
        <f t="shared" si="57"/>
        <v>2049.214728682171</v>
      </c>
      <c r="U218" s="25">
        <f t="shared" si="52"/>
        <v>33.127120364984982</v>
      </c>
      <c r="V218" s="135">
        <v>-51.580247173262897</v>
      </c>
      <c r="W218" s="135">
        <v>-68.9188680761238</v>
      </c>
      <c r="X218" s="135">
        <v>-60.249557624693303</v>
      </c>
      <c r="Y218" s="135">
        <v>-42.217035341475601</v>
      </c>
      <c r="Z218" s="27">
        <f t="shared" si="40"/>
        <v>2123.5385789452548</v>
      </c>
      <c r="AA218" s="142">
        <f t="shared" si="41"/>
        <v>1099.5210864316541</v>
      </c>
      <c r="AB218" s="143">
        <f t="shared" si="42"/>
        <v>34.167075682751964</v>
      </c>
      <c r="AC218" s="147">
        <v>1980</v>
      </c>
      <c r="AD218" s="167">
        <v>614.61</v>
      </c>
      <c r="AE218" s="168">
        <v>257.69798307000002</v>
      </c>
      <c r="AF218" s="149">
        <f t="shared" si="45"/>
        <v>0</v>
      </c>
      <c r="AG218" s="169">
        <v>38.740257085710802</v>
      </c>
      <c r="AH218" s="170">
        <v>51.068912255461001</v>
      </c>
      <c r="AI218" s="170"/>
      <c r="AJ218" s="170">
        <v>31.885329976165998</v>
      </c>
      <c r="AK218" s="170">
        <v>47.3037203966635</v>
      </c>
      <c r="AL218" s="171"/>
      <c r="AM218" s="171"/>
      <c r="AN218" s="170"/>
      <c r="AO218" s="170"/>
      <c r="AP218" s="170"/>
      <c r="AQ218" s="170"/>
      <c r="AR218" s="170"/>
      <c r="AS218" s="170"/>
      <c r="AT218" s="172">
        <v>0.139969959946595</v>
      </c>
      <c r="AU218" s="172">
        <v>0.110395558220111</v>
      </c>
      <c r="AV218" s="172">
        <v>0.14104019986372901</v>
      </c>
      <c r="AW218" s="172">
        <v>7.3718238862755706E-2</v>
      </c>
      <c r="AX218" s="170"/>
    </row>
    <row r="219" spans="1:50" ht="13">
      <c r="A219">
        <v>1981</v>
      </c>
      <c r="B219" s="9"/>
      <c r="C219" s="205">
        <v>90.93</v>
      </c>
      <c r="D219" s="205">
        <f t="shared" si="43"/>
        <v>69.119228454418277</v>
      </c>
      <c r="E219" s="144">
        <v>459.64</v>
      </c>
      <c r="F219" s="132">
        <f t="shared" si="55"/>
        <v>2223.705853894533</v>
      </c>
      <c r="G219" s="126">
        <f t="shared" si="53"/>
        <v>544.49101796407183</v>
      </c>
      <c r="H219" s="25">
        <f t="shared" si="54"/>
        <v>657.93126022913259</v>
      </c>
      <c r="I219" s="166">
        <v>98</v>
      </c>
      <c r="J219" s="25">
        <f t="shared" si="51"/>
        <v>29.587153313323846</v>
      </c>
      <c r="K219" s="145"/>
      <c r="L219" s="144">
        <v>460.03</v>
      </c>
      <c r="M219" s="146">
        <v>2.02</v>
      </c>
      <c r="N219" s="160">
        <f t="shared" si="49"/>
        <v>227.73762376237622</v>
      </c>
      <c r="O219" s="160">
        <f t="shared" si="50"/>
        <v>227.73762376237622</v>
      </c>
      <c r="P219" s="134">
        <f t="shared" si="56"/>
        <v>5358.5323238206165</v>
      </c>
      <c r="Q219" s="129"/>
      <c r="R219" s="135"/>
      <c r="S219" s="164">
        <v>60.111498378238707</v>
      </c>
      <c r="T219" s="132">
        <f t="shared" si="57"/>
        <v>2245.1844961240313</v>
      </c>
      <c r="U219" s="25">
        <f t="shared" si="52"/>
        <v>41.899243308533812</v>
      </c>
      <c r="V219" s="135">
        <v>-41.388403144900202</v>
      </c>
      <c r="W219" s="135">
        <v>-59.209737983394703</v>
      </c>
      <c r="X219" s="135">
        <v>-50.299070564147499</v>
      </c>
      <c r="Y219" s="135">
        <v>-44.152055035061501</v>
      </c>
      <c r="Z219" s="27">
        <f t="shared" si="40"/>
        <v>2326.6160581596178</v>
      </c>
      <c r="AA219" s="142">
        <f t="shared" si="41"/>
        <v>1044.3920972183173</v>
      </c>
      <c r="AB219" s="143">
        <f t="shared" si="42"/>
        <v>43.214580724193368</v>
      </c>
      <c r="AC219" s="147">
        <v>1981</v>
      </c>
      <c r="AD219" s="167">
        <v>459.26</v>
      </c>
      <c r="AE219" s="168">
        <v>240.70229934000002</v>
      </c>
      <c r="AF219" s="149">
        <f t="shared" si="45"/>
        <v>0</v>
      </c>
      <c r="AG219" s="169">
        <v>36.171627056809001</v>
      </c>
      <c r="AH219" s="170">
        <v>48.063430661450901</v>
      </c>
      <c r="AI219" s="170"/>
      <c r="AJ219" s="170">
        <v>30.686947044139298</v>
      </c>
      <c r="AK219" s="170">
        <v>42.288330449532801</v>
      </c>
      <c r="AL219" s="171">
        <v>45</v>
      </c>
      <c r="AM219" s="171">
        <v>30</v>
      </c>
      <c r="AN219" s="170"/>
      <c r="AO219" s="170"/>
      <c r="AP219" s="170"/>
      <c r="AQ219" s="170"/>
      <c r="AR219" s="170"/>
      <c r="AS219" s="170"/>
      <c r="AT219" s="172">
        <v>9.5631975248997997E-2</v>
      </c>
      <c r="AU219" s="172">
        <v>0.100206143083412</v>
      </c>
      <c r="AV219" s="172">
        <v>9.1311703821655904E-2</v>
      </c>
      <c r="AW219" s="172">
        <v>6.5186229282653801E-2</v>
      </c>
      <c r="AX219" s="170"/>
    </row>
    <row r="220" spans="1:50" ht="13">
      <c r="A220">
        <v>1982</v>
      </c>
      <c r="B220" s="9"/>
      <c r="C220" s="205">
        <v>96.5</v>
      </c>
      <c r="D220" s="205">
        <f t="shared" si="43"/>
        <v>73.353189770717734</v>
      </c>
      <c r="E220" s="144">
        <v>375.91</v>
      </c>
      <c r="F220" s="132">
        <f t="shared" si="55"/>
        <v>1818.6260280599902</v>
      </c>
      <c r="G220" s="126">
        <f t="shared" si="53"/>
        <v>577.8443113772455</v>
      </c>
      <c r="H220" s="25">
        <f t="shared" si="54"/>
        <v>671.35842880523739</v>
      </c>
      <c r="I220" s="166">
        <v>100</v>
      </c>
      <c r="J220" s="25">
        <f t="shared" si="51"/>
        <v>36.915694510399447</v>
      </c>
      <c r="K220" s="145"/>
      <c r="L220" s="144">
        <v>375.67</v>
      </c>
      <c r="M220" s="146">
        <v>1.75</v>
      </c>
      <c r="N220" s="160">
        <f t="shared" si="49"/>
        <v>214.66857142857143</v>
      </c>
      <c r="O220" s="160">
        <f t="shared" si="50"/>
        <v>214.66857142857143</v>
      </c>
      <c r="P220" s="134">
        <f t="shared" si="56"/>
        <v>5051.0252100840335</v>
      </c>
      <c r="Q220" s="129"/>
      <c r="R220" s="135"/>
      <c r="S220" s="164">
        <v>64.775321528274461</v>
      </c>
      <c r="T220" s="132">
        <f t="shared" si="57"/>
        <v>2419.3798449612405</v>
      </c>
      <c r="U220" s="25">
        <f t="shared" si="52"/>
        <v>47.898787757604346</v>
      </c>
      <c r="V220" s="135">
        <v>-33.090561464067399</v>
      </c>
      <c r="W220" s="135">
        <v>-52.204779453995798</v>
      </c>
      <c r="X220" s="135">
        <v>-42.647670459031602</v>
      </c>
      <c r="Y220" s="135">
        <v>-44.8988075936984</v>
      </c>
      <c r="Z220" s="27">
        <f t="shared" ref="Z220:Z247" si="58">100*T220/$T$28</f>
        <v>2507.1293730168295</v>
      </c>
      <c r="AA220" s="142">
        <f t="shared" ref="AA220:AA247" si="59">Z220*(M220/$M$28)</f>
        <v>974.9947561732115</v>
      </c>
      <c r="AB220" s="143">
        <f t="shared" ref="AB220:AB247" si="60">Z220/(P220/$P$28)</f>
        <v>49.402468080381944</v>
      </c>
      <c r="AC220" s="147">
        <v>1982</v>
      </c>
      <c r="AD220" s="167">
        <v>375.28</v>
      </c>
      <c r="AE220" s="168">
        <v>232.44355335999998</v>
      </c>
      <c r="AF220" s="149">
        <f t="shared" si="45"/>
        <v>0</v>
      </c>
      <c r="AG220" s="169">
        <v>34.607427510049803</v>
      </c>
      <c r="AH220" s="170">
        <v>46.2978517576706</v>
      </c>
      <c r="AI220" s="170"/>
      <c r="AJ220" s="170">
        <v>32.272003796444103</v>
      </c>
      <c r="AK220" s="170">
        <v>40.340975066859798</v>
      </c>
      <c r="AL220" s="170"/>
      <c r="AM220" s="170"/>
      <c r="AN220" s="170"/>
      <c r="AO220" s="170"/>
      <c r="AP220" s="170"/>
      <c r="AQ220" s="170"/>
      <c r="AR220" s="170"/>
      <c r="AS220" s="170"/>
      <c r="AT220" s="172">
        <v>7.7588433889487995E-2</v>
      </c>
      <c r="AU220" s="172">
        <v>8.9526708954931103E-2</v>
      </c>
      <c r="AV220" s="172">
        <v>2.04125058896844E-2</v>
      </c>
      <c r="AW220" s="172">
        <v>5.5674018478164E-2</v>
      </c>
      <c r="AX220" s="170"/>
    </row>
    <row r="221" spans="1:50" ht="13">
      <c r="A221">
        <v>1983</v>
      </c>
      <c r="B221" s="9"/>
      <c r="C221" s="205">
        <v>99.6</v>
      </c>
      <c r="D221" s="205">
        <f t="shared" ref="D221:D248" si="61">C221*100/$AK$196</f>
        <v>75.709613483559437</v>
      </c>
      <c r="E221" s="144">
        <v>424</v>
      </c>
      <c r="F221" s="132">
        <f t="shared" si="55"/>
        <v>2051.2820512820513</v>
      </c>
      <c r="G221" s="126">
        <f t="shared" si="53"/>
        <v>596.40718562874258</v>
      </c>
      <c r="H221" s="25">
        <f t="shared" si="54"/>
        <v>680.08608837970542</v>
      </c>
      <c r="I221" s="166">
        <v>101.3</v>
      </c>
      <c r="J221" s="25">
        <f t="shared" si="51"/>
        <v>33.15419680851064</v>
      </c>
      <c r="K221" s="145"/>
      <c r="L221" s="144">
        <v>424.35</v>
      </c>
      <c r="M221" s="146">
        <v>1.52</v>
      </c>
      <c r="N221" s="160">
        <f t="shared" si="49"/>
        <v>279.1776315789474</v>
      </c>
      <c r="O221" s="160">
        <f t="shared" si="50"/>
        <v>279.1776315789474</v>
      </c>
      <c r="P221" s="134">
        <f t="shared" si="56"/>
        <v>6568.8854489164096</v>
      </c>
      <c r="Q221" s="129"/>
      <c r="R221" s="135"/>
      <c r="S221" s="164">
        <v>68.273188890801279</v>
      </c>
      <c r="T221" s="132">
        <f t="shared" si="57"/>
        <v>2550.0263565891473</v>
      </c>
      <c r="U221" s="25">
        <f t="shared" si="52"/>
        <v>38.819772036210416</v>
      </c>
      <c r="V221" s="135">
        <v>-35.866439836726698</v>
      </c>
      <c r="W221" s="135">
        <v>-60.212184922377197</v>
      </c>
      <c r="X221" s="135">
        <v>-48.039312379551902</v>
      </c>
      <c r="Y221" s="135">
        <v>-44.601997865911699</v>
      </c>
      <c r="Z221" s="27">
        <f t="shared" si="58"/>
        <v>2642.5143591597384</v>
      </c>
      <c r="AA221" s="142">
        <f t="shared" si="59"/>
        <v>892.582627982845</v>
      </c>
      <c r="AB221" s="143">
        <f t="shared" si="60"/>
        <v>40.038436016621787</v>
      </c>
      <c r="AC221" s="147">
        <v>1983</v>
      </c>
      <c r="AD221" s="167">
        <v>423.61</v>
      </c>
      <c r="AE221" s="168">
        <v>292.02402570000004</v>
      </c>
      <c r="AF221" s="149">
        <f t="shared" si="45"/>
        <v>0</v>
      </c>
      <c r="AG221" s="173">
        <v>33.856353885767298</v>
      </c>
      <c r="AH221" s="174">
        <v>45.729299396325203</v>
      </c>
      <c r="AI221" s="174"/>
      <c r="AJ221" s="174">
        <v>34.578446502237597</v>
      </c>
      <c r="AK221" s="174">
        <v>40.330442478763203</v>
      </c>
      <c r="AL221" s="174"/>
      <c r="AM221" s="174"/>
      <c r="AN221" s="49">
        <f t="shared" ref="AN221:AO263" si="62">AG135</f>
        <v>58.455073345137201</v>
      </c>
      <c r="AO221" s="49">
        <f t="shared" si="62"/>
        <v>67.227217851334203</v>
      </c>
      <c r="AP221" s="49">
        <f t="shared" ref="AP221:AQ265" si="63">AG177</f>
        <v>57.875283902554202</v>
      </c>
      <c r="AQ221" s="49">
        <f t="shared" si="63"/>
        <v>58.054655878055399</v>
      </c>
      <c r="AR221" s="49">
        <f>(AVERAGE(AN221:AQ221))*AVERAGE($AP$265:$AQ$265)/AVERAGE($AN$221:$AQ$221)</f>
        <v>39.792826641046247</v>
      </c>
      <c r="AS221" s="207">
        <f t="shared" ref="AS221:AS228" si="64">$AS$14*AR228</f>
        <v>37.560753773439671</v>
      </c>
      <c r="AT221" s="172">
        <v>5.4001438385040797E-2</v>
      </c>
      <c r="AU221" s="172">
        <v>7.9091407817640902E-2</v>
      </c>
      <c r="AV221" s="172">
        <v>1.3003455672068599E-2</v>
      </c>
      <c r="AW221" s="172">
        <v>4.6329057592862703E-2</v>
      </c>
      <c r="AX221" s="170"/>
    </row>
    <row r="222" spans="1:50" ht="13">
      <c r="A222">
        <v>1984</v>
      </c>
      <c r="B222" s="9"/>
      <c r="C222" s="205">
        <v>103.9</v>
      </c>
      <c r="D222" s="205">
        <f t="shared" si="61"/>
        <v>78.978201214275359</v>
      </c>
      <c r="E222" s="144">
        <v>360.66</v>
      </c>
      <c r="F222" s="132">
        <f t="shared" si="55"/>
        <v>1744.8476052249637</v>
      </c>
      <c r="G222" s="126">
        <f t="shared" si="53"/>
        <v>622.1556886227545</v>
      </c>
      <c r="H222" s="25">
        <f t="shared" si="54"/>
        <v>696.19869067103116</v>
      </c>
      <c r="I222" s="166">
        <v>103.7</v>
      </c>
      <c r="J222" s="25">
        <f t="shared" si="51"/>
        <v>39.90025768360843</v>
      </c>
      <c r="K222" s="145"/>
      <c r="L222" s="144">
        <v>360.48</v>
      </c>
      <c r="M222" s="146">
        <v>1.34</v>
      </c>
      <c r="N222" s="160">
        <f t="shared" si="49"/>
        <v>269.0149253731343</v>
      </c>
      <c r="O222" s="160">
        <f t="shared" si="50"/>
        <v>269.0149253731343</v>
      </c>
      <c r="P222" s="134">
        <f t="shared" si="56"/>
        <v>6329.7629499561017</v>
      </c>
      <c r="Q222" s="129"/>
      <c r="R222" s="135"/>
      <c r="S222" s="164">
        <v>71.606617207339184</v>
      </c>
      <c r="T222" s="132">
        <f t="shared" si="57"/>
        <v>2674.5310150513146</v>
      </c>
      <c r="U222" s="25">
        <f t="shared" si="52"/>
        <v>42.25325713137272</v>
      </c>
      <c r="V222" s="135">
        <v>-28.0957559688405</v>
      </c>
      <c r="W222" s="135">
        <v>-55.640127662465098</v>
      </c>
      <c r="X222" s="135">
        <v>-41.867941815652799</v>
      </c>
      <c r="Y222" s="135">
        <v>-43.383819328880001</v>
      </c>
      <c r="Z222" s="27">
        <f t="shared" si="58"/>
        <v>2771.5347306231238</v>
      </c>
      <c r="AA222" s="142">
        <f t="shared" si="59"/>
        <v>825.30145311888577</v>
      </c>
      <c r="AB222" s="143">
        <f t="shared" si="60"/>
        <v>43.579708056252755</v>
      </c>
      <c r="AC222" s="147">
        <v>1984</v>
      </c>
      <c r="AD222" s="167">
        <v>360.5</v>
      </c>
      <c r="AE222" s="168">
        <v>311.71641899999997</v>
      </c>
      <c r="AF222" s="149">
        <f t="shared" si="45"/>
        <v>0</v>
      </c>
      <c r="AG222" s="169">
        <v>33.7451273491953</v>
      </c>
      <c r="AH222" s="170">
        <v>46.301118912042803</v>
      </c>
      <c r="AI222" s="170"/>
      <c r="AJ222" s="170">
        <v>36.923553498528598</v>
      </c>
      <c r="AK222" s="170">
        <v>42.651862559741502</v>
      </c>
      <c r="AL222" s="170"/>
      <c r="AM222" s="170"/>
      <c r="AN222" s="49">
        <f t="shared" si="62"/>
        <v>59.110655517275497</v>
      </c>
      <c r="AO222" s="49">
        <f t="shared" si="62"/>
        <v>67.580950196856307</v>
      </c>
      <c r="AP222" s="49">
        <f t="shared" si="63"/>
        <v>59.440096557530502</v>
      </c>
      <c r="AQ222" s="49">
        <f t="shared" si="63"/>
        <v>59.650045496190998</v>
      </c>
      <c r="AR222" s="49">
        <f t="shared" ref="AR222:AR263" si="65">(AVERAGE(AN222:AQ222))*AVERAGE($AP$265:$AQ$265)/AVERAGE($AN$221:$AQ$221)</f>
        <v>40.479533841924138</v>
      </c>
      <c r="AS222" s="207">
        <f t="shared" si="64"/>
        <v>39.165764868189186</v>
      </c>
      <c r="AT222" s="172">
        <v>4.8822955024058499E-2</v>
      </c>
      <c r="AU222" s="172">
        <v>6.9515008903860406E-2</v>
      </c>
      <c r="AV222" s="172">
        <v>2.36880412886529E-2</v>
      </c>
      <c r="AW222" s="172">
        <v>3.79461826444411E-2</v>
      </c>
      <c r="AX222" s="170"/>
    </row>
    <row r="223" spans="1:50" ht="13">
      <c r="A223">
        <v>1985</v>
      </c>
      <c r="B223" s="9"/>
      <c r="C223" s="205">
        <v>107.6</v>
      </c>
      <c r="D223" s="205">
        <f t="shared" si="61"/>
        <v>81.790706936054178</v>
      </c>
      <c r="E223" s="144">
        <v>317.66000000000003</v>
      </c>
      <c r="F223" s="132">
        <f t="shared" si="55"/>
        <v>1536.81664247702</v>
      </c>
      <c r="G223" s="126">
        <f t="shared" si="53"/>
        <v>644.31137724550899</v>
      </c>
      <c r="H223" s="25">
        <f t="shared" si="54"/>
        <v>692.84189852700501</v>
      </c>
      <c r="I223" s="166">
        <v>103.2</v>
      </c>
      <c r="J223" s="25">
        <f t="shared" si="51"/>
        <v>45.082925274045181</v>
      </c>
      <c r="K223" s="145"/>
      <c r="L223" s="144">
        <v>317.27999999999997</v>
      </c>
      <c r="M223" s="146">
        <v>1.3</v>
      </c>
      <c r="N223" s="160">
        <f t="shared" si="49"/>
        <v>244.06153846153842</v>
      </c>
      <c r="O223" s="160">
        <f t="shared" si="50"/>
        <v>244.06153846153842</v>
      </c>
      <c r="P223" s="134">
        <f t="shared" si="56"/>
        <v>5742.6244343891385</v>
      </c>
      <c r="Q223" s="129"/>
      <c r="R223" s="135"/>
      <c r="S223" s="164">
        <v>76.046227474194211</v>
      </c>
      <c r="T223" s="132">
        <f t="shared" si="57"/>
        <v>2840.3519379844961</v>
      </c>
      <c r="U223" s="25">
        <f t="shared" si="52"/>
        <v>49.460868814184145</v>
      </c>
      <c r="V223" s="135">
        <v>-21.8682275663712</v>
      </c>
      <c r="W223" s="135">
        <v>-47.216761787664403</v>
      </c>
      <c r="X223" s="135">
        <v>-34.5424946770178</v>
      </c>
      <c r="Y223" s="135">
        <v>-41.400838604918498</v>
      </c>
      <c r="Z223" s="27">
        <f t="shared" si="58"/>
        <v>2943.3698839217573</v>
      </c>
      <c r="AA223" s="142">
        <f t="shared" si="59"/>
        <v>850.30685535517443</v>
      </c>
      <c r="AB223" s="143">
        <f t="shared" si="60"/>
        <v>51.013587341420042</v>
      </c>
      <c r="AC223" s="147">
        <v>1985</v>
      </c>
      <c r="AD223" s="167">
        <v>317.18</v>
      </c>
      <c r="AE223" s="168">
        <v>219.57768758</v>
      </c>
      <c r="AF223" s="149">
        <f t="shared" si="45"/>
        <v>0</v>
      </c>
      <c r="AG223" s="169">
        <v>34.0886055267096</v>
      </c>
      <c r="AH223" s="170">
        <v>47.8761626454883</v>
      </c>
      <c r="AI223" s="170"/>
      <c r="AJ223" s="170">
        <v>37.9884542882468</v>
      </c>
      <c r="AK223" s="170">
        <v>46.816884358038898</v>
      </c>
      <c r="AL223" s="170"/>
      <c r="AM223" s="170"/>
      <c r="AN223" s="49">
        <f t="shared" si="62"/>
        <v>60.083114050416803</v>
      </c>
      <c r="AO223" s="49">
        <f t="shared" si="62"/>
        <v>68.104413927526906</v>
      </c>
      <c r="AP223" s="49">
        <f t="shared" si="63"/>
        <v>62.072744156425998</v>
      </c>
      <c r="AQ223" s="49">
        <f t="shared" si="63"/>
        <v>61.922117983375799</v>
      </c>
      <c r="AR223" s="49">
        <f t="shared" si="65"/>
        <v>41.533700886326621</v>
      </c>
      <c r="AS223" s="207">
        <f t="shared" si="64"/>
        <v>40.836519180227938</v>
      </c>
      <c r="AT223" s="172">
        <v>6.1999678448175798E-2</v>
      </c>
      <c r="AU223" s="172">
        <v>6.1161381751581902E-2</v>
      </c>
      <c r="AV223" s="172">
        <v>-4.8261993679977197E-3</v>
      </c>
      <c r="AW223" s="172">
        <v>3.0986973631382701E-2</v>
      </c>
      <c r="AX223" s="170"/>
    </row>
    <row r="224" spans="1:50" ht="13">
      <c r="A224">
        <v>1986</v>
      </c>
      <c r="B224" s="9"/>
      <c r="C224" s="205">
        <v>109.6</v>
      </c>
      <c r="D224" s="205">
        <f t="shared" si="61"/>
        <v>83.310980299177857</v>
      </c>
      <c r="E224" s="144">
        <v>368.24</v>
      </c>
      <c r="F224" s="132">
        <f t="shared" si="55"/>
        <v>1781.5191098209964</v>
      </c>
      <c r="G224" s="126">
        <f t="shared" si="53"/>
        <v>656.28742514970065</v>
      </c>
      <c r="H224" s="25">
        <f t="shared" si="54"/>
        <v>672.70114566284781</v>
      </c>
      <c r="I224" s="166">
        <v>100.2</v>
      </c>
      <c r="J224" s="25">
        <f t="shared" si="51"/>
        <v>37.759973606482369</v>
      </c>
      <c r="K224" s="145"/>
      <c r="L224" s="144">
        <v>367.51</v>
      </c>
      <c r="M224" s="146">
        <v>1.47</v>
      </c>
      <c r="N224" s="160">
        <f t="shared" si="49"/>
        <v>250.00680272108843</v>
      </c>
      <c r="O224" s="160">
        <f t="shared" si="50"/>
        <v>250.00680272108843</v>
      </c>
      <c r="P224" s="134">
        <f t="shared" si="56"/>
        <v>5882.5130052020804</v>
      </c>
      <c r="Q224" s="129"/>
      <c r="R224" s="135"/>
      <c r="S224" s="164">
        <v>77.110874658832941</v>
      </c>
      <c r="T224" s="132">
        <f t="shared" si="57"/>
        <v>2880.1168651162798</v>
      </c>
      <c r="U224" s="25">
        <f t="shared" si="52"/>
        <v>48.960654444270794</v>
      </c>
      <c r="V224" s="135">
        <v>-28.1135723352814</v>
      </c>
      <c r="W224" s="135">
        <v>-46.430222250855202</v>
      </c>
      <c r="X224" s="135">
        <v>-37.271897293068299</v>
      </c>
      <c r="Y224" s="135">
        <v>-38.794463541209801</v>
      </c>
      <c r="Z224" s="27">
        <f t="shared" si="58"/>
        <v>2984.5770622966629</v>
      </c>
      <c r="AA224" s="142">
        <f t="shared" si="59"/>
        <v>974.96184035024316</v>
      </c>
      <c r="AB224" s="143">
        <f t="shared" si="60"/>
        <v>50.497669807806275</v>
      </c>
      <c r="AC224" s="147">
        <v>1986</v>
      </c>
      <c r="AD224" s="167">
        <v>367.72</v>
      </c>
      <c r="AE224" s="168">
        <v>249.38623312000001</v>
      </c>
      <c r="AF224" s="149">
        <f t="shared" si="45"/>
        <v>0</v>
      </c>
      <c r="AG224" s="169">
        <v>34.757194771194399</v>
      </c>
      <c r="AH224" s="170">
        <v>50.224571748206202</v>
      </c>
      <c r="AI224" s="170"/>
      <c r="AJ224" s="170">
        <v>37.246427208145803</v>
      </c>
      <c r="AK224" s="170">
        <v>50.463202735318802</v>
      </c>
      <c r="AL224" s="170"/>
      <c r="AM224" s="170"/>
      <c r="AN224" s="49">
        <f t="shared" si="62"/>
        <v>61.279654955661897</v>
      </c>
      <c r="AO224" s="49">
        <f t="shared" si="62"/>
        <v>68.7166422721602</v>
      </c>
      <c r="AP224" s="49">
        <f t="shared" si="63"/>
        <v>65.628953775101394</v>
      </c>
      <c r="AQ224" s="49">
        <f t="shared" si="63"/>
        <v>64.707855070818695</v>
      </c>
      <c r="AR224" s="49">
        <f t="shared" si="65"/>
        <v>42.876099926829461</v>
      </c>
      <c r="AS224" s="207">
        <f t="shared" si="64"/>
        <v>42.561494802927172</v>
      </c>
      <c r="AT224" s="172">
        <v>1.40017955533649E-2</v>
      </c>
      <c r="AU224" s="172">
        <v>5.4187475360000001E-2</v>
      </c>
      <c r="AV224" s="172">
        <v>-2.9068760464176401E-2</v>
      </c>
      <c r="AW224" s="172">
        <v>2.5770429138613E-2</v>
      </c>
      <c r="AX224" s="170"/>
    </row>
    <row r="225" spans="1:50" ht="13">
      <c r="A225">
        <v>1987</v>
      </c>
      <c r="B225" s="9"/>
      <c r="C225" s="205">
        <v>113.6</v>
      </c>
      <c r="D225" s="205">
        <f t="shared" si="61"/>
        <v>86.351527025425227</v>
      </c>
      <c r="E225" s="144">
        <v>447.95</v>
      </c>
      <c r="F225" s="132">
        <f t="shared" si="55"/>
        <v>2167.1504596032896</v>
      </c>
      <c r="G225" s="126">
        <f t="shared" si="53"/>
        <v>680.23952095808386</v>
      </c>
      <c r="H225" s="25">
        <f t="shared" si="54"/>
        <v>690.15646481178396</v>
      </c>
      <c r="I225" s="166">
        <v>102.8</v>
      </c>
      <c r="J225" s="25">
        <f t="shared" si="51"/>
        <v>31.846264376960768</v>
      </c>
      <c r="K225" s="145"/>
      <c r="L225" s="144">
        <v>446.47</v>
      </c>
      <c r="M225" s="146">
        <v>1.64</v>
      </c>
      <c r="N225" s="160">
        <f t="shared" si="49"/>
        <v>272.23780487804879</v>
      </c>
      <c r="O225" s="160">
        <f t="shared" si="50"/>
        <v>272.23780487804879</v>
      </c>
      <c r="P225" s="134">
        <f t="shared" si="56"/>
        <v>6405.5954088952649</v>
      </c>
      <c r="Q225" s="129"/>
      <c r="R225" s="135"/>
      <c r="S225" s="164">
        <v>79.732644397233258</v>
      </c>
      <c r="T225" s="132">
        <f t="shared" si="57"/>
        <v>2978.0408385302335</v>
      </c>
      <c r="U225" s="25">
        <f t="shared" si="52"/>
        <v>46.491241616582819</v>
      </c>
      <c r="V225" s="135">
        <v>-32.921507981533097</v>
      </c>
      <c r="W225" s="135">
        <v>-47.538624844396097</v>
      </c>
      <c r="X225" s="135">
        <v>-40.230066412964597</v>
      </c>
      <c r="Y225" s="135">
        <v>-35.637518545657798</v>
      </c>
      <c r="Z225" s="27">
        <f t="shared" si="58"/>
        <v>3086.0526824147501</v>
      </c>
      <c r="AA225" s="142">
        <f t="shared" si="59"/>
        <v>1124.6947553689311</v>
      </c>
      <c r="AB225" s="143">
        <f t="shared" si="60"/>
        <v>47.950735029111947</v>
      </c>
      <c r="AC225" s="147">
        <v>1987</v>
      </c>
      <c r="AD225" s="167">
        <v>446.28</v>
      </c>
      <c r="AE225" s="168">
        <v>238.46123867999998</v>
      </c>
      <c r="AF225" s="149">
        <f t="shared" si="45"/>
        <v>0</v>
      </c>
      <c r="AG225" s="169">
        <v>35.724715380266503</v>
      </c>
      <c r="AH225" s="170">
        <v>53.195925745286203</v>
      </c>
      <c r="AI225" s="170"/>
      <c r="AJ225" s="170">
        <v>36.317932498896802</v>
      </c>
      <c r="AK225" s="170">
        <v>54.229551100565303</v>
      </c>
      <c r="AL225" s="170"/>
      <c r="AM225" s="170"/>
      <c r="AN225" s="49">
        <f t="shared" si="62"/>
        <v>62.6096531036074</v>
      </c>
      <c r="AO225" s="49">
        <f t="shared" si="62"/>
        <v>69.358024320295399</v>
      </c>
      <c r="AP225" s="49">
        <f t="shared" si="63"/>
        <v>69.940925047853497</v>
      </c>
      <c r="AQ225" s="49">
        <f t="shared" si="63"/>
        <v>67.887417309895298</v>
      </c>
      <c r="AR225" s="49">
        <f t="shared" si="65"/>
        <v>44.434614093000704</v>
      </c>
      <c r="AS225" s="207">
        <f t="shared" si="64"/>
        <v>44.356296631695798</v>
      </c>
      <c r="AT225" s="172">
        <v>3.3998583392358603E-2</v>
      </c>
      <c r="AU225" s="172">
        <v>4.8758621695275103E-2</v>
      </c>
      <c r="AV225" s="172">
        <v>2.59551062880926E-2</v>
      </c>
      <c r="AW225" s="172">
        <v>2.2257416021063701E-2</v>
      </c>
      <c r="AX225" s="170"/>
    </row>
    <row r="226" spans="1:50" ht="13.5">
      <c r="A226">
        <v>1988</v>
      </c>
      <c r="B226" s="9"/>
      <c r="C226" s="205">
        <v>118.3</v>
      </c>
      <c r="D226" s="205">
        <f t="shared" si="61"/>
        <v>89.924169428765879</v>
      </c>
      <c r="E226" s="144">
        <v>438.31</v>
      </c>
      <c r="F226" s="132">
        <f t="shared" si="55"/>
        <v>2120.5128205128203</v>
      </c>
      <c r="G226" s="126">
        <f t="shared" si="53"/>
        <v>708.38323353293413</v>
      </c>
      <c r="H226" s="25">
        <f t="shared" si="54"/>
        <v>717.68216039279878</v>
      </c>
      <c r="I226" s="175">
        <v>106.9</v>
      </c>
      <c r="J226" s="25">
        <f t="shared" si="51"/>
        <v>33.8447451696725</v>
      </c>
      <c r="K226" s="145"/>
      <c r="L226" s="144">
        <v>437.05</v>
      </c>
      <c r="M226" s="146">
        <v>1.78</v>
      </c>
      <c r="N226" s="160">
        <f t="shared" si="49"/>
        <v>245.53370786516854</v>
      </c>
      <c r="O226" s="160">
        <f t="shared" si="50"/>
        <v>245.53370786516854</v>
      </c>
      <c r="P226" s="134">
        <f t="shared" si="56"/>
        <v>5777.263714474554</v>
      </c>
      <c r="Q226" s="129"/>
      <c r="R226" s="135"/>
      <c r="S226" s="164">
        <v>82.682752239930892</v>
      </c>
      <c r="T226" s="132">
        <f t="shared" si="57"/>
        <v>3088.2283495558527</v>
      </c>
      <c r="U226" s="25">
        <f t="shared" si="52"/>
        <v>53.454862062441421</v>
      </c>
      <c r="V226" s="135">
        <v>-29.801752211088999</v>
      </c>
      <c r="W226" s="135">
        <v>-39.140066200121296</v>
      </c>
      <c r="X226" s="135">
        <v>-34.470909205605203</v>
      </c>
      <c r="Y226" s="135">
        <v>-31.9876023636848</v>
      </c>
      <c r="Z226" s="27">
        <f t="shared" si="58"/>
        <v>3200.236631664096</v>
      </c>
      <c r="AA226" s="142">
        <f t="shared" si="59"/>
        <v>1265.8713787471313</v>
      </c>
      <c r="AB226" s="143">
        <f t="shared" si="60"/>
        <v>55.132963492624746</v>
      </c>
      <c r="AC226" s="147">
        <v>1988</v>
      </c>
      <c r="AD226" s="167">
        <v>436.79</v>
      </c>
      <c r="AE226" s="168">
        <v>241.38718881</v>
      </c>
      <c r="AF226" s="149">
        <f t="shared" si="45"/>
        <v>0</v>
      </c>
      <c r="AG226" s="169">
        <v>36.9896157038309</v>
      </c>
      <c r="AH226" s="170">
        <v>56.635958444335799</v>
      </c>
      <c r="AI226" s="170"/>
      <c r="AJ226" s="170">
        <v>36.814621331788999</v>
      </c>
      <c r="AK226" s="170">
        <v>58.546928617656</v>
      </c>
      <c r="AL226" s="170"/>
      <c r="AM226" s="170"/>
      <c r="AN226" s="49">
        <f t="shared" si="62"/>
        <v>64.017686815293004</v>
      </c>
      <c r="AO226" s="49">
        <f t="shared" si="62"/>
        <v>70.055582738749806</v>
      </c>
      <c r="AP226" s="49">
        <f t="shared" si="63"/>
        <v>74.858568071227793</v>
      </c>
      <c r="AQ226" s="49">
        <f t="shared" si="63"/>
        <v>71.400586701272701</v>
      </c>
      <c r="AR226" s="49">
        <f t="shared" si="65"/>
        <v>46.169929055241084</v>
      </c>
      <c r="AS226" s="207">
        <f t="shared" si="64"/>
        <v>46.25375621452406</v>
      </c>
      <c r="AT226" s="172">
        <v>3.7000846194141103E-2</v>
      </c>
      <c r="AU226" s="172">
        <v>4.4638295925501302E-2</v>
      </c>
      <c r="AV226" s="172">
        <v>3.9874811637881001E-2</v>
      </c>
      <c r="AW226" s="172">
        <v>1.98604092376388E-2</v>
      </c>
      <c r="AX226" s="170"/>
    </row>
    <row r="227" spans="1:50" ht="13.5">
      <c r="A227">
        <v>1989</v>
      </c>
      <c r="B227" s="9"/>
      <c r="C227" s="205">
        <v>124</v>
      </c>
      <c r="D227" s="205">
        <f t="shared" si="61"/>
        <v>94.256948513668377</v>
      </c>
      <c r="E227" s="144">
        <v>382.58</v>
      </c>
      <c r="F227" s="132">
        <f t="shared" si="55"/>
        <v>1850.8950169327527</v>
      </c>
      <c r="G227" s="126">
        <f t="shared" si="53"/>
        <v>742.51497005988028</v>
      </c>
      <c r="H227" s="25">
        <f t="shared" si="54"/>
        <v>753.26415711947629</v>
      </c>
      <c r="I227" s="175">
        <v>112.2</v>
      </c>
      <c r="J227" s="25">
        <f t="shared" si="51"/>
        <v>40.697292403313227</v>
      </c>
      <c r="K227" s="145"/>
      <c r="L227" s="144">
        <v>381.43</v>
      </c>
      <c r="M227" s="146">
        <v>1.64</v>
      </c>
      <c r="N227" s="160">
        <f t="shared" si="49"/>
        <v>232.57926829268294</v>
      </c>
      <c r="O227" s="160">
        <f t="shared" si="50"/>
        <v>232.57926829268294</v>
      </c>
      <c r="P227" s="134">
        <f t="shared" si="56"/>
        <v>5472.45337159254</v>
      </c>
      <c r="Q227" s="129"/>
      <c r="R227" s="135"/>
      <c r="S227" s="164">
        <v>86.651524347447577</v>
      </c>
      <c r="T227" s="132">
        <f t="shared" si="57"/>
        <v>3236.4633103345336</v>
      </c>
      <c r="U227" s="25">
        <f t="shared" si="52"/>
        <v>59.140993820705489</v>
      </c>
      <c r="V227" s="135">
        <v>-21.7840227299112</v>
      </c>
      <c r="W227" s="135">
        <v>-31.932623789342902</v>
      </c>
      <c r="X227" s="135">
        <v>-26.858323259626999</v>
      </c>
      <c r="Y227" s="135">
        <v>-27.948239219386402</v>
      </c>
      <c r="Z227" s="27">
        <f t="shared" si="58"/>
        <v>3353.8479899839726</v>
      </c>
      <c r="AA227" s="142">
        <f t="shared" si="59"/>
        <v>1222.2912674608253</v>
      </c>
      <c r="AB227" s="143">
        <f t="shared" si="60"/>
        <v>60.997599234766049</v>
      </c>
      <c r="AC227" s="147">
        <v>1989</v>
      </c>
      <c r="AD227" s="167">
        <v>380.74</v>
      </c>
      <c r="AE227" s="168">
        <v>237.14733566000004</v>
      </c>
      <c r="AF227" s="149">
        <f t="shared" si="45"/>
        <v>0</v>
      </c>
      <c r="AG227" s="169">
        <v>38.507896937990097</v>
      </c>
      <c r="AH227" s="170">
        <v>60.397344395509698</v>
      </c>
      <c r="AI227" s="170"/>
      <c r="AJ227" s="170">
        <v>38.735500711812797</v>
      </c>
      <c r="AK227" s="170">
        <v>63.733150750280203</v>
      </c>
      <c r="AL227" s="170"/>
      <c r="AM227" s="170"/>
      <c r="AN227" s="49">
        <f t="shared" si="62"/>
        <v>65.461237880722706</v>
      </c>
      <c r="AO227" s="49">
        <f t="shared" si="62"/>
        <v>70.866159951137803</v>
      </c>
      <c r="AP227" s="49">
        <f t="shared" si="63"/>
        <v>80.242383691291394</v>
      </c>
      <c r="AQ227" s="49">
        <f t="shared" si="63"/>
        <v>75.226171072519193</v>
      </c>
      <c r="AR227" s="49">
        <f t="shared" si="65"/>
        <v>48.057938578862462</v>
      </c>
      <c r="AS227" s="207">
        <f t="shared" si="64"/>
        <v>48.256115919959953</v>
      </c>
      <c r="AT227" s="172">
        <v>4.7998367997202203E-2</v>
      </c>
      <c r="AU227" s="172">
        <v>4.1442372835743597E-2</v>
      </c>
      <c r="AV227" s="172">
        <v>4.9576412885965898E-2</v>
      </c>
      <c r="AW227" s="172">
        <v>1.8028860649912399E-2</v>
      </c>
      <c r="AX227" s="170"/>
    </row>
    <row r="228" spans="1:50" ht="13.5">
      <c r="A228">
        <v>1990</v>
      </c>
      <c r="B228" s="9"/>
      <c r="C228" s="205">
        <v>130.69999999999999</v>
      </c>
      <c r="D228" s="205">
        <f t="shared" si="61"/>
        <v>99.349864280132707</v>
      </c>
      <c r="E228" s="144">
        <v>384.93</v>
      </c>
      <c r="F228" s="132">
        <f t="shared" si="55"/>
        <v>1862.2641509433961</v>
      </c>
      <c r="G228" s="126">
        <f t="shared" si="53"/>
        <v>782.6347305389221</v>
      </c>
      <c r="H228" s="25">
        <f t="shared" si="54"/>
        <v>780.78985270049088</v>
      </c>
      <c r="I228" s="175">
        <v>116.3</v>
      </c>
      <c r="J228" s="25">
        <f t="shared" si="51"/>
        <v>41.926912049773073</v>
      </c>
      <c r="K228" s="145"/>
      <c r="L228" s="144">
        <v>383.47</v>
      </c>
      <c r="M228" s="146">
        <v>1.78</v>
      </c>
      <c r="N228" s="160">
        <f t="shared" si="49"/>
        <v>215.43258426966293</v>
      </c>
      <c r="O228" s="160">
        <f t="shared" si="50"/>
        <v>215.43258426966293</v>
      </c>
      <c r="P228" s="134">
        <f t="shared" si="56"/>
        <v>5069.0019828155982</v>
      </c>
      <c r="Q228" s="129"/>
      <c r="R228" s="135"/>
      <c r="S228" s="164">
        <v>92.023918856989312</v>
      </c>
      <c r="T228" s="132">
        <f t="shared" si="57"/>
        <v>3437.1240355752743</v>
      </c>
      <c r="U228" s="25">
        <f t="shared" si="52"/>
        <v>67.80672107107975</v>
      </c>
      <c r="V228" s="135">
        <v>-19.368037243962402</v>
      </c>
      <c r="W228" s="135">
        <v>-21.664355922849602</v>
      </c>
      <c r="X228" s="135">
        <v>-20.516196583406</v>
      </c>
      <c r="Y228" s="135">
        <v>-23.647786405276999</v>
      </c>
      <c r="Z228" s="27">
        <f t="shared" si="58"/>
        <v>3561.7865653629788</v>
      </c>
      <c r="AA228" s="142">
        <f t="shared" si="59"/>
        <v>1408.884463632467</v>
      </c>
      <c r="AB228" s="143">
        <f t="shared" si="60"/>
        <v>69.935368517078302</v>
      </c>
      <c r="AC228" s="147">
        <v>1990</v>
      </c>
      <c r="AD228" s="167">
        <v>383.32</v>
      </c>
      <c r="AE228" s="168">
        <v>198.81735104000001</v>
      </c>
      <c r="AF228" s="149">
        <f t="shared" si="45"/>
        <v>0</v>
      </c>
      <c r="AG228" s="169">
        <v>40.200064121807898</v>
      </c>
      <c r="AH228" s="170">
        <v>64.318498564519302</v>
      </c>
      <c r="AI228" s="170"/>
      <c r="AJ228" s="170">
        <v>40.954703866695397</v>
      </c>
      <c r="AK228" s="170">
        <v>68.993723422908502</v>
      </c>
      <c r="AL228" s="170"/>
      <c r="AM228" s="170"/>
      <c r="AN228" s="49">
        <f t="shared" si="62"/>
        <v>66.939611221747398</v>
      </c>
      <c r="AO228" s="49">
        <f t="shared" si="62"/>
        <v>71.857742553686506</v>
      </c>
      <c r="AP228" s="49">
        <f t="shared" si="63"/>
        <v>85.914287073399294</v>
      </c>
      <c r="AQ228" s="49">
        <f t="shared" si="63"/>
        <v>79.367872384190207</v>
      </c>
      <c r="AR228" s="49">
        <f t="shared" si="65"/>
        <v>50.081005031252893</v>
      </c>
      <c r="AS228" s="207">
        <f t="shared" si="64"/>
        <v>50.384757724243471</v>
      </c>
      <c r="AT228" s="172">
        <v>6.1999839330626597E-2</v>
      </c>
      <c r="AU228" s="172">
        <v>3.8710352713753303E-2</v>
      </c>
      <c r="AV228" s="172">
        <v>3.6547805538592201E-2</v>
      </c>
      <c r="AW228" s="172">
        <v>1.6412366143461001E-2</v>
      </c>
      <c r="AX228" s="170"/>
    </row>
    <row r="229" spans="1:50" ht="13.5">
      <c r="A229">
        <v>1991</v>
      </c>
      <c r="B229" s="9"/>
      <c r="C229" s="205">
        <v>136.19999999999999</v>
      </c>
      <c r="D229" s="205">
        <f t="shared" si="61"/>
        <v>103.53061602872283</v>
      </c>
      <c r="E229" s="144">
        <v>363.29</v>
      </c>
      <c r="F229" s="132">
        <f t="shared" si="55"/>
        <v>1757.5713594581518</v>
      </c>
      <c r="G229" s="126">
        <f t="shared" si="53"/>
        <v>815.56886227544908</v>
      </c>
      <c r="H229" s="25">
        <f t="shared" si="54"/>
        <v>782.1325695581013</v>
      </c>
      <c r="I229" s="175">
        <v>116.5</v>
      </c>
      <c r="J229" s="25">
        <f t="shared" si="51"/>
        <v>44.500757556679105</v>
      </c>
      <c r="K229" s="145"/>
      <c r="L229" s="144">
        <v>362.18</v>
      </c>
      <c r="M229" s="146">
        <v>1.77</v>
      </c>
      <c r="N229" s="160">
        <f t="shared" si="49"/>
        <v>204.62146892655366</v>
      </c>
      <c r="O229" s="160">
        <f t="shared" si="50"/>
        <v>204.62146892655366</v>
      </c>
      <c r="P229" s="134">
        <f t="shared" si="56"/>
        <v>4814.6227982718501</v>
      </c>
      <c r="Q229" s="129"/>
      <c r="R229" s="135"/>
      <c r="S229" s="164">
        <v>96.99321047526675</v>
      </c>
      <c r="T229" s="132">
        <f t="shared" si="57"/>
        <v>3622.7287334963403</v>
      </c>
      <c r="U229" s="25">
        <f t="shared" si="52"/>
        <v>75.244289849594736</v>
      </c>
      <c r="V229" s="135">
        <v>-15.583513459204701</v>
      </c>
      <c r="W229" s="135">
        <v>-12.553301750907201</v>
      </c>
      <c r="X229" s="135">
        <v>-14.068407605055899</v>
      </c>
      <c r="Y229" s="135">
        <v>-19.203702054273901</v>
      </c>
      <c r="Z229" s="27">
        <f t="shared" si="58"/>
        <v>3754.1230398925804</v>
      </c>
      <c r="AA229" s="142">
        <f t="shared" si="59"/>
        <v>1476.6217290244149</v>
      </c>
      <c r="AB229" s="143">
        <f t="shared" si="60"/>
        <v>77.606423910706695</v>
      </c>
      <c r="AC229" s="147">
        <v>1991</v>
      </c>
      <c r="AD229" s="167">
        <v>362.1</v>
      </c>
      <c r="AE229" s="168">
        <v>193.56381390000001</v>
      </c>
      <c r="AF229" s="149">
        <f t="shared" si="45"/>
        <v>0</v>
      </c>
      <c r="AG229" s="169">
        <v>42.004243324968499</v>
      </c>
      <c r="AH229" s="170">
        <v>68.222862473120699</v>
      </c>
      <c r="AI229" s="170"/>
      <c r="AJ229" s="170">
        <v>42.857863786893198</v>
      </c>
      <c r="AK229" s="170">
        <v>71.923102309917894</v>
      </c>
      <c r="AL229" s="170"/>
      <c r="AM229" s="170"/>
      <c r="AN229" s="49">
        <f t="shared" si="62"/>
        <v>68.488499381410804</v>
      </c>
      <c r="AO229" s="49">
        <f t="shared" si="62"/>
        <v>73.132155543111494</v>
      </c>
      <c r="AP229" s="49">
        <f t="shared" si="63"/>
        <v>91.616769545993193</v>
      </c>
      <c r="AQ229" s="49">
        <f t="shared" si="63"/>
        <v>83.835730886115996</v>
      </c>
      <c r="AR229" s="49">
        <f t="shared" si="65"/>
        <v>52.221019824252245</v>
      </c>
      <c r="AS229" s="207">
        <f t="shared" ref="AS229:AS256" si="66">$AS$14*AR236</f>
        <v>52.668640926248919</v>
      </c>
      <c r="AT229" s="172">
        <v>5.4001605995717301E-2</v>
      </c>
      <c r="AU229" s="172">
        <v>3.6047295798896303E-2</v>
      </c>
      <c r="AV229" s="172">
        <v>1.7162105047452299E-3</v>
      </c>
      <c r="AW229" s="172">
        <v>1.49759971262218E-2</v>
      </c>
      <c r="AX229" s="170"/>
    </row>
    <row r="230" spans="1:50" ht="13.5">
      <c r="A230">
        <v>1992</v>
      </c>
      <c r="B230" s="9"/>
      <c r="C230" s="205">
        <v>140.30000000000001</v>
      </c>
      <c r="D230" s="205">
        <f t="shared" si="61"/>
        <v>106.64717642312641</v>
      </c>
      <c r="E230" s="144">
        <v>344.97</v>
      </c>
      <c r="F230" s="132">
        <f t="shared" si="55"/>
        <v>1668.9404934687952</v>
      </c>
      <c r="G230" s="126">
        <f t="shared" si="53"/>
        <v>840.11976047904204</v>
      </c>
      <c r="H230" s="25">
        <f t="shared" si="54"/>
        <v>786.83207855973797</v>
      </c>
      <c r="I230" s="175">
        <v>117.2</v>
      </c>
      <c r="J230" s="25">
        <f t="shared" si="51"/>
        <v>47.145604150592185</v>
      </c>
      <c r="K230" s="145"/>
      <c r="L230" s="144">
        <v>343.73</v>
      </c>
      <c r="M230" s="146">
        <v>1.77</v>
      </c>
      <c r="N230" s="160">
        <f t="shared" si="49"/>
        <v>194.19774011299435</v>
      </c>
      <c r="O230" s="160">
        <f t="shared" si="50"/>
        <v>194.19774011299435</v>
      </c>
      <c r="P230" s="134">
        <f t="shared" si="56"/>
        <v>4569.3585908939849</v>
      </c>
      <c r="Q230" s="129"/>
      <c r="R230" s="135"/>
      <c r="S230" s="164">
        <v>100</v>
      </c>
      <c r="T230" s="132">
        <f t="shared" si="57"/>
        <v>3735.0333242347256</v>
      </c>
      <c r="U230" s="25">
        <f t="shared" si="52"/>
        <v>81.740866905872991</v>
      </c>
      <c r="V230" s="135">
        <v>-11.6901690816005</v>
      </c>
      <c r="W230" s="135">
        <v>-4.28748126325877</v>
      </c>
      <c r="X230" s="135">
        <v>-7.9888251724296397</v>
      </c>
      <c r="Y230" s="135">
        <v>-14.702128401075401</v>
      </c>
      <c r="Z230" s="27">
        <f t="shared" si="58"/>
        <v>3870.5008541292491</v>
      </c>
      <c r="AA230" s="142">
        <f t="shared" si="59"/>
        <v>1522.3970026241711</v>
      </c>
      <c r="AB230" s="143">
        <f t="shared" si="60"/>
        <v>84.306947153146666</v>
      </c>
      <c r="AC230" s="147">
        <v>1992</v>
      </c>
      <c r="AD230" s="167">
        <v>343.86</v>
      </c>
      <c r="AE230" s="168">
        <v>227.42075136</v>
      </c>
      <c r="AF230" s="149">
        <f t="shared" ref="AF230:AF247" si="67">(J230*F230/100)-H230</f>
        <v>0</v>
      </c>
      <c r="AG230" s="169">
        <v>43.871159975937999</v>
      </c>
      <c r="AH230" s="170">
        <v>72.036792657424996</v>
      </c>
      <c r="AI230" s="170"/>
      <c r="AJ230" s="170">
        <v>43.999045507297403</v>
      </c>
      <c r="AK230" s="170">
        <v>71.987835278049502</v>
      </c>
      <c r="AL230" s="170"/>
      <c r="AM230" s="170"/>
      <c r="AN230" s="49">
        <f t="shared" si="62"/>
        <v>70.165198790539094</v>
      </c>
      <c r="AO230" s="49">
        <f t="shared" si="62"/>
        <v>74.795346490591399</v>
      </c>
      <c r="AP230" s="49">
        <f t="shared" si="63"/>
        <v>97.058379566781198</v>
      </c>
      <c r="AQ230" s="49">
        <f t="shared" si="63"/>
        <v>88.580108104285202</v>
      </c>
      <c r="AR230" s="49">
        <f t="shared" si="65"/>
        <v>54.448692240303913</v>
      </c>
      <c r="AS230" s="207">
        <f t="shared" si="66"/>
        <v>55.115999634239472</v>
      </c>
      <c r="AT230" s="172">
        <v>3.0998721958302201E-2</v>
      </c>
      <c r="AU230" s="172">
        <v>3.3291157196707298E-2</v>
      </c>
      <c r="AV230" s="172">
        <v>6.0092312019741504E-3</v>
      </c>
      <c r="AW230" s="172">
        <v>1.3886179400083101E-2</v>
      </c>
      <c r="AX230" s="170"/>
    </row>
    <row r="231" spans="1:50" ht="13.5">
      <c r="A231">
        <v>1993</v>
      </c>
      <c r="B231" s="9"/>
      <c r="C231" s="205">
        <v>144.5</v>
      </c>
      <c r="D231" s="205">
        <f t="shared" si="61"/>
        <v>109.83975048568614</v>
      </c>
      <c r="E231" s="144">
        <v>360.91</v>
      </c>
      <c r="F231" s="132">
        <f t="shared" si="55"/>
        <v>1746.0570875665214</v>
      </c>
      <c r="G231" s="126">
        <f t="shared" si="53"/>
        <v>865.26946107784431</v>
      </c>
      <c r="H231" s="25">
        <f t="shared" si="54"/>
        <v>798.24517184942704</v>
      </c>
      <c r="I231" s="175">
        <v>118.9</v>
      </c>
      <c r="J231" s="25">
        <f t="shared" si="51"/>
        <v>45.717014497042634</v>
      </c>
      <c r="K231" s="145"/>
      <c r="L231" s="144">
        <v>359.77</v>
      </c>
      <c r="M231" s="146">
        <v>1.5</v>
      </c>
      <c r="N231" s="160">
        <f t="shared" si="49"/>
        <v>239.84666666666666</v>
      </c>
      <c r="O231" s="160">
        <f t="shared" si="50"/>
        <v>239.84666666666666</v>
      </c>
      <c r="P231" s="134">
        <f t="shared" si="56"/>
        <v>5643.4509803921574</v>
      </c>
      <c r="Q231" s="129"/>
      <c r="R231" s="135"/>
      <c r="S231" s="164">
        <v>103.96341463414633</v>
      </c>
      <c r="T231" s="132">
        <f t="shared" si="57"/>
        <v>3883.0681815976868</v>
      </c>
      <c r="U231" s="25">
        <f t="shared" si="52"/>
        <v>68.806625504309011</v>
      </c>
      <c r="V231" s="135">
        <v>-11.8477218171123</v>
      </c>
      <c r="W231" s="135">
        <v>-15.364895289123799</v>
      </c>
      <c r="X231" s="135">
        <v>-13.606308553118</v>
      </c>
      <c r="Y231" s="135">
        <v>-10.177854735887699</v>
      </c>
      <c r="Z231" s="27">
        <f t="shared" si="58"/>
        <v>4023.9048513965668</v>
      </c>
      <c r="AA231" s="142">
        <f t="shared" si="59"/>
        <v>1341.3016171321888</v>
      </c>
      <c r="AB231" s="143">
        <f t="shared" si="60"/>
        <v>70.966662818220584</v>
      </c>
      <c r="AC231" s="147">
        <v>1993</v>
      </c>
      <c r="AD231" s="167">
        <v>360</v>
      </c>
      <c r="AE231" s="168">
        <v>243.04607999999999</v>
      </c>
      <c r="AF231" s="149">
        <f t="shared" si="67"/>
        <v>0</v>
      </c>
      <c r="AG231" s="169">
        <v>45.771097069932601</v>
      </c>
      <c r="AH231" s="170">
        <v>75.812117028811997</v>
      </c>
      <c r="AI231" s="170"/>
      <c r="AJ231" s="170">
        <v>44.299692800501397</v>
      </c>
      <c r="AK231" s="170">
        <v>71.603436090738199</v>
      </c>
      <c r="AL231" s="170"/>
      <c r="AM231" s="170"/>
      <c r="AN231" s="49">
        <f t="shared" si="62"/>
        <v>72.037120886144393</v>
      </c>
      <c r="AO231" s="49">
        <f t="shared" si="62"/>
        <v>76.965441411873996</v>
      </c>
      <c r="AP231" s="49">
        <f t="shared" si="63"/>
        <v>102.044497898011</v>
      </c>
      <c r="AQ231" s="49">
        <f t="shared" si="63"/>
        <v>93.516808255824799</v>
      </c>
      <c r="AR231" s="49">
        <f t="shared" si="65"/>
        <v>56.748659737236231</v>
      </c>
      <c r="AS231" s="207">
        <f t="shared" si="66"/>
        <v>57.705066737603026</v>
      </c>
      <c r="AT231" s="172">
        <v>3.9635558482796603E-2</v>
      </c>
      <c r="AU231" s="172">
        <v>3.0459435114689098E-2</v>
      </c>
      <c r="AV231" s="172">
        <v>1.4513935665899799E-2</v>
      </c>
      <c r="AW231" s="172">
        <v>1.31767409007186E-2</v>
      </c>
      <c r="AX231" s="170"/>
    </row>
    <row r="232" spans="1:50" ht="13.5">
      <c r="A232">
        <v>1994</v>
      </c>
      <c r="B232" s="9"/>
      <c r="C232" s="205">
        <v>148.19999999999999</v>
      </c>
      <c r="D232" s="205">
        <f t="shared" si="61"/>
        <v>112.65225620746494</v>
      </c>
      <c r="E232" s="144">
        <v>385.42</v>
      </c>
      <c r="F232" s="132">
        <f t="shared" si="55"/>
        <v>1864.6347363328493</v>
      </c>
      <c r="G232" s="126">
        <f t="shared" si="53"/>
        <v>887.42514970059869</v>
      </c>
      <c r="H232" s="25">
        <f t="shared" si="54"/>
        <v>808.31554828150558</v>
      </c>
      <c r="I232" s="175">
        <v>120.4</v>
      </c>
      <c r="J232" s="25">
        <f t="shared" si="51"/>
        <v>43.349806400754304</v>
      </c>
      <c r="K232" s="145"/>
      <c r="L232" s="144">
        <v>384.01</v>
      </c>
      <c r="M232" s="146">
        <v>1.53</v>
      </c>
      <c r="N232" s="160">
        <f t="shared" si="49"/>
        <v>250.98692810457516</v>
      </c>
      <c r="O232" s="160">
        <f t="shared" si="50"/>
        <v>250.98692810457516</v>
      </c>
      <c r="P232" s="134">
        <f t="shared" si="56"/>
        <v>5905.5747789311799</v>
      </c>
      <c r="Q232" s="129"/>
      <c r="R232" s="135"/>
      <c r="S232" s="164">
        <v>106.56873614190687</v>
      </c>
      <c r="T232" s="132">
        <f t="shared" si="57"/>
        <v>3980.3778081159976</v>
      </c>
      <c r="U232" s="25">
        <f t="shared" si="52"/>
        <v>67.400345556819545</v>
      </c>
      <c r="V232" s="135">
        <v>-12.915889371702299</v>
      </c>
      <c r="W232" s="135">
        <v>-14.8335254971994</v>
      </c>
      <c r="X232" s="135">
        <v>-13.874707434450899</v>
      </c>
      <c r="Y232" s="135">
        <v>-5.5985373166304999</v>
      </c>
      <c r="Z232" s="27">
        <f t="shared" si="58"/>
        <v>4124.7438426072513</v>
      </c>
      <c r="AA232" s="142">
        <f t="shared" si="59"/>
        <v>1402.4129064864655</v>
      </c>
      <c r="AB232" s="143">
        <f t="shared" si="60"/>
        <v>69.516235709929106</v>
      </c>
      <c r="AC232" s="147">
        <v>1994</v>
      </c>
      <c r="AD232" s="167">
        <v>384.12</v>
      </c>
      <c r="AE232" s="168">
        <v>245.83680000000001</v>
      </c>
      <c r="AF232" s="149">
        <f t="shared" si="67"/>
        <v>0</v>
      </c>
      <c r="AG232" s="169">
        <v>47.701326002409402</v>
      </c>
      <c r="AH232" s="170">
        <v>79.589095572087402</v>
      </c>
      <c r="AI232" s="170"/>
      <c r="AJ232" s="170">
        <v>44.538234269999599</v>
      </c>
      <c r="AK232" s="170">
        <v>72.816140085402395</v>
      </c>
      <c r="AL232" s="170"/>
      <c r="AM232" s="170"/>
      <c r="AN232" s="49">
        <f t="shared" si="62"/>
        <v>74.185025117333694</v>
      </c>
      <c r="AO232" s="49">
        <f t="shared" si="62"/>
        <v>79.807412857800898</v>
      </c>
      <c r="AP232" s="49">
        <f t="shared" si="63"/>
        <v>106.506821506264</v>
      </c>
      <c r="AQ232" s="49">
        <f t="shared" si="63"/>
        <v>98.594734476819298</v>
      </c>
      <c r="AR232" s="49">
        <f t="shared" si="65"/>
        <v>59.14172884226106</v>
      </c>
      <c r="AS232" s="207">
        <f t="shared" si="66"/>
        <v>60.365307073265029</v>
      </c>
      <c r="AT232" s="172">
        <v>2.5060068450993601E-2</v>
      </c>
      <c r="AU232" s="172">
        <v>2.7546703407960799E-2</v>
      </c>
      <c r="AV232" s="172">
        <v>1.26150955214532E-2</v>
      </c>
      <c r="AW232" s="172">
        <v>1.28027400818208E-2</v>
      </c>
      <c r="AX232" s="170"/>
    </row>
    <row r="233" spans="1:50" ht="13.5">
      <c r="A233">
        <v>1995</v>
      </c>
      <c r="B233" s="9"/>
      <c r="C233" s="205">
        <v>152.4</v>
      </c>
      <c r="D233" s="205">
        <f t="shared" si="61"/>
        <v>115.84483027002469</v>
      </c>
      <c r="E233" s="144">
        <v>385.5</v>
      </c>
      <c r="F233" s="132">
        <f t="shared" si="55"/>
        <v>1865.0217706821479</v>
      </c>
      <c r="G233" s="126">
        <f t="shared" si="53"/>
        <v>912.57485029940119</v>
      </c>
      <c r="H233" s="25">
        <f t="shared" si="54"/>
        <v>837.1839607201307</v>
      </c>
      <c r="I233" s="175">
        <v>124.7</v>
      </c>
      <c r="J233" s="25">
        <f t="shared" si="51"/>
        <v>44.888696415266153</v>
      </c>
      <c r="K233" s="145"/>
      <c r="L233" s="144">
        <v>384.16</v>
      </c>
      <c r="M233" s="146">
        <v>1.58</v>
      </c>
      <c r="N233" s="160">
        <f t="shared" si="49"/>
        <v>243.13924050632912</v>
      </c>
      <c r="O233" s="160">
        <f t="shared" si="50"/>
        <v>243.13924050632912</v>
      </c>
      <c r="P233" s="134">
        <f t="shared" si="56"/>
        <v>5720.9233060312736</v>
      </c>
      <c r="Q233" s="129"/>
      <c r="R233" s="135"/>
      <c r="S233" s="164">
        <v>110.86474501108647</v>
      </c>
      <c r="T233" s="132">
        <f t="shared" si="57"/>
        <v>4140.8351709919352</v>
      </c>
      <c r="U233" s="25">
        <f t="shared" si="52"/>
        <v>72.380539809482627</v>
      </c>
      <c r="V233" s="135">
        <v>-10.0443894513331</v>
      </c>
      <c r="W233" s="135">
        <v>-7.8213343956590498</v>
      </c>
      <c r="X233" s="135">
        <v>-8.9328619234960893</v>
      </c>
      <c r="Y233" s="135">
        <v>-0.96611693939590304</v>
      </c>
      <c r="Z233" s="27">
        <f t="shared" si="58"/>
        <v>4291.020902582316</v>
      </c>
      <c r="AA233" s="142">
        <f t="shared" si="59"/>
        <v>1506.62511690668</v>
      </c>
      <c r="AB233" s="143">
        <f t="shared" si="60"/>
        <v>74.65277254352003</v>
      </c>
      <c r="AC233" s="147">
        <v>1995</v>
      </c>
      <c r="AD233" s="167">
        <v>384.05</v>
      </c>
      <c r="AE233" s="168">
        <v>247.77408205</v>
      </c>
      <c r="AF233" s="149">
        <f t="shared" si="67"/>
        <v>0</v>
      </c>
      <c r="AG233" s="169">
        <v>49.652707198126102</v>
      </c>
      <c r="AH233" s="170">
        <v>83.339367101768701</v>
      </c>
      <c r="AI233" s="170"/>
      <c r="AJ233" s="170">
        <v>45.769867585785803</v>
      </c>
      <c r="AK233" s="170">
        <v>76.787703902547804</v>
      </c>
      <c r="AL233" s="170"/>
      <c r="AM233" s="170"/>
      <c r="AN233" s="49">
        <f t="shared" si="62"/>
        <v>76.722299724352197</v>
      </c>
      <c r="AO233" s="49">
        <f t="shared" si="62"/>
        <v>83.542378965095097</v>
      </c>
      <c r="AP233" s="49">
        <f t="shared" si="63"/>
        <v>110.399102379138</v>
      </c>
      <c r="AQ233" s="49">
        <f t="shared" si="63"/>
        <v>103.79142182079499</v>
      </c>
      <c r="AR233" s="49">
        <f t="shared" si="65"/>
        <v>61.671674952698751</v>
      </c>
      <c r="AS233" s="207">
        <f t="shared" si="66"/>
        <v>62.960259816819772</v>
      </c>
      <c r="AT233" s="172">
        <v>4.03127339600741E-2</v>
      </c>
      <c r="AU233" s="172">
        <v>2.4639297165322101E-2</v>
      </c>
      <c r="AV233" s="172">
        <v>3.5703681710213597E-2</v>
      </c>
      <c r="AW233" s="172">
        <v>1.2732607344734199E-2</v>
      </c>
      <c r="AX233" s="170"/>
    </row>
    <row r="234" spans="1:50" ht="13.5">
      <c r="A234">
        <v>1996</v>
      </c>
      <c r="B234" s="9"/>
      <c r="C234" s="205">
        <v>156.9</v>
      </c>
      <c r="D234" s="205">
        <f t="shared" si="61"/>
        <v>119.26544533705298</v>
      </c>
      <c r="E234" s="144">
        <v>389.09</v>
      </c>
      <c r="F234" s="132">
        <f t="shared" si="55"/>
        <v>1882.3899371069181</v>
      </c>
      <c r="G234" s="126">
        <f t="shared" si="53"/>
        <v>939.5209580838324</v>
      </c>
      <c r="H234" s="25">
        <f t="shared" si="54"/>
        <v>857.32471358428779</v>
      </c>
      <c r="I234" s="175">
        <v>127.7</v>
      </c>
      <c r="J234" s="25">
        <f t="shared" si="51"/>
        <v>45.544480273939783</v>
      </c>
      <c r="K234" s="145"/>
      <c r="L234" s="144">
        <v>387.69</v>
      </c>
      <c r="M234" s="146">
        <v>1.56</v>
      </c>
      <c r="N234" s="160">
        <f t="shared" si="49"/>
        <v>248.51923076923075</v>
      </c>
      <c r="O234" s="160">
        <f t="shared" si="50"/>
        <v>248.51923076923075</v>
      </c>
      <c r="P234" s="134">
        <f t="shared" si="56"/>
        <v>5847.5113122171942</v>
      </c>
      <c r="Q234" s="129"/>
      <c r="R234" s="135"/>
      <c r="S234" s="164">
        <v>113.75609756097562</v>
      </c>
      <c r="T234" s="132">
        <f t="shared" si="57"/>
        <v>4248.8281522514053</v>
      </c>
      <c r="U234" s="25">
        <f t="shared" si="52"/>
        <v>72.660452034942395</v>
      </c>
      <c r="V234" s="135">
        <v>-8.0329397619670395</v>
      </c>
      <c r="W234" s="135">
        <v>-5.4162653321543504</v>
      </c>
      <c r="X234" s="135">
        <v>-6.7246025470606998</v>
      </c>
      <c r="Y234" s="135">
        <v>3.63470389854584</v>
      </c>
      <c r="Z234" s="27">
        <f t="shared" si="58"/>
        <v>4402.930727721664</v>
      </c>
      <c r="AA234" s="142">
        <f t="shared" si="59"/>
        <v>1526.3493189435103</v>
      </c>
      <c r="AB234" s="143">
        <f t="shared" si="60"/>
        <v>74.941472016533112</v>
      </c>
      <c r="AC234" s="147">
        <v>1996</v>
      </c>
      <c r="AD234" s="167">
        <v>387.82</v>
      </c>
      <c r="AE234" s="168">
        <v>228.39805695999999</v>
      </c>
      <c r="AF234" s="149">
        <f t="shared" si="67"/>
        <v>0</v>
      </c>
      <c r="AG234" s="169">
        <v>51.567387821815998</v>
      </c>
      <c r="AH234" s="170">
        <v>86.937379476652694</v>
      </c>
      <c r="AI234" s="170"/>
      <c r="AJ234" s="170">
        <v>48.480378994520599</v>
      </c>
      <c r="AK234" s="170">
        <v>83.697837487546096</v>
      </c>
      <c r="AL234" s="170"/>
      <c r="AM234" s="170"/>
      <c r="AN234" s="49">
        <f t="shared" si="62"/>
        <v>79.749482696271897</v>
      </c>
      <c r="AO234" s="49">
        <f t="shared" si="62"/>
        <v>88.347183741901603</v>
      </c>
      <c r="AP234" s="49">
        <f t="shared" si="63"/>
        <v>113.693324289172</v>
      </c>
      <c r="AQ234" s="49">
        <f t="shared" si="63"/>
        <v>108.87565799650901</v>
      </c>
      <c r="AR234" s="49">
        <f t="shared" si="65"/>
        <v>64.341487893279933</v>
      </c>
      <c r="AS234" s="207">
        <f t="shared" si="66"/>
        <v>65.301698604123004</v>
      </c>
      <c r="AT234" s="172">
        <v>2.6079249620849801E-2</v>
      </c>
      <c r="AU234" s="172">
        <v>2.17986851260034E-2</v>
      </c>
      <c r="AV234" s="172">
        <v>2.40569531044698E-2</v>
      </c>
      <c r="AW234" s="172">
        <v>1.2932896645199501E-2</v>
      </c>
      <c r="AX234" s="170"/>
    </row>
    <row r="235" spans="1:50" ht="13.5">
      <c r="A235">
        <v>1997</v>
      </c>
      <c r="B235" s="9"/>
      <c r="C235" s="205">
        <v>160.5</v>
      </c>
      <c r="D235" s="205">
        <f t="shared" si="61"/>
        <v>122.00193739067561</v>
      </c>
      <c r="E235" s="144">
        <v>332.39</v>
      </c>
      <c r="F235" s="132">
        <f t="shared" si="55"/>
        <v>1608.079342041606</v>
      </c>
      <c r="G235" s="126">
        <f t="shared" si="53"/>
        <v>961.07784431137725</v>
      </c>
      <c r="H235" s="25">
        <f t="shared" si="54"/>
        <v>856.65335515548247</v>
      </c>
      <c r="I235" s="175">
        <v>127.6</v>
      </c>
      <c r="J235" s="25">
        <f t="shared" si="51"/>
        <v>53.271833842967069</v>
      </c>
      <c r="K235" s="145"/>
      <c r="L235" s="144">
        <v>331.1</v>
      </c>
      <c r="M235" s="146">
        <v>1.64</v>
      </c>
      <c r="N235" s="160">
        <f t="shared" si="49"/>
        <v>201.89024390243904</v>
      </c>
      <c r="O235" s="160">
        <f t="shared" si="50"/>
        <v>201.89024390243904</v>
      </c>
      <c r="P235" s="134">
        <f t="shared" si="56"/>
        <v>4750.3586800573894</v>
      </c>
      <c r="Q235" s="129"/>
      <c r="R235" s="135"/>
      <c r="S235" s="164">
        <v>114.77272727272727</v>
      </c>
      <c r="T235" s="132">
        <f t="shared" si="57"/>
        <v>4286.7996107694007</v>
      </c>
      <c r="U235" s="25">
        <f t="shared" si="52"/>
        <v>90.241598571617999</v>
      </c>
      <c r="V235" s="135">
        <v>1.0887419904336799</v>
      </c>
      <c r="W235" s="135">
        <v>14.383757506189101</v>
      </c>
      <c r="X235" s="135">
        <v>7.7362497483113897</v>
      </c>
      <c r="Y235" s="135">
        <v>8.0395552500834704</v>
      </c>
      <c r="Z235" s="27">
        <f t="shared" si="58"/>
        <v>4442.2793893983426</v>
      </c>
      <c r="AA235" s="142">
        <f t="shared" si="59"/>
        <v>1618.9640441362847</v>
      </c>
      <c r="AB235" s="143">
        <f t="shared" si="60"/>
        <v>93.074541166216207</v>
      </c>
      <c r="AC235" s="147">
        <v>1997</v>
      </c>
      <c r="AD235" s="167">
        <v>330.98</v>
      </c>
      <c r="AE235" s="168">
        <v>200.13301464</v>
      </c>
      <c r="AF235" s="149">
        <f t="shared" si="67"/>
        <v>0</v>
      </c>
      <c r="AG235" s="169">
        <v>53.334687966231698</v>
      </c>
      <c r="AH235" s="170">
        <v>90.145386884518203</v>
      </c>
      <c r="AI235" s="170"/>
      <c r="AJ235" s="170">
        <v>52.6889322142694</v>
      </c>
      <c r="AK235" s="170">
        <v>92.170349484919399</v>
      </c>
      <c r="AL235" s="170"/>
      <c r="AM235" s="170"/>
      <c r="AN235" s="49">
        <f t="shared" si="62"/>
        <v>83.382889024921496</v>
      </c>
      <c r="AO235" s="49">
        <f t="shared" si="62"/>
        <v>94.327047406714399</v>
      </c>
      <c r="AP235" s="49">
        <f t="shared" si="63"/>
        <v>116.464179985112</v>
      </c>
      <c r="AQ235" s="49">
        <f t="shared" si="63"/>
        <v>113.724316494513</v>
      </c>
      <c r="AR235" s="49">
        <f t="shared" si="65"/>
        <v>67.179676965657961</v>
      </c>
      <c r="AS235" s="207">
        <f t="shared" si="66"/>
        <v>67.185295177935387</v>
      </c>
      <c r="AT235" s="172">
        <v>8.9365778343685805E-3</v>
      </c>
      <c r="AU235" s="172">
        <v>1.92430703971825E-2</v>
      </c>
      <c r="AV235" s="172">
        <v>-7.8150515560126001E-4</v>
      </c>
      <c r="AW235" s="172">
        <v>1.3599872682612099E-2</v>
      </c>
      <c r="AX235" s="170"/>
    </row>
    <row r="236" spans="1:50" ht="13.5">
      <c r="A236">
        <v>1998</v>
      </c>
      <c r="B236" s="9"/>
      <c r="C236" s="205">
        <v>163</v>
      </c>
      <c r="D236" s="205">
        <f t="shared" si="61"/>
        <v>123.90227909458021</v>
      </c>
      <c r="E236" s="144">
        <v>295.24</v>
      </c>
      <c r="F236" s="132">
        <f t="shared" si="55"/>
        <v>1428.350266086115</v>
      </c>
      <c r="G236" s="126">
        <f t="shared" si="53"/>
        <v>976.04790419161679</v>
      </c>
      <c r="H236" s="25">
        <f t="shared" si="54"/>
        <v>835.16988543371497</v>
      </c>
      <c r="I236" s="175">
        <v>124.4</v>
      </c>
      <c r="J236" s="25">
        <f t="shared" si="51"/>
        <v>58.470944085878912</v>
      </c>
      <c r="K236" s="145"/>
      <c r="L236" s="144">
        <v>294.16000000000003</v>
      </c>
      <c r="M236" s="146">
        <v>1.66</v>
      </c>
      <c r="N236" s="160">
        <f t="shared" si="49"/>
        <v>177.20481927710847</v>
      </c>
      <c r="O236" s="160">
        <f t="shared" si="50"/>
        <v>177.20481927710847</v>
      </c>
      <c r="P236" s="134">
        <f t="shared" si="56"/>
        <v>4169.5251594613756</v>
      </c>
      <c r="Q236" s="129"/>
      <c r="R236" s="135"/>
      <c r="S236" s="164">
        <v>115.42904656319291</v>
      </c>
      <c r="T236" s="132">
        <f t="shared" si="57"/>
        <v>4311.3133549816739</v>
      </c>
      <c r="U236" s="25">
        <f t="shared" si="52"/>
        <v>103.40058376188368</v>
      </c>
      <c r="V236" s="135">
        <v>7.7109380999065102</v>
      </c>
      <c r="W236" s="135">
        <v>29.860829092764099</v>
      </c>
      <c r="X236" s="135">
        <v>18.785883596335299</v>
      </c>
      <c r="Y236" s="135">
        <v>11.9804741036497</v>
      </c>
      <c r="Z236" s="27">
        <f t="shared" si="58"/>
        <v>4467.6822331416306</v>
      </c>
      <c r="AA236" s="142">
        <f t="shared" si="59"/>
        <v>1648.0783348922459</v>
      </c>
      <c r="AB236" s="143">
        <f t="shared" si="60"/>
        <v>106.64662464194284</v>
      </c>
      <c r="AC236" s="147">
        <v>1998</v>
      </c>
      <c r="AD236" s="167">
        <v>294.12</v>
      </c>
      <c r="AE236" s="168">
        <v>176.80788504</v>
      </c>
      <c r="AF236" s="149">
        <f t="shared" si="67"/>
        <v>0</v>
      </c>
      <c r="AG236" s="169">
        <v>54.778153845907198</v>
      </c>
      <c r="AH236" s="170">
        <v>92.659069718377793</v>
      </c>
      <c r="AI236" s="170"/>
      <c r="AJ236" s="170">
        <v>57.251231298257103</v>
      </c>
      <c r="AK236" s="170">
        <v>99.689769376674505</v>
      </c>
      <c r="AL236" s="170"/>
      <c r="AM236" s="170"/>
      <c r="AN236" s="49">
        <f t="shared" si="62"/>
        <v>87.755338875166601</v>
      </c>
      <c r="AO236" s="49">
        <f t="shared" si="62"/>
        <v>101.50851834060801</v>
      </c>
      <c r="AP236" s="49">
        <f t="shared" si="63"/>
        <v>118.823128972812</v>
      </c>
      <c r="AQ236" s="49">
        <f t="shared" si="63"/>
        <v>118.30101422539001</v>
      </c>
      <c r="AR236" s="49">
        <f t="shared" si="65"/>
        <v>70.224854568331892</v>
      </c>
      <c r="AS236" s="207">
        <f t="shared" si="66"/>
        <v>68.468629573494795</v>
      </c>
      <c r="AT236" s="172">
        <v>5.7175515536064701E-3</v>
      </c>
      <c r="AU236" s="172">
        <v>1.72334617309856E-2</v>
      </c>
      <c r="AV236" s="172">
        <v>-2.5074417790229401E-2</v>
      </c>
      <c r="AW236" s="172">
        <v>1.5041040720960399E-2</v>
      </c>
      <c r="AX236" s="170"/>
    </row>
    <row r="237" spans="1:50" ht="13.5">
      <c r="A237">
        <v>1999</v>
      </c>
      <c r="B237" s="9"/>
      <c r="C237" s="205">
        <v>166.6</v>
      </c>
      <c r="D237" s="205">
        <f t="shared" si="61"/>
        <v>126.63877114820284</v>
      </c>
      <c r="E237" s="144">
        <v>279.91000000000003</v>
      </c>
      <c r="F237" s="132">
        <f t="shared" si="55"/>
        <v>1354.1848089017901</v>
      </c>
      <c r="G237" s="126">
        <f t="shared" si="53"/>
        <v>997.60479041916176</v>
      </c>
      <c r="H237" s="25">
        <f t="shared" si="54"/>
        <v>842.55482815057258</v>
      </c>
      <c r="I237" s="175">
        <v>125.5</v>
      </c>
      <c r="J237" s="25">
        <f t="shared" si="51"/>
        <v>62.218599899511752</v>
      </c>
      <c r="K237" s="145"/>
      <c r="L237" s="144">
        <v>278.64</v>
      </c>
      <c r="M237" s="146">
        <v>1.62</v>
      </c>
      <c r="N237" s="160">
        <f t="shared" si="49"/>
        <v>171.99999999999997</v>
      </c>
      <c r="O237" s="160">
        <f t="shared" si="50"/>
        <v>171.99999999999997</v>
      </c>
      <c r="P237" s="134">
        <f t="shared" si="56"/>
        <v>4047.0588235294108</v>
      </c>
      <c r="Q237" s="129"/>
      <c r="R237" s="135"/>
      <c r="S237" s="164">
        <v>116.74057649667405</v>
      </c>
      <c r="T237" s="132">
        <f t="shared" si="57"/>
        <v>4360.2994350545077</v>
      </c>
      <c r="U237" s="25">
        <f t="shared" si="52"/>
        <v>107.73995697082363</v>
      </c>
      <c r="V237" s="135">
        <v>12.9139308604892</v>
      </c>
      <c r="W237" s="135">
        <v>36.617063561491001</v>
      </c>
      <c r="X237" s="135">
        <v>24.765497210990102</v>
      </c>
      <c r="Y237" s="135">
        <v>15.186464392659399</v>
      </c>
      <c r="Z237" s="27">
        <f t="shared" si="58"/>
        <v>4518.4450104191792</v>
      </c>
      <c r="AA237" s="142">
        <f t="shared" si="59"/>
        <v>1626.6402037509047</v>
      </c>
      <c r="AB237" s="143">
        <f t="shared" si="60"/>
        <v>111.12222322135544</v>
      </c>
      <c r="AC237" s="147">
        <v>1999</v>
      </c>
      <c r="AD237" s="167">
        <v>278.55</v>
      </c>
      <c r="AE237" s="168">
        <v>172.32746445000001</v>
      </c>
      <c r="AF237" s="149">
        <f t="shared" si="67"/>
        <v>0</v>
      </c>
      <c r="AG237" s="169">
        <v>55.714784795714202</v>
      </c>
      <c r="AH237" s="170">
        <v>94.1970545023988</v>
      </c>
      <c r="AI237" s="170"/>
      <c r="AJ237" s="170">
        <v>61.020002894952498</v>
      </c>
      <c r="AK237" s="170">
        <v>103.830510149845</v>
      </c>
      <c r="AL237" s="170"/>
      <c r="AM237" s="170"/>
      <c r="AN237" s="49">
        <f t="shared" si="62"/>
        <v>92.916823521623897</v>
      </c>
      <c r="AO237" s="49">
        <f t="shared" si="62"/>
        <v>109.800674450591</v>
      </c>
      <c r="AP237" s="49">
        <f t="shared" si="63"/>
        <v>120.874688958275</v>
      </c>
      <c r="AQ237" s="49">
        <f t="shared" si="63"/>
        <v>122.60882493478</v>
      </c>
      <c r="AR237" s="49">
        <f t="shared" si="65"/>
        <v>73.487999512319291</v>
      </c>
      <c r="AS237" s="207">
        <f t="shared" si="66"/>
        <v>69.09067092623215</v>
      </c>
      <c r="AT237" s="172">
        <v>1.13631355666838E-2</v>
      </c>
      <c r="AU237" s="172">
        <v>1.59278029539109E-2</v>
      </c>
      <c r="AV237" s="172">
        <v>8.8365243004418208E-3</v>
      </c>
      <c r="AW237" s="172">
        <v>1.7420092245850199E-2</v>
      </c>
      <c r="AX237" s="170"/>
    </row>
    <row r="238" spans="1:50" ht="13.5">
      <c r="A238">
        <v>2000</v>
      </c>
      <c r="B238" s="9"/>
      <c r="C238" s="205">
        <v>172.2</v>
      </c>
      <c r="D238" s="205">
        <f t="shared" si="61"/>
        <v>130.89553656494917</v>
      </c>
      <c r="E238" s="144">
        <v>280.10000000000002</v>
      </c>
      <c r="F238" s="132">
        <f t="shared" si="55"/>
        <v>1355.1040154813741</v>
      </c>
      <c r="G238" s="126">
        <f t="shared" si="53"/>
        <v>1031.1377245508982</v>
      </c>
      <c r="H238" s="25">
        <f t="shared" si="54"/>
        <v>890.89263502454969</v>
      </c>
      <c r="I238" s="175">
        <v>132.69999999999999</v>
      </c>
      <c r="J238" s="25">
        <f t="shared" si="51"/>
        <v>65.743487204417846</v>
      </c>
      <c r="K238" s="145"/>
      <c r="L238" s="144">
        <v>279.02999999999997</v>
      </c>
      <c r="M238" s="146">
        <v>1.52</v>
      </c>
      <c r="N238" s="160">
        <f t="shared" si="49"/>
        <v>183.5723684210526</v>
      </c>
      <c r="O238" s="160">
        <f t="shared" si="50"/>
        <v>183.5723684210526</v>
      </c>
      <c r="P238" s="134">
        <f t="shared" si="56"/>
        <v>4319.3498452012373</v>
      </c>
      <c r="Q238" s="129"/>
      <c r="R238" s="135"/>
      <c r="S238" s="164">
        <v>119.69733924611974</v>
      </c>
      <c r="T238" s="132">
        <f t="shared" si="57"/>
        <v>4470.7355090648634</v>
      </c>
      <c r="U238" s="25">
        <f t="shared" si="52"/>
        <v>103.50482524660082</v>
      </c>
      <c r="V238" s="135">
        <v>17.9180025662193</v>
      </c>
      <c r="W238" s="135">
        <v>34.894594206810297</v>
      </c>
      <c r="X238" s="135">
        <v>26.406298386514798</v>
      </c>
      <c r="Y238" s="135">
        <v>17.454584145454401</v>
      </c>
      <c r="Z238" s="27">
        <f t="shared" si="58"/>
        <v>4632.8865378910505</v>
      </c>
      <c r="AA238" s="142">
        <f t="shared" si="59"/>
        <v>1564.8861194654216</v>
      </c>
      <c r="AB238" s="143">
        <f t="shared" si="60"/>
        <v>106.75413856583273</v>
      </c>
      <c r="AC238" s="147">
        <v>2000</v>
      </c>
      <c r="AD238" s="167">
        <v>279.10000000000002</v>
      </c>
      <c r="AE238" s="168">
        <v>187.03914410000002</v>
      </c>
      <c r="AF238" s="149">
        <f t="shared" si="67"/>
        <v>0</v>
      </c>
      <c r="AG238" s="176">
        <v>55.991698612065598</v>
      </c>
      <c r="AH238" s="177">
        <v>94.603677063564703</v>
      </c>
      <c r="AI238" s="177"/>
      <c r="AJ238" s="177">
        <v>63.027563220071599</v>
      </c>
      <c r="AK238" s="177">
        <v>104.013728332573</v>
      </c>
      <c r="AL238" s="177"/>
      <c r="AM238" s="177"/>
      <c r="AN238" s="49">
        <f t="shared" si="62"/>
        <v>98.839780850158206</v>
      </c>
      <c r="AO238" s="49">
        <f t="shared" si="62"/>
        <v>118.974408460265</v>
      </c>
      <c r="AP238" s="49">
        <f t="shared" si="63"/>
        <v>122.695246357776</v>
      </c>
      <c r="AQ238" s="49">
        <f t="shared" si="63"/>
        <v>126.65181222607001</v>
      </c>
      <c r="AR238" s="49">
        <f t="shared" si="65"/>
        <v>76.940088983470702</v>
      </c>
      <c r="AS238" s="208">
        <f t="shared" si="66"/>
        <v>69.076780820551804</v>
      </c>
      <c r="AT238" s="172">
        <v>2.5328532440428299E-2</v>
      </c>
      <c r="AU238" s="172">
        <v>1.5368878790682701E-2</v>
      </c>
      <c r="AV238" s="172">
        <v>5.7373449646905203E-2</v>
      </c>
      <c r="AW238" s="172">
        <v>2.0499564157775901E-2</v>
      </c>
      <c r="AX238" s="170"/>
    </row>
    <row r="239" spans="1:50" ht="13.5">
      <c r="A239">
        <v>2001</v>
      </c>
      <c r="B239" s="9"/>
      <c r="C239" s="205">
        <v>177.1</v>
      </c>
      <c r="D239" s="205">
        <f t="shared" si="61"/>
        <v>134.62020630460219</v>
      </c>
      <c r="E239" s="144">
        <v>272.22000000000003</v>
      </c>
      <c r="F239" s="132">
        <f t="shared" si="55"/>
        <v>1316.9811320754718</v>
      </c>
      <c r="G239" s="126">
        <f t="shared" si="53"/>
        <v>1060.4790419161677</v>
      </c>
      <c r="H239" s="25">
        <f t="shared" si="54"/>
        <v>900.96301145662824</v>
      </c>
      <c r="I239" s="175">
        <v>134.19999999999999</v>
      </c>
      <c r="J239" s="25">
        <f t="shared" si="51"/>
        <v>68.411231528941684</v>
      </c>
      <c r="K239" s="145"/>
      <c r="L239" s="144">
        <v>271.04000000000002</v>
      </c>
      <c r="M239" s="146">
        <v>1.44</v>
      </c>
      <c r="N239" s="160">
        <f t="shared" si="49"/>
        <v>188.22222222222226</v>
      </c>
      <c r="O239" s="160">
        <f t="shared" si="50"/>
        <v>188.22222222222226</v>
      </c>
      <c r="P239" s="134">
        <f t="shared" si="56"/>
        <v>4428.758169934641</v>
      </c>
      <c r="Q239" s="129"/>
      <c r="R239" s="135"/>
      <c r="S239" s="164">
        <v>119.95565410199556</v>
      </c>
      <c r="T239" s="132">
        <f t="shared" si="57"/>
        <v>4480.3836550132746</v>
      </c>
      <c r="U239" s="25">
        <f t="shared" si="52"/>
        <v>101.1656876058192</v>
      </c>
      <c r="V239" s="135">
        <v>22.103435511134599</v>
      </c>
      <c r="W239" s="135">
        <v>35.185573483685197</v>
      </c>
      <c r="X239" s="135">
        <v>28.644504497409901</v>
      </c>
      <c r="Y239" s="135">
        <v>18.6776817185598</v>
      </c>
      <c r="Z239" s="27">
        <f t="shared" si="58"/>
        <v>4642.8846165940668</v>
      </c>
      <c r="AA239" s="142">
        <f t="shared" si="59"/>
        <v>1485.7230773101014</v>
      </c>
      <c r="AB239" s="143">
        <f t="shared" si="60"/>
        <v>104.34156868579464</v>
      </c>
      <c r="AC239" s="147">
        <v>2001</v>
      </c>
      <c r="AD239" s="167">
        <v>272.67</v>
      </c>
      <c r="AE239" s="168">
        <v>187.99642155000001</v>
      </c>
      <c r="AF239" s="149">
        <f t="shared" si="67"/>
        <v>0</v>
      </c>
      <c r="AG239" s="169">
        <v>55.5144652434169</v>
      </c>
      <c r="AH239" s="170">
        <v>93.873202683835103</v>
      </c>
      <c r="AI239" s="170"/>
      <c r="AJ239" s="170">
        <v>62.486227524346603</v>
      </c>
      <c r="AK239" s="170">
        <v>101.44707706972</v>
      </c>
      <c r="AL239" s="170"/>
      <c r="AM239" s="170"/>
      <c r="AN239" s="49">
        <f t="shared" si="62"/>
        <v>105.374480511418</v>
      </c>
      <c r="AO239" s="49">
        <f t="shared" si="62"/>
        <v>128.579506348725</v>
      </c>
      <c r="AP239" s="49">
        <f t="shared" si="63"/>
        <v>124.315440698008</v>
      </c>
      <c r="AQ239" s="49">
        <f t="shared" si="63"/>
        <v>130.42825145329601</v>
      </c>
      <c r="AR239" s="49">
        <f t="shared" si="65"/>
        <v>80.48707609768671</v>
      </c>
      <c r="AS239" s="206">
        <f t="shared" si="66"/>
        <v>68.552034183720735</v>
      </c>
      <c r="AT239" s="172">
        <v>2.1562425907121199E-3</v>
      </c>
      <c r="AU239" s="172">
        <v>1.55538272921529E-2</v>
      </c>
      <c r="AV239" s="172">
        <v>1.1303303438134901E-2</v>
      </c>
      <c r="AW239" s="172">
        <v>2.39561576777775E-2</v>
      </c>
      <c r="AX239" s="170"/>
    </row>
    <row r="240" spans="1:50" ht="13.5">
      <c r="A240">
        <v>2002</v>
      </c>
      <c r="B240" s="9"/>
      <c r="C240" s="205">
        <v>179.9</v>
      </c>
      <c r="D240" s="205">
        <f t="shared" si="61"/>
        <v>136.74858901297534</v>
      </c>
      <c r="E240" s="144">
        <v>311.33</v>
      </c>
      <c r="F240" s="132">
        <f t="shared" si="55"/>
        <v>1506.1925495887758</v>
      </c>
      <c r="G240" s="126">
        <f t="shared" si="53"/>
        <v>1077.245508982036</v>
      </c>
      <c r="H240" s="25">
        <f t="shared" si="54"/>
        <v>880.15090016366594</v>
      </c>
      <c r="I240" s="175">
        <v>131.1</v>
      </c>
      <c r="J240" s="25">
        <f t="shared" si="51"/>
        <v>58.435483590990195</v>
      </c>
      <c r="K240" s="145"/>
      <c r="L240" s="144">
        <v>309.68</v>
      </c>
      <c r="M240" s="146">
        <v>1.5</v>
      </c>
      <c r="N240" s="160">
        <f t="shared" si="49"/>
        <v>206.45333333333335</v>
      </c>
      <c r="O240" s="160">
        <f t="shared" si="50"/>
        <v>206.45333333333335</v>
      </c>
      <c r="P240" s="134">
        <f t="shared" si="56"/>
        <v>4857.7254901960787</v>
      </c>
      <c r="Q240" s="129"/>
      <c r="R240" s="135"/>
      <c r="S240" s="164">
        <v>120.33481152993349</v>
      </c>
      <c r="T240" s="132">
        <f t="shared" si="57"/>
        <v>4494.5453112980676</v>
      </c>
      <c r="U240" s="25">
        <f t="shared" si="52"/>
        <v>92.523657838818067</v>
      </c>
      <c r="V240" s="135">
        <v>13.6805119892724</v>
      </c>
      <c r="W240" s="135">
        <v>29.262173007605298</v>
      </c>
      <c r="X240" s="135">
        <v>21.471342498438801</v>
      </c>
      <c r="Y240" s="135">
        <v>18.838122610911402</v>
      </c>
      <c r="Z240" s="27">
        <f t="shared" si="58"/>
        <v>4657.5599080808988</v>
      </c>
      <c r="AA240" s="142">
        <f t="shared" si="59"/>
        <v>1552.5199693602995</v>
      </c>
      <c r="AB240" s="143">
        <f t="shared" si="60"/>
        <v>95.428240818823639</v>
      </c>
      <c r="AC240" s="147">
        <v>2002</v>
      </c>
      <c r="AD240" s="167">
        <v>309.66000000000003</v>
      </c>
      <c r="AE240" s="168">
        <v>209.67</v>
      </c>
      <c r="AF240" s="149">
        <f t="shared" si="67"/>
        <v>0</v>
      </c>
      <c r="AG240" s="169">
        <v>54.278437652103101</v>
      </c>
      <c r="AH240" s="170">
        <v>92.085359874534007</v>
      </c>
      <c r="AI240" s="170"/>
      <c r="AJ240" s="170">
        <v>59.255789985152198</v>
      </c>
      <c r="AK240" s="170">
        <v>97.050300061953394</v>
      </c>
      <c r="AL240" s="170"/>
      <c r="AM240" s="170"/>
      <c r="AN240" s="49">
        <f t="shared" si="62"/>
        <v>112.169794347551</v>
      </c>
      <c r="AO240" s="49">
        <f t="shared" si="62"/>
        <v>137.85291001046599</v>
      </c>
      <c r="AP240" s="49">
        <f t="shared" si="63"/>
        <v>125.740359042085</v>
      </c>
      <c r="AQ240" s="49">
        <f t="shared" si="63"/>
        <v>133.94249984823699</v>
      </c>
      <c r="AR240" s="49">
        <f t="shared" si="65"/>
        <v>83.947013089093033</v>
      </c>
      <c r="AS240" s="206">
        <f t="shared" si="66"/>
        <v>67.578295734840395</v>
      </c>
      <c r="AT240" s="172">
        <v>3.16267816569131E-3</v>
      </c>
      <c r="AU240" s="172">
        <v>1.6579383045671098E-2</v>
      </c>
      <c r="AV240" s="172">
        <v>-2.3097584798437199E-2</v>
      </c>
      <c r="AW240" s="172">
        <v>2.7835312881786201E-2</v>
      </c>
      <c r="AX240" s="170"/>
    </row>
    <row r="241" spans="1:50" ht="13.5">
      <c r="A241">
        <v>2003</v>
      </c>
      <c r="B241" s="9"/>
      <c r="C241" s="205">
        <v>184</v>
      </c>
      <c r="D241" s="205">
        <f t="shared" si="61"/>
        <v>139.86514940737888</v>
      </c>
      <c r="E241" s="144">
        <v>364.8</v>
      </c>
      <c r="F241" s="132">
        <f t="shared" si="55"/>
        <v>1764.8766328011609</v>
      </c>
      <c r="G241" s="126">
        <f t="shared" si="53"/>
        <v>1101.7964071856288</v>
      </c>
      <c r="H241" s="25">
        <f t="shared" si="54"/>
        <v>927.14599018003264</v>
      </c>
      <c r="I241" s="175">
        <v>138.1</v>
      </c>
      <c r="J241" s="25">
        <f t="shared" si="51"/>
        <v>52.533189739641664</v>
      </c>
      <c r="K241" s="145"/>
      <c r="L241" s="144">
        <v>363.32</v>
      </c>
      <c r="M241" s="146">
        <v>1.64</v>
      </c>
      <c r="N241" s="160">
        <f t="shared" si="49"/>
        <v>221.53658536585365</v>
      </c>
      <c r="O241" s="160">
        <f t="shared" si="50"/>
        <v>221.53658536585365</v>
      </c>
      <c r="P241" s="134">
        <f t="shared" si="56"/>
        <v>5212.6255380200855</v>
      </c>
      <c r="Q241" s="129"/>
      <c r="R241" s="135"/>
      <c r="S241" s="164">
        <f>S240*(101.3/99.8)</f>
        <v>122.14345098178619</v>
      </c>
      <c r="T241" s="132">
        <f t="shared" si="57"/>
        <v>4562.0985975400226</v>
      </c>
      <c r="U241" s="25">
        <f t="shared" si="52"/>
        <v>87.520167413998564</v>
      </c>
      <c r="V241" s="135">
        <v>9.3495142946706</v>
      </c>
      <c r="W241" s="135">
        <v>27.096583554579201</v>
      </c>
      <c r="X241" s="135">
        <v>18.223048924624901</v>
      </c>
      <c r="Y241" s="135">
        <v>18.017940549233401</v>
      </c>
      <c r="Z241" s="27">
        <f t="shared" si="58"/>
        <v>4727.5633135129765</v>
      </c>
      <c r="AA241" s="142">
        <f t="shared" si="59"/>
        <v>1722.9341853691735</v>
      </c>
      <c r="AB241" s="143">
        <f t="shared" si="60"/>
        <v>90.267676479418228</v>
      </c>
      <c r="AC241" s="147">
        <v>2003</v>
      </c>
      <c r="AD241" s="167">
        <v>362.90983935742963</v>
      </c>
      <c r="AE241" s="168">
        <v>222.19794128535273</v>
      </c>
      <c r="AF241" s="149">
        <f t="shared" si="67"/>
        <v>0</v>
      </c>
      <c r="AG241" s="169">
        <v>52.396324148024902</v>
      </c>
      <c r="AH241" s="170">
        <v>89.409645120147005</v>
      </c>
      <c r="AI241" s="170"/>
      <c r="AJ241" s="170">
        <v>54.783968938414503</v>
      </c>
      <c r="AK241" s="170">
        <v>92.210781986703594</v>
      </c>
      <c r="AL241" s="170"/>
      <c r="AM241" s="170"/>
      <c r="AN241" s="49">
        <f t="shared" si="62"/>
        <v>118.625849395589</v>
      </c>
      <c r="AO241" s="49">
        <f t="shared" si="62"/>
        <v>145.859866276491</v>
      </c>
      <c r="AP241" s="49">
        <f t="shared" si="63"/>
        <v>126.967634046142</v>
      </c>
      <c r="AQ241" s="49">
        <f t="shared" si="63"/>
        <v>137.207732128137</v>
      </c>
      <c r="AR241" s="49">
        <f t="shared" si="65"/>
        <v>87.068931472163996</v>
      </c>
      <c r="AS241" s="206">
        <f t="shared" si="66"/>
        <v>66.159492155776235</v>
      </c>
      <c r="AT241" s="172">
        <v>1.5029313279416199E-2</v>
      </c>
      <c r="AU241" s="172">
        <v>1.8408304791572499E-2</v>
      </c>
      <c r="AV241" s="172">
        <v>5.33999886383002E-2</v>
      </c>
      <c r="AW241" s="172">
        <v>3.20559413033372E-2</v>
      </c>
      <c r="AX241" s="170"/>
    </row>
    <row r="242" spans="1:50" ht="13.5">
      <c r="A242">
        <v>2004</v>
      </c>
      <c r="B242" s="9"/>
      <c r="C242" s="205">
        <v>188.9</v>
      </c>
      <c r="D242" s="205">
        <f t="shared" si="61"/>
        <v>143.5898191470319</v>
      </c>
      <c r="E242" s="144">
        <v>410.52</v>
      </c>
      <c r="F242" s="132">
        <f t="shared" si="55"/>
        <v>1986.0667634252538</v>
      </c>
      <c r="G242" s="126">
        <f t="shared" si="53"/>
        <v>1131.1377245508982</v>
      </c>
      <c r="H242" s="25">
        <f t="shared" si="54"/>
        <v>984.8828150572831</v>
      </c>
      <c r="I242" s="175">
        <v>146.69999999999999</v>
      </c>
      <c r="J242" s="25">
        <f t="shared" si="51"/>
        <v>49.589612655251983</v>
      </c>
      <c r="K242" s="145"/>
      <c r="L242" s="144">
        <v>409.17</v>
      </c>
      <c r="M242" s="146">
        <v>1.83</v>
      </c>
      <c r="N242" s="160">
        <f t="shared" si="49"/>
        <v>223.59016393442624</v>
      </c>
      <c r="O242" s="160">
        <f t="shared" si="50"/>
        <v>223.59016393442624</v>
      </c>
      <c r="P242" s="134">
        <f t="shared" si="56"/>
        <v>5260.9450337512053</v>
      </c>
      <c r="Q242" s="129"/>
      <c r="R242" s="135"/>
      <c r="S242" s="164">
        <f>S241*(103.8/101.3)</f>
        <v>125.15785006820735</v>
      </c>
      <c r="T242" s="132">
        <f t="shared" si="57"/>
        <v>4674.68740794328</v>
      </c>
      <c r="U242" s="25">
        <f t="shared" si="52"/>
        <v>88.856419862841506</v>
      </c>
      <c r="V242" s="135">
        <v>8.0207247213668307</v>
      </c>
      <c r="W242" s="135">
        <v>31.381015061140701</v>
      </c>
      <c r="X242" s="135">
        <v>19.700869891253799</v>
      </c>
      <c r="Y242" s="135">
        <v>16.325501459125299</v>
      </c>
      <c r="Z242" s="27">
        <f t="shared" si="58"/>
        <v>4844.2356558997717</v>
      </c>
      <c r="AA242" s="142">
        <f t="shared" si="59"/>
        <v>1969.9891667325739</v>
      </c>
      <c r="AB242" s="143">
        <f t="shared" si="60"/>
        <v>91.645877725039838</v>
      </c>
      <c r="AC242" s="147">
        <v>2004</v>
      </c>
      <c r="AD242" s="178">
        <v>409.17182539682551</v>
      </c>
      <c r="AE242" s="179">
        <v>223.36338465945246</v>
      </c>
      <c r="AF242" s="149">
        <f t="shared" si="67"/>
        <v>0</v>
      </c>
      <c r="AG242" s="153">
        <v>50.016548664562102</v>
      </c>
      <c r="AH242" s="157">
        <v>86.019801306414294</v>
      </c>
      <c r="AI242" s="157"/>
      <c r="AJ242" s="157">
        <v>50.049886058341897</v>
      </c>
      <c r="AK242" s="157">
        <v>86.8024741674149</v>
      </c>
      <c r="AL242" s="157"/>
      <c r="AM242" s="157"/>
      <c r="AN242" s="49">
        <f t="shared" si="62"/>
        <v>124.010074749091</v>
      </c>
      <c r="AO242" s="49">
        <f t="shared" si="62"/>
        <v>151.690492877704</v>
      </c>
      <c r="AP242" s="49">
        <f t="shared" si="63"/>
        <v>127.990294775891</v>
      </c>
      <c r="AQ242" s="49">
        <f t="shared" si="63"/>
        <v>140.21919801175699</v>
      </c>
      <c r="AR242" s="49">
        <f t="shared" si="65"/>
        <v>89.580393570580512</v>
      </c>
      <c r="AS242" s="206">
        <f t="shared" si="66"/>
        <v>64.271162533228377</v>
      </c>
      <c r="AT242" s="172">
        <v>2.4679423949496699E-2</v>
      </c>
      <c r="AU242" s="172">
        <v>2.0869184221392199E-2</v>
      </c>
      <c r="AV242" s="172">
        <v>6.2266084236639103E-2</v>
      </c>
      <c r="AW242" s="172">
        <v>3.6027625499163003E-2</v>
      </c>
      <c r="AX242" s="170"/>
    </row>
    <row r="243" spans="1:50">
      <c r="A243">
        <v>2005</v>
      </c>
      <c r="B243" s="9"/>
      <c r="C243" s="204">
        <v>195.3</v>
      </c>
      <c r="D243" s="205">
        <f t="shared" si="61"/>
        <v>148.4546939090277</v>
      </c>
      <c r="E243" s="144">
        <v>446</v>
      </c>
      <c r="F243" s="132">
        <f t="shared" si="55"/>
        <v>2157.7164973391386</v>
      </c>
      <c r="G243" s="126">
        <f t="shared" si="53"/>
        <v>1169.4610778443114</v>
      </c>
      <c r="H243" s="25">
        <f t="shared" si="54"/>
        <v>1056.7181669394438</v>
      </c>
      <c r="I243" s="166">
        <v>157.4</v>
      </c>
      <c r="J243" s="25">
        <f t="shared" si="51"/>
        <v>48.97391145883028</v>
      </c>
      <c r="K243" s="145"/>
      <c r="L243" s="144">
        <v>444.45</v>
      </c>
      <c r="M243" s="146">
        <v>1.82</v>
      </c>
      <c r="N243" s="160">
        <f t="shared" si="49"/>
        <v>244.2032967032967</v>
      </c>
      <c r="O243" s="160">
        <f t="shared" si="50"/>
        <v>244.2032967032967</v>
      </c>
      <c r="P243" s="134">
        <f t="shared" si="56"/>
        <v>5745.9599224305102</v>
      </c>
      <c r="Q243" s="129"/>
      <c r="S243" s="135">
        <f>S242*(106.7/103.8)</f>
        <v>128.65455300845593</v>
      </c>
      <c r="T243" s="132">
        <f t="shared" si="57"/>
        <v>4805.2904280110606</v>
      </c>
      <c r="U243" s="25">
        <f t="shared" si="52"/>
        <v>83.629027923648451</v>
      </c>
      <c r="V243" s="135">
        <v>9.0444255633984803</v>
      </c>
      <c r="W243" s="135">
        <v>29.2076966243465</v>
      </c>
      <c r="X243" s="135">
        <v>19.126061093872501</v>
      </c>
      <c r="Y243" s="135">
        <v>13.8712223499404</v>
      </c>
      <c r="Z243" s="27">
        <f t="shared" si="58"/>
        <v>4979.5755730684568</v>
      </c>
      <c r="AA243" s="142">
        <f t="shared" si="59"/>
        <v>2013.9616762187982</v>
      </c>
      <c r="AB243" s="143">
        <f t="shared" si="60"/>
        <v>86.254382960568861</v>
      </c>
      <c r="AC243" s="147">
        <v>2005</v>
      </c>
      <c r="AD243" s="178">
        <v>444.47220000000021</v>
      </c>
      <c r="AE243" s="179">
        <v>244.85611243871273</v>
      </c>
      <c r="AF243" s="149">
        <f t="shared" si="67"/>
        <v>0</v>
      </c>
      <c r="AG243">
        <v>47.283571893614202</v>
      </c>
      <c r="AH243">
        <v>82.081474867875002</v>
      </c>
      <c r="AJ243">
        <v>45.1046733730048</v>
      </c>
      <c r="AK243">
        <v>79.495733931964295</v>
      </c>
      <c r="AN243" s="49">
        <f t="shared" si="62"/>
        <v>127.762641007657</v>
      </c>
      <c r="AO243" s="49">
        <f t="shared" si="62"/>
        <v>154.82310888224001</v>
      </c>
      <c r="AP243" s="49">
        <f t="shared" si="63"/>
        <v>128.78749395658599</v>
      </c>
      <c r="AQ243" s="49">
        <f t="shared" si="63"/>
        <v>142.92626989657899</v>
      </c>
      <c r="AR243" s="49">
        <f t="shared" si="65"/>
        <v>91.291506097993064</v>
      </c>
      <c r="AS243" s="206">
        <f t="shared" si="66"/>
        <v>61.887542175143004</v>
      </c>
      <c r="AT243" s="172">
        <v>2.7937681429142901E-2</v>
      </c>
      <c r="AU243" s="172">
        <v>2.37568231115441E-2</v>
      </c>
      <c r="AV243" s="172">
        <v>7.29428965965397E-2</v>
      </c>
      <c r="AW243" s="172">
        <v>3.9373388499345997E-2</v>
      </c>
      <c r="AX243" s="170"/>
    </row>
    <row r="244" spans="1:50">
      <c r="A244">
        <v>2006</v>
      </c>
      <c r="B244" s="9"/>
      <c r="C244" s="204">
        <v>201.6</v>
      </c>
      <c r="D244" s="205">
        <f t="shared" si="61"/>
        <v>153.24355500286731</v>
      </c>
      <c r="E244" s="144">
        <v>606</v>
      </c>
      <c r="F244" s="132">
        <f t="shared" si="55"/>
        <v>2931.7851959361392</v>
      </c>
      <c r="G244" s="126">
        <f t="shared" si="53"/>
        <v>1207.1856287425151</v>
      </c>
      <c r="H244" s="25">
        <f t="shared" si="54"/>
        <v>1105.7273322422261</v>
      </c>
      <c r="I244" s="180">
        <v>164.7</v>
      </c>
      <c r="J244" s="25">
        <f t="shared" si="51"/>
        <v>37.715155045291773</v>
      </c>
      <c r="K244" s="145"/>
      <c r="L244" s="144">
        <v>603.77</v>
      </c>
      <c r="M244" s="146">
        <v>1.84</v>
      </c>
      <c r="N244" s="160">
        <f t="shared" si="49"/>
        <v>328.13586956521738</v>
      </c>
      <c r="O244" s="160">
        <f t="shared" si="50"/>
        <v>328.13586956521738</v>
      </c>
      <c r="P244" s="134">
        <f t="shared" si="56"/>
        <v>7720.8439897698199</v>
      </c>
      <c r="Q244" s="129"/>
      <c r="S244" s="135">
        <f>S243*(109.3/106.7)</f>
        <v>131.78952805833396</v>
      </c>
      <c r="T244" s="132">
        <f t="shared" si="57"/>
        <v>4922.3827908304484</v>
      </c>
      <c r="U244" s="25">
        <f t="shared" si="52"/>
        <v>63.754465151123959</v>
      </c>
      <c r="V244" s="135">
        <v>-0.52910088519672605</v>
      </c>
      <c r="W244" s="135">
        <v>12.498876501776101</v>
      </c>
      <c r="X244" s="135">
        <v>5.9848878082896704</v>
      </c>
      <c r="Y244" s="135">
        <v>10.799273915353499</v>
      </c>
      <c r="Z244" s="27">
        <f t="shared" si="58"/>
        <v>5100.9148091507241</v>
      </c>
      <c r="AA244" s="142">
        <f t="shared" si="59"/>
        <v>2085.7073886305184</v>
      </c>
      <c r="AB244" s="143">
        <f t="shared" si="60"/>
        <v>65.755900661811495</v>
      </c>
      <c r="AC244" s="147">
        <v>2006</v>
      </c>
      <c r="AD244" s="181">
        <v>603.91999999999996</v>
      </c>
      <c r="AE244" s="182">
        <v>327.60000000000002</v>
      </c>
      <c r="AF244" s="149">
        <f t="shared" si="67"/>
        <v>0</v>
      </c>
      <c r="AG244">
        <v>44.331289040435102</v>
      </c>
      <c r="AH244">
        <v>77.803314226003806</v>
      </c>
      <c r="AJ244">
        <v>39.636167557692801</v>
      </c>
      <c r="AK244">
        <v>70.133427219090294</v>
      </c>
      <c r="AN244" s="49">
        <f t="shared" si="62"/>
        <v>129.60361802339801</v>
      </c>
      <c r="AO244" s="49">
        <f t="shared" si="62"/>
        <v>155.200128429459</v>
      </c>
      <c r="AP244" s="49">
        <f t="shared" si="63"/>
        <v>129.31428136572001</v>
      </c>
      <c r="AQ244" s="49">
        <f t="shared" si="63"/>
        <v>145.21732819996501</v>
      </c>
      <c r="AR244" s="49">
        <f t="shared" si="65"/>
        <v>92.120894568309524</v>
      </c>
      <c r="AS244" s="206">
        <f t="shared" si="66"/>
        <v>59.024693433144165</v>
      </c>
      <c r="AT244" s="172">
        <v>2.43668956504186E-2</v>
      </c>
      <c r="AU244" s="172">
        <v>2.6904125635722798E-2</v>
      </c>
      <c r="AV244" s="172">
        <v>4.6379362555833102E-2</v>
      </c>
      <c r="AW244" s="172">
        <v>4.1978637921343299E-2</v>
      </c>
      <c r="AX244" s="170"/>
    </row>
    <row r="245" spans="1:50">
      <c r="A245">
        <f>A244+1</f>
        <v>2007</v>
      </c>
      <c r="B245"/>
      <c r="C245" s="204">
        <v>207.34</v>
      </c>
      <c r="D245" s="205">
        <f t="shared" si="61"/>
        <v>157.60673955503228</v>
      </c>
      <c r="E245" s="144">
        <v>699</v>
      </c>
      <c r="F245" s="132">
        <f t="shared" si="55"/>
        <v>3381.7126269956457</v>
      </c>
      <c r="G245" s="126">
        <f t="shared" si="53"/>
        <v>1241.556886227545</v>
      </c>
      <c r="H245" s="25">
        <f t="shared" si="54"/>
        <v>1158.7646481178399</v>
      </c>
      <c r="I245" s="180">
        <v>172.6</v>
      </c>
      <c r="J245" s="25">
        <f t="shared" si="51"/>
        <v>34.26561556022282</v>
      </c>
      <c r="K245" s="145"/>
      <c r="L245" s="144">
        <v>695.39</v>
      </c>
      <c r="M245" s="146">
        <v>2</v>
      </c>
      <c r="N245" s="160">
        <f t="shared" si="49"/>
        <v>347.69499999999999</v>
      </c>
      <c r="O245" s="160">
        <f t="shared" si="50"/>
        <v>347.69499999999999</v>
      </c>
      <c r="P245" s="134">
        <f t="shared" si="56"/>
        <v>8181.0588235294117</v>
      </c>
      <c r="Q245" s="129"/>
      <c r="S245" s="135">
        <f>S244*(112.6/109.3)</f>
        <v>135.76853485240991</v>
      </c>
      <c r="T245" s="132">
        <f t="shared" si="57"/>
        <v>5071.0000205627493</v>
      </c>
      <c r="U245" s="25">
        <f t="shared" si="52"/>
        <v>61.984641963190967</v>
      </c>
      <c r="V245" s="135">
        <v>-2.26957233038104</v>
      </c>
      <c r="W245" s="135">
        <v>14.0168221115309</v>
      </c>
      <c r="X245" s="135">
        <v>5.8736248905749404</v>
      </c>
      <c r="Y245" s="135">
        <v>7.3063752364785302</v>
      </c>
      <c r="Z245" s="27">
        <f t="shared" si="58"/>
        <v>5254.9223011012946</v>
      </c>
      <c r="AA245" s="142">
        <f t="shared" si="59"/>
        <v>2335.5210227116863</v>
      </c>
      <c r="AB245" s="143">
        <f t="shared" si="60"/>
        <v>63.930517648106758</v>
      </c>
      <c r="AC245" s="147">
        <v>2007</v>
      </c>
      <c r="AD245" s="178">
        <v>695.39342629482087</v>
      </c>
      <c r="AE245" s="179">
        <v>347.11789501683484</v>
      </c>
      <c r="AF245" s="149">
        <f t="shared" si="67"/>
        <v>0</v>
      </c>
      <c r="AG245">
        <v>41.304659591342599</v>
      </c>
      <c r="AH245">
        <v>73.420053053596604</v>
      </c>
      <c r="AJ245">
        <v>34.427314163360798</v>
      </c>
      <c r="AK245">
        <v>60.289841990209901</v>
      </c>
      <c r="AN245" s="49">
        <f t="shared" si="62"/>
        <v>129.57844923834901</v>
      </c>
      <c r="AO245" s="49">
        <f t="shared" si="62"/>
        <v>153.21953456989601</v>
      </c>
      <c r="AP245" s="49">
        <f t="shared" si="63"/>
        <v>129.49363184121901</v>
      </c>
      <c r="AQ245" s="49">
        <f t="shared" si="63"/>
        <v>146.93129064031299</v>
      </c>
      <c r="AR245" s="49">
        <f t="shared" si="65"/>
        <v>92.10237442740241</v>
      </c>
      <c r="AS245" s="206">
        <f t="shared" si="66"/>
        <v>55.690895247520203</v>
      </c>
      <c r="AT245" s="172">
        <v>3.0192711655743699E-2</v>
      </c>
      <c r="AU245" s="172">
        <v>3.0185804550799201E-2</v>
      </c>
      <c r="AV245" s="172">
        <v>4.7959266728767297E-2</v>
      </c>
      <c r="AW245" s="172">
        <v>4.4064476463583899E-2</v>
      </c>
      <c r="AX245" s="170"/>
    </row>
    <row r="246" spans="1:50">
      <c r="A246">
        <f t="shared" ref="A246:A268" si="68">A245+1</f>
        <v>2008</v>
      </c>
      <c r="B246"/>
      <c r="C246" s="204">
        <v>215.3</v>
      </c>
      <c r="D246" s="205">
        <f t="shared" si="61"/>
        <v>163.65742754026454</v>
      </c>
      <c r="E246" s="144">
        <v>874</v>
      </c>
      <c r="F246" s="132">
        <f t="shared" si="55"/>
        <v>4228.350266086115</v>
      </c>
      <c r="G246" s="126">
        <f t="shared" si="53"/>
        <v>1289.2215568862275</v>
      </c>
      <c r="H246" s="25">
        <f t="shared" si="54"/>
        <v>1272.8955810147302</v>
      </c>
      <c r="I246" s="180">
        <v>189.6</v>
      </c>
      <c r="J246" s="25">
        <f t="shared" si="51"/>
        <v>30.103834850771708</v>
      </c>
      <c r="K246" s="145"/>
      <c r="L246" s="144">
        <v>871.96</v>
      </c>
      <c r="M246" s="146">
        <v>1.85</v>
      </c>
      <c r="N246" s="160">
        <f t="shared" si="49"/>
        <v>471.32972972972971</v>
      </c>
      <c r="O246" s="160">
        <f t="shared" si="50"/>
        <v>471.32972972972971</v>
      </c>
      <c r="P246" s="134">
        <f t="shared" si="56"/>
        <v>11090.111287758347</v>
      </c>
      <c r="Q246" s="129"/>
      <c r="S246" s="183">
        <f>S245*(111.4/104.4)</f>
        <v>144.87178910496613</v>
      </c>
      <c r="T246" s="132">
        <f t="shared" si="57"/>
        <v>5411.0096004855386</v>
      </c>
      <c r="U246" s="25">
        <f t="shared" si="52"/>
        <v>48.791301187918648</v>
      </c>
      <c r="V246" s="135">
        <v>-4.69670647811677</v>
      </c>
      <c r="W246" s="135">
        <v>4.2338200322378698</v>
      </c>
      <c r="X246" s="135">
        <v>-0.231443222939447</v>
      </c>
      <c r="Y246" s="135">
        <v>3.54110153335894</v>
      </c>
      <c r="Z246" s="27">
        <f t="shared" si="58"/>
        <v>5607.2638347000402</v>
      </c>
      <c r="AA246" s="142">
        <f t="shared" si="59"/>
        <v>2305.2084653766833</v>
      </c>
      <c r="AB246" s="143">
        <f t="shared" si="60"/>
        <v>50.323000067027351</v>
      </c>
      <c r="AC246" s="147">
        <v>2008</v>
      </c>
      <c r="AD246" s="178">
        <v>871.65251937984499</v>
      </c>
      <c r="AE246" s="179">
        <v>473.17235434529039</v>
      </c>
      <c r="AF246" s="149">
        <f t="shared" si="67"/>
        <v>0</v>
      </c>
      <c r="AJ246">
        <v>29.472336221732501</v>
      </c>
      <c r="AK246">
        <v>49.774790467043303</v>
      </c>
      <c r="AL246" s="184">
        <v>52</v>
      </c>
      <c r="AM246" s="184">
        <v>29</v>
      </c>
      <c r="AN246" s="49">
        <f t="shared" si="62"/>
        <v>128.22354191430901</v>
      </c>
      <c r="AO246" s="49">
        <f t="shared" si="62"/>
        <v>149.67460906979599</v>
      </c>
      <c r="AP246" s="49">
        <f t="shared" si="63"/>
        <v>129.211177407354</v>
      </c>
      <c r="AQ246" s="49">
        <f t="shared" si="63"/>
        <v>147.86540165401999</v>
      </c>
      <c r="AR246" s="49">
        <f t="shared" si="65"/>
        <v>91.402712244960981</v>
      </c>
      <c r="AS246" s="206">
        <f t="shared" si="66"/>
        <v>51.907366175260215</v>
      </c>
      <c r="AT246" s="172">
        <v>6.7049891540130094E-2</v>
      </c>
      <c r="AU246" s="172">
        <v>3.3451200313791098E-2</v>
      </c>
      <c r="AV246" s="172">
        <v>9.8501846801753598E-2</v>
      </c>
      <c r="AW246" s="172">
        <v>4.5896014070841797E-2</v>
      </c>
      <c r="AX246" s="170"/>
    </row>
    <row r="247" spans="1:50">
      <c r="A247">
        <f t="shared" si="68"/>
        <v>2009</v>
      </c>
      <c r="B247"/>
      <c r="C247" s="204">
        <v>214.54</v>
      </c>
      <c r="D247" s="205">
        <f t="shared" si="61"/>
        <v>163.07972366227753</v>
      </c>
      <c r="E247" s="144">
        <v>975</v>
      </c>
      <c r="F247" s="132">
        <f t="shared" si="55"/>
        <v>4716.9811320754716</v>
      </c>
      <c r="G247" s="126">
        <f t="shared" si="53"/>
        <v>1284.6706586826349</v>
      </c>
      <c r="H247" s="25">
        <f t="shared" si="54"/>
        <v>1160.7787234042555</v>
      </c>
      <c r="I247" s="180">
        <v>172.9</v>
      </c>
      <c r="J247" s="25">
        <f t="shared" si="51"/>
        <v>24.608508936170217</v>
      </c>
      <c r="K247" s="145"/>
      <c r="L247" s="144">
        <v>972.35</v>
      </c>
      <c r="M247" s="146">
        <v>1.57</v>
      </c>
      <c r="N247" s="160">
        <f t="shared" si="49"/>
        <v>619.33121019108285</v>
      </c>
      <c r="O247" s="160">
        <f t="shared" si="50"/>
        <v>619.33121019108285</v>
      </c>
      <c r="P247" s="134">
        <f t="shared" si="56"/>
        <v>14572.499063319598</v>
      </c>
      <c r="Q247" s="129"/>
      <c r="S247" s="183">
        <f>S246*(113.2/111.4)</f>
        <v>147.2126259127663</v>
      </c>
      <c r="T247" s="132">
        <f t="shared" si="57"/>
        <v>5498.4406353228278</v>
      </c>
      <c r="U247" s="25">
        <f t="shared" si="52"/>
        <v>37.731624558226528</v>
      </c>
      <c r="V247" s="135">
        <v>-8.4102210343667103</v>
      </c>
      <c r="W247" s="135">
        <v>-3.2978239969552301</v>
      </c>
      <c r="X247" s="135">
        <v>-5.8540225156609704</v>
      </c>
      <c r="Y247" s="135">
        <v>-0.36229947742095298</v>
      </c>
      <c r="Z247" s="27">
        <f t="shared" si="58"/>
        <v>5697.8659433397188</v>
      </c>
      <c r="AA247" s="142">
        <f t="shared" si="59"/>
        <v>1987.9221180096354</v>
      </c>
      <c r="AB247" s="143">
        <f t="shared" si="60"/>
        <v>38.916128468466503</v>
      </c>
      <c r="AC247" s="147">
        <v>2009</v>
      </c>
      <c r="AD247" s="185">
        <v>950.71673437271261</v>
      </c>
      <c r="AE247" s="25">
        <v>610.09501850068102</v>
      </c>
      <c r="AF247" s="149">
        <f t="shared" si="67"/>
        <v>0</v>
      </c>
      <c r="AJ247">
        <v>24.603018710078199</v>
      </c>
      <c r="AK247">
        <v>39.314804207907599</v>
      </c>
      <c r="AL247" s="184"/>
      <c r="AM247" s="184"/>
      <c r="AN247" s="49">
        <f t="shared" si="62"/>
        <v>125.909518820695</v>
      </c>
      <c r="AO247" s="49">
        <f t="shared" si="62"/>
        <v>145.09573834969899</v>
      </c>
      <c r="AP247" s="49">
        <f t="shared" si="63"/>
        <v>128.30921376998299</v>
      </c>
      <c r="AQ247" s="49">
        <f t="shared" si="63"/>
        <v>147.77719277108201</v>
      </c>
      <c r="AR247" s="49">
        <f t="shared" si="65"/>
        <v>90.104394313120522</v>
      </c>
      <c r="AS247" s="206">
        <f t="shared" si="66"/>
        <v>47.797891713183198</v>
      </c>
      <c r="AT247" s="172">
        <v>1.6157796788399799E-2</v>
      </c>
      <c r="AU247" s="172">
        <v>3.6549722452765498E-2</v>
      </c>
      <c r="AV247" s="172">
        <v>-8.8082331683557294E-2</v>
      </c>
      <c r="AW247" s="172">
        <v>4.7777308590542703E-2</v>
      </c>
      <c r="AX247" s="170"/>
    </row>
    <row r="248" spans="1:50">
      <c r="A248">
        <f t="shared" si="68"/>
        <v>2010</v>
      </c>
      <c r="B248"/>
      <c r="C248" s="204">
        <v>218.06</v>
      </c>
      <c r="D248" s="205">
        <f t="shared" si="61"/>
        <v>165.75540478137523</v>
      </c>
      <c r="E248" s="146">
        <v>1230</v>
      </c>
      <c r="F248" s="132">
        <f t="shared" si="55"/>
        <v>5950.6531204644407</v>
      </c>
      <c r="G248" s="126">
        <f t="shared" si="53"/>
        <v>1305.7485029940121</v>
      </c>
      <c r="H248" s="25">
        <f t="shared" si="54"/>
        <v>1239.9990180032732</v>
      </c>
      <c r="I248" s="186">
        <v>184.7</v>
      </c>
      <c r="J248" s="25">
        <f t="shared" si="51"/>
        <v>20.838032278152568</v>
      </c>
      <c r="K248" s="16"/>
      <c r="L248" s="187">
        <v>1224.53</v>
      </c>
      <c r="M248" s="146">
        <v>1.55</v>
      </c>
      <c r="N248" s="160">
        <f t="shared" si="49"/>
        <v>790.01935483870966</v>
      </c>
      <c r="O248" s="160">
        <f t="shared" si="50"/>
        <v>790.01935483870966</v>
      </c>
      <c r="P248" s="134">
        <f t="shared" si="56"/>
        <v>18588.690702087286</v>
      </c>
      <c r="Q248" s="129"/>
      <c r="R248" s="188"/>
      <c r="S248" s="183">
        <f>S247*(117.9/113.2)</f>
        <v>153.3248109109112</v>
      </c>
      <c r="T248" s="132">
        <f t="shared" si="57"/>
        <v>5726.7327818424155</v>
      </c>
      <c r="U248" s="25">
        <f t="shared" si="52"/>
        <v>30.807617780198861</v>
      </c>
      <c r="V248" s="135">
        <v>-10.3698337050928</v>
      </c>
      <c r="W248" s="135">
        <v>-6.5657850763777796</v>
      </c>
      <c r="X248" s="135">
        <v>-8.4678093907352796</v>
      </c>
      <c r="Y248" s="135">
        <v>-4.3073055268397997</v>
      </c>
      <c r="AC248" s="147">
        <v>2010</v>
      </c>
      <c r="AL248" s="184"/>
      <c r="AM248" s="184"/>
      <c r="AN248" s="49">
        <f t="shared" si="62"/>
        <v>122.84376730778099</v>
      </c>
      <c r="AO248" s="49">
        <f t="shared" si="62"/>
        <v>139.74696273945301</v>
      </c>
      <c r="AP248" s="49">
        <f t="shared" si="63"/>
        <v>126.59192486089</v>
      </c>
      <c r="AQ248" s="49">
        <f t="shared" si="63"/>
        <v>146.422841504952</v>
      </c>
      <c r="AR248" s="49">
        <f t="shared" si="65"/>
        <v>88.212656207701656</v>
      </c>
      <c r="AS248" s="206">
        <f t="shared" si="66"/>
        <v>43.606278326184579</v>
      </c>
      <c r="AT248" s="172">
        <v>4.1519049039363799E-2</v>
      </c>
      <c r="AU248" s="172">
        <v>3.9666767408053E-2</v>
      </c>
      <c r="AV248" s="172">
        <v>6.8247213080859404E-2</v>
      </c>
      <c r="AW248" s="172">
        <v>5.0538476197421502E-2</v>
      </c>
      <c r="AX248" s="170"/>
    </row>
    <row r="249" spans="1:50">
      <c r="A249">
        <f t="shared" si="68"/>
        <v>2011</v>
      </c>
      <c r="E249" s="160"/>
      <c r="H249" s="25">
        <f t="shared" si="54"/>
        <v>1350.1018003273323</v>
      </c>
      <c r="I249" s="20">
        <v>201.1</v>
      </c>
      <c r="K249" s="189"/>
      <c r="L249" s="160"/>
      <c r="M249" s="160"/>
      <c r="N249" s="160"/>
      <c r="O249" s="160"/>
      <c r="Q249" s="129"/>
      <c r="R249" s="135"/>
      <c r="S249" s="135"/>
      <c r="Z249" s="25"/>
      <c r="AA249" s="25"/>
      <c r="AB249" s="25"/>
      <c r="AC249" s="160"/>
      <c r="AD249" s="15">
        <f t="shared" ref="AD249:AE252" si="69">((AD239/AD238)-1)*100</f>
        <v>-2.3038337513436091</v>
      </c>
      <c r="AE249" s="15">
        <f t="shared" si="69"/>
        <v>0.51180594019837322</v>
      </c>
      <c r="AN249" s="49">
        <f t="shared" si="62"/>
        <v>119.13857953763301</v>
      </c>
      <c r="AO249" s="49">
        <f t="shared" si="62"/>
        <v>133.69376518540599</v>
      </c>
      <c r="AP249" s="49">
        <f t="shared" si="63"/>
        <v>123.85980247416001</v>
      </c>
      <c r="AQ249" s="49">
        <f t="shared" si="63"/>
        <v>143.62605344137401</v>
      </c>
      <c r="AR249" s="49">
        <f t="shared" si="65"/>
        <v>85.694883377637836</v>
      </c>
      <c r="AS249" s="206">
        <f t="shared" si="66"/>
        <v>39.59750920847312</v>
      </c>
      <c r="AT249" s="172"/>
      <c r="AU249" s="172"/>
      <c r="AV249" s="172">
        <v>8.8790322580644995E-2</v>
      </c>
      <c r="AW249" s="172">
        <v>5.3651036663471902E-2</v>
      </c>
      <c r="AX249" s="170"/>
    </row>
    <row r="250" spans="1:50">
      <c r="A250">
        <f t="shared" si="68"/>
        <v>2012</v>
      </c>
      <c r="E250" s="190"/>
      <c r="G250" s="10"/>
      <c r="H250" s="191"/>
      <c r="K250" s="189"/>
      <c r="L250" s="160"/>
      <c r="M250" s="160"/>
      <c r="N250" s="160"/>
      <c r="O250" s="160"/>
      <c r="P250" s="17" t="s">
        <v>107</v>
      </c>
      <c r="Q250" s="129"/>
      <c r="R250" s="135"/>
      <c r="S250" s="135"/>
      <c r="T250" s="191"/>
      <c r="Z250" s="25"/>
      <c r="AA250" s="25"/>
      <c r="AB250" s="25"/>
      <c r="AC250" s="160"/>
      <c r="AD250" s="15">
        <f t="shared" si="69"/>
        <v>13.565848828253934</v>
      </c>
      <c r="AE250" s="15">
        <f t="shared" si="69"/>
        <v>11.528718616718781</v>
      </c>
      <c r="AN250" s="49">
        <f t="shared" si="62"/>
        <v>114.81280999924</v>
      </c>
      <c r="AO250" s="49">
        <f t="shared" si="62"/>
        <v>126.90455900651099</v>
      </c>
      <c r="AP250" s="49">
        <f t="shared" si="63"/>
        <v>119.969319155268</v>
      </c>
      <c r="AQ250" s="49">
        <f t="shared" si="63"/>
        <v>139.334505751042</v>
      </c>
      <c r="AR250" s="49">
        <f t="shared" si="65"/>
        <v>82.516722900190672</v>
      </c>
      <c r="AS250" s="206">
        <f t="shared" si="66"/>
        <v>35.968022166409582</v>
      </c>
      <c r="AT250" s="172"/>
      <c r="AU250" s="172"/>
      <c r="AV250" s="172"/>
      <c r="AW250" s="172"/>
      <c r="AX250" s="170"/>
    </row>
    <row r="251" spans="1:50">
      <c r="A251">
        <f t="shared" si="68"/>
        <v>2013</v>
      </c>
      <c r="B251" s="30"/>
      <c r="E251" s="190"/>
      <c r="G251" s="10"/>
      <c r="H251" s="25"/>
      <c r="K251" s="160"/>
      <c r="L251" s="160"/>
      <c r="M251" s="160"/>
      <c r="N251" s="160"/>
      <c r="O251" s="160"/>
      <c r="P251" s="192">
        <v>2</v>
      </c>
      <c r="Q251" s="129"/>
      <c r="R251" s="135"/>
      <c r="S251" s="135"/>
      <c r="T251" s="25"/>
      <c r="Z251" s="25"/>
      <c r="AA251" s="25"/>
      <c r="AB251" s="25"/>
      <c r="AC251" s="160"/>
      <c r="AD251" s="15">
        <f t="shared" si="69"/>
        <v>17.196227913656781</v>
      </c>
      <c r="AE251" s="15">
        <f t="shared" si="69"/>
        <v>5.9750757310787161</v>
      </c>
      <c r="AN251" s="49">
        <f t="shared" si="62"/>
        <v>109.890927386214</v>
      </c>
      <c r="AO251" s="49">
        <f t="shared" si="62"/>
        <v>119.422719869868</v>
      </c>
      <c r="AP251" s="49">
        <f t="shared" si="63"/>
        <v>114.862649424949</v>
      </c>
      <c r="AQ251" s="49">
        <f t="shared" si="63"/>
        <v>133.66821507023801</v>
      </c>
      <c r="AR251" s="49">
        <f t="shared" si="65"/>
        <v>78.69959124419222</v>
      </c>
      <c r="AS251" s="206">
        <f t="shared" si="66"/>
        <v>32.809497274343833</v>
      </c>
      <c r="AT251" s="172"/>
      <c r="AU251" s="172"/>
      <c r="AV251" s="172"/>
      <c r="AW251" s="172"/>
      <c r="AX251" s="170"/>
    </row>
    <row r="252" spans="1:50">
      <c r="A252">
        <f t="shared" si="68"/>
        <v>2014</v>
      </c>
      <c r="B252" s="30"/>
      <c r="E252" s="190"/>
      <c r="G252" s="10"/>
      <c r="H252" s="25"/>
      <c r="K252" s="160"/>
      <c r="L252" s="160"/>
      <c r="M252" s="160"/>
      <c r="N252" s="160"/>
      <c r="O252" s="160"/>
      <c r="P252" s="192">
        <v>-1.3</v>
      </c>
      <c r="Q252" s="129"/>
      <c r="R252" s="135"/>
      <c r="S252" s="135"/>
      <c r="T252" s="25"/>
      <c r="Z252" s="25"/>
      <c r="AA252" s="25"/>
      <c r="AB252" s="25"/>
      <c r="AC252" s="160"/>
      <c r="AD252" s="15">
        <f t="shared" si="69"/>
        <v>12.747514953385576</v>
      </c>
      <c r="AE252" s="15">
        <f t="shared" si="69"/>
        <v>0.52450682817219985</v>
      </c>
      <c r="AN252" s="49">
        <f t="shared" si="62"/>
        <v>104.406272292175</v>
      </c>
      <c r="AO252" s="49">
        <f t="shared" si="62"/>
        <v>111.32287785251199</v>
      </c>
      <c r="AP252" s="49">
        <f t="shared" si="63"/>
        <v>108.49177461238401</v>
      </c>
      <c r="AQ252" s="49">
        <f t="shared" si="63"/>
        <v>126.63425297773</v>
      </c>
      <c r="AR252" s="49">
        <f t="shared" si="65"/>
        <v>74.254526996693599</v>
      </c>
      <c r="AS252" s="206">
        <f t="shared" si="66"/>
        <v>30.153081908980504</v>
      </c>
      <c r="AT252" s="172"/>
      <c r="AU252" s="172"/>
      <c r="AV252" s="172"/>
      <c r="AW252" s="172"/>
      <c r="AX252" s="170"/>
    </row>
    <row r="253" spans="1:50">
      <c r="A253">
        <f t="shared" si="68"/>
        <v>2015</v>
      </c>
      <c r="B253" s="30"/>
      <c r="E253" s="8"/>
      <c r="G253" s="10"/>
      <c r="H253" s="25"/>
      <c r="P253" s="192">
        <v>3.2</v>
      </c>
      <c r="Q253" s="129"/>
      <c r="T253" s="25"/>
      <c r="AN253" s="49">
        <f t="shared" si="62"/>
        <v>98.398276036881796</v>
      </c>
      <c r="AO253" s="49">
        <f t="shared" si="62"/>
        <v>102.74473583277801</v>
      </c>
      <c r="AP253" s="49">
        <f t="shared" si="63"/>
        <v>100.854049552505</v>
      </c>
      <c r="AQ253" s="49">
        <f t="shared" si="63"/>
        <v>118.227908901587</v>
      </c>
      <c r="AR253" s="49">
        <f t="shared" si="65"/>
        <v>69.20982156701362</v>
      </c>
      <c r="AS253" s="206">
        <f t="shared" si="66"/>
        <v>28.002989419986655</v>
      </c>
      <c r="AT253" s="172"/>
      <c r="AU253" s="172"/>
      <c r="AV253" s="172"/>
      <c r="AW253" s="172"/>
      <c r="AX253" s="170"/>
    </row>
    <row r="254" spans="1:50">
      <c r="A254">
        <f t="shared" si="68"/>
        <v>2016</v>
      </c>
      <c r="B254" s="30"/>
      <c r="E254" s="8"/>
      <c r="G254" s="10"/>
      <c r="H254" s="25"/>
      <c r="P254" s="192">
        <v>3.6</v>
      </c>
      <c r="Q254" s="129"/>
      <c r="T254" s="25"/>
      <c r="AN254" s="49">
        <f t="shared" si="62"/>
        <v>91.983307217169596</v>
      </c>
      <c r="AO254" s="49">
        <f t="shared" si="62"/>
        <v>93.952967910478904</v>
      </c>
      <c r="AP254" s="49">
        <f t="shared" si="63"/>
        <v>92.267411334120894</v>
      </c>
      <c r="AQ254" s="49">
        <f t="shared" si="63"/>
        <v>108.752329740099</v>
      </c>
      <c r="AR254" s="49">
        <f t="shared" si="65"/>
        <v>63.730522284244266</v>
      </c>
      <c r="AS254" s="206">
        <f t="shared" si="66"/>
        <v>26.369017082744172</v>
      </c>
      <c r="AT254" s="172"/>
      <c r="AU254" s="172"/>
      <c r="AV254" s="172"/>
      <c r="AW254" s="172"/>
      <c r="AX254" s="170"/>
    </row>
    <row r="255" spans="1:50">
      <c r="A255">
        <f t="shared" si="68"/>
        <v>2017</v>
      </c>
      <c r="E255" s="8"/>
      <c r="G255" s="10"/>
      <c r="P255" s="17">
        <f>139.1/132.4</f>
        <v>1.0506042296072506</v>
      </c>
      <c r="Q255" s="129"/>
      <c r="AN255" s="49">
        <f t="shared" si="62"/>
        <v>85.394751669505894</v>
      </c>
      <c r="AO255" s="49">
        <f t="shared" si="62"/>
        <v>85.374000827096296</v>
      </c>
      <c r="AP255" s="49">
        <f t="shared" si="63"/>
        <v>83.320856550513895</v>
      </c>
      <c r="AQ255" s="49">
        <f t="shared" si="63"/>
        <v>98.932483302540902</v>
      </c>
      <c r="AR255" s="49">
        <f t="shared" si="65"/>
        <v>58.141704434912768</v>
      </c>
      <c r="AS255" s="206">
        <f t="shared" si="66"/>
        <v>25.26976564841339</v>
      </c>
      <c r="AT255" s="172"/>
      <c r="AU255" s="172"/>
      <c r="AV255" s="172"/>
      <c r="AW255" s="172"/>
      <c r="AX255" s="170"/>
    </row>
    <row r="256" spans="1:50">
      <c r="A256">
        <f t="shared" si="68"/>
        <v>2018</v>
      </c>
      <c r="E256" s="8"/>
      <c r="G256" s="10"/>
      <c r="P256" s="17">
        <f>147.5/139.1</f>
        <v>1.0603882099209203</v>
      </c>
      <c r="Q256" s="129"/>
      <c r="AN256" s="49">
        <f t="shared" si="62"/>
        <v>78.946162158186297</v>
      </c>
      <c r="AO256" s="49">
        <f t="shared" si="62"/>
        <v>77.494731645008997</v>
      </c>
      <c r="AP256" s="49">
        <f t="shared" si="63"/>
        <v>74.622807681626199</v>
      </c>
      <c r="AQ256" s="49">
        <f t="shared" si="63"/>
        <v>89.504714100785606</v>
      </c>
      <c r="AR256" s="49">
        <f t="shared" si="65"/>
        <v>52.796678944630827</v>
      </c>
      <c r="AS256" s="206">
        <f t="shared" si="66"/>
        <v>24.724941529864637</v>
      </c>
      <c r="AT256" s="172"/>
      <c r="AU256" s="172"/>
      <c r="AV256" s="172"/>
      <c r="AW256" s="172"/>
      <c r="AX256" s="170"/>
    </row>
    <row r="257" spans="1:50">
      <c r="A257">
        <f t="shared" si="68"/>
        <v>2019</v>
      </c>
      <c r="Q257" s="129"/>
      <c r="R257" s="193"/>
      <c r="AN257" s="49">
        <f t="shared" si="62"/>
        <v>72.940143930811402</v>
      </c>
      <c r="AO257" s="49">
        <f t="shared" si="62"/>
        <v>70.735117418324606</v>
      </c>
      <c r="AP257" s="49">
        <f t="shared" si="63"/>
        <v>66.586678641894494</v>
      </c>
      <c r="AQ257" s="49">
        <f t="shared" si="63"/>
        <v>80.923341813681304</v>
      </c>
      <c r="AR257" s="49">
        <f t="shared" si="65"/>
        <v>47.957362888546108</v>
      </c>
      <c r="AS257" s="170"/>
      <c r="AT257" s="172"/>
      <c r="AU257" s="172"/>
      <c r="AV257" s="172"/>
      <c r="AW257" s="172"/>
      <c r="AX257" s="170"/>
    </row>
    <row r="258" spans="1:50">
      <c r="A258">
        <f t="shared" si="68"/>
        <v>2020</v>
      </c>
      <c r="Q258" s="129"/>
      <c r="AN258" s="49">
        <f t="shared" si="62"/>
        <v>67.642840613399798</v>
      </c>
      <c r="AO258" s="49">
        <f t="shared" si="62"/>
        <v>65.334167884700307</v>
      </c>
      <c r="AP258" s="49">
        <f t="shared" si="63"/>
        <v>59.344255268939499</v>
      </c>
      <c r="AQ258" s="49">
        <f t="shared" si="63"/>
        <v>73.293638979068206</v>
      </c>
      <c r="AR258" s="49">
        <f t="shared" si="65"/>
        <v>43.745996365791775</v>
      </c>
      <c r="AS258" s="170"/>
      <c r="AT258" s="172"/>
      <c r="AU258" s="172"/>
      <c r="AV258" s="172"/>
      <c r="AW258" s="172"/>
      <c r="AX258" s="170"/>
    </row>
    <row r="259" spans="1:50">
      <c r="A259">
        <f t="shared" si="68"/>
        <v>2021</v>
      </c>
      <c r="Q259" s="129"/>
      <c r="AN259" s="49">
        <f t="shared" si="62"/>
        <v>63.352994392662097</v>
      </c>
      <c r="AO259" s="49">
        <f t="shared" si="62"/>
        <v>61.377641607610499</v>
      </c>
      <c r="AP259" s="49">
        <f t="shared" si="63"/>
        <v>52.863356613962601</v>
      </c>
      <c r="AQ259" s="49">
        <f t="shared" si="63"/>
        <v>66.515444716649895</v>
      </c>
      <c r="AR259" s="49">
        <f t="shared" si="65"/>
        <v>40.204109211974007</v>
      </c>
      <c r="AS259" s="170"/>
      <c r="AT259" s="172"/>
      <c r="AU259" s="172"/>
      <c r="AV259" s="172"/>
      <c r="AW259" s="172"/>
      <c r="AX259" s="170"/>
    </row>
    <row r="260" spans="1:50">
      <c r="A260">
        <f t="shared" si="68"/>
        <v>2022</v>
      </c>
      <c r="Q260" s="129"/>
      <c r="AN260" s="49">
        <f t="shared" si="62"/>
        <v>60.203819049175003</v>
      </c>
      <c r="AO260" s="49">
        <f t="shared" si="62"/>
        <v>58.819855471682203</v>
      </c>
      <c r="AP260" s="49">
        <f t="shared" si="63"/>
        <v>47.188259175476297</v>
      </c>
      <c r="AQ260" s="49">
        <f t="shared" si="63"/>
        <v>60.491061756339001</v>
      </c>
      <c r="AR260" s="49">
        <f t="shared" si="65"/>
        <v>37.337319226648873</v>
      </c>
      <c r="AS260" s="170"/>
      <c r="AT260" s="172"/>
      <c r="AU260" s="172"/>
      <c r="AV260" s="172"/>
      <c r="AW260" s="172"/>
      <c r="AX260" s="170"/>
    </row>
    <row r="261" spans="1:50">
      <c r="A261">
        <f t="shared" si="68"/>
        <v>2023</v>
      </c>
      <c r="Q261" s="129"/>
      <c r="AN261" s="49">
        <f t="shared" si="62"/>
        <v>58.241998419588498</v>
      </c>
      <c r="AO261" s="49">
        <f t="shared" si="62"/>
        <v>57.519249945466498</v>
      </c>
      <c r="AP261" s="49">
        <f t="shared" si="63"/>
        <v>42.434605885853003</v>
      </c>
      <c r="AQ261" s="49">
        <f t="shared" si="63"/>
        <v>55.279038380881801</v>
      </c>
      <c r="AR261" s="49">
        <f t="shared" si="65"/>
        <v>35.158689443658893</v>
      </c>
      <c r="AS261" s="170"/>
      <c r="AT261" s="172"/>
      <c r="AU261" s="172"/>
      <c r="AV261" s="172"/>
      <c r="AW261" s="172"/>
      <c r="AX261" s="170"/>
    </row>
    <row r="262" spans="1:50">
      <c r="A262">
        <f t="shared" si="68"/>
        <v>2024</v>
      </c>
      <c r="Q262" s="129"/>
      <c r="AN262" s="49">
        <f t="shared" si="62"/>
        <v>57.464478150060799</v>
      </c>
      <c r="AO262" s="49">
        <f t="shared" si="62"/>
        <v>57.302066942797701</v>
      </c>
      <c r="AP262" s="49">
        <f t="shared" si="63"/>
        <v>38.740257085710802</v>
      </c>
      <c r="AQ262" s="49">
        <f t="shared" si="63"/>
        <v>51.068912255461001</v>
      </c>
      <c r="AR262" s="49">
        <f t="shared" si="65"/>
        <v>33.693020864551187</v>
      </c>
      <c r="AS262" s="170"/>
      <c r="AT262" s="172"/>
      <c r="AU262" s="172"/>
      <c r="AV262" s="172"/>
      <c r="AW262" s="172"/>
      <c r="AX262" s="170"/>
    </row>
    <row r="263" spans="1:50">
      <c r="A263">
        <f t="shared" si="68"/>
        <v>2025</v>
      </c>
      <c r="Q263" s="129"/>
      <c r="AN263" s="49">
        <f t="shared" si="62"/>
        <v>57.875283902554202</v>
      </c>
      <c r="AO263" s="49">
        <f t="shared" si="62"/>
        <v>58.054655878055399</v>
      </c>
      <c r="AP263" s="49">
        <f t="shared" si="63"/>
        <v>36.171627056809001</v>
      </c>
      <c r="AQ263" s="49">
        <f t="shared" si="63"/>
        <v>48.063430661450901</v>
      </c>
      <c r="AR263" s="49">
        <f t="shared" si="65"/>
        <v>32.966588706486185</v>
      </c>
      <c r="AS263" s="170"/>
      <c r="AT263" s="172"/>
      <c r="AU263" s="172"/>
      <c r="AV263" s="172"/>
      <c r="AW263" s="172"/>
      <c r="AX263" s="170"/>
    </row>
    <row r="264" spans="1:50">
      <c r="A264">
        <f t="shared" si="68"/>
        <v>2026</v>
      </c>
      <c r="Q264" s="129"/>
      <c r="AN264" s="49"/>
      <c r="AO264" s="49"/>
      <c r="AP264" s="49">
        <f t="shared" si="63"/>
        <v>34.607427510049803</v>
      </c>
      <c r="AQ264" s="49">
        <f t="shared" si="63"/>
        <v>46.2978517576706</v>
      </c>
      <c r="AR264" s="49"/>
      <c r="AS264" s="170"/>
      <c r="AT264" s="172"/>
      <c r="AU264" s="172"/>
      <c r="AV264" s="172"/>
      <c r="AW264" s="172"/>
      <c r="AX264" s="170"/>
    </row>
    <row r="265" spans="1:50">
      <c r="A265">
        <f t="shared" si="68"/>
        <v>2027</v>
      </c>
      <c r="Q265" s="129"/>
      <c r="AN265" s="49"/>
      <c r="AO265" s="49"/>
      <c r="AP265" s="49">
        <f t="shared" si="63"/>
        <v>33.856353885767298</v>
      </c>
      <c r="AQ265" s="49">
        <f t="shared" si="63"/>
        <v>45.729299396325203</v>
      </c>
      <c r="AR265" s="150"/>
    </row>
    <row r="266" spans="1:50">
      <c r="A266">
        <f t="shared" si="68"/>
        <v>2028</v>
      </c>
      <c r="Q266" s="129"/>
    </row>
    <row r="267" spans="1:50">
      <c r="A267">
        <f t="shared" si="68"/>
        <v>2029</v>
      </c>
      <c r="Q267" s="129"/>
    </row>
    <row r="268" spans="1:50">
      <c r="A268">
        <f t="shared" si="68"/>
        <v>2030</v>
      </c>
      <c r="Q268" s="129"/>
    </row>
    <row r="269" spans="1:50">
      <c r="Q269" s="129"/>
    </row>
    <row r="270" spans="1:50">
      <c r="Q270" s="129"/>
    </row>
    <row r="271" spans="1:50">
      <c r="Q271" s="129"/>
    </row>
    <row r="272" spans="1:50">
      <c r="Q272" s="129"/>
    </row>
    <row r="273" spans="17:17">
      <c r="Q273" s="129"/>
    </row>
    <row r="274" spans="17:17">
      <c r="Q274" s="129"/>
    </row>
    <row r="275" spans="17:17">
      <c r="Q275" s="129"/>
    </row>
    <row r="276" spans="17:17">
      <c r="Q276" s="129"/>
    </row>
    <row r="277" spans="17:17">
      <c r="Q277" s="129"/>
    </row>
    <row r="278" spans="17:17">
      <c r="Q278" s="129"/>
    </row>
    <row r="279" spans="17:17">
      <c r="Q279" s="129"/>
    </row>
    <row r="280" spans="17:17">
      <c r="Q280" s="129"/>
    </row>
    <row r="281" spans="17:17">
      <c r="Q281" s="129"/>
    </row>
    <row r="282" spans="17:17">
      <c r="Q282" s="129"/>
    </row>
    <row r="283" spans="17:17">
      <c r="Q283" s="129"/>
    </row>
    <row r="284" spans="17:17">
      <c r="Q284" s="129"/>
    </row>
    <row r="285" spans="17:17">
      <c r="Q285" s="129"/>
    </row>
    <row r="286" spans="17:17">
      <c r="Q286" s="129"/>
    </row>
    <row r="287" spans="17:17">
      <c r="Q287" s="129"/>
    </row>
    <row r="288" spans="17:17">
      <c r="Q288" s="129"/>
    </row>
    <row r="289" spans="17:17">
      <c r="Q289" s="129"/>
    </row>
    <row r="290" spans="17:17">
      <c r="Q290" s="129"/>
    </row>
    <row r="291" spans="17:17">
      <c r="Q291" s="129"/>
    </row>
    <row r="292" spans="17:17">
      <c r="Q292" s="129"/>
    </row>
    <row r="293" spans="17:17">
      <c r="Q293" s="129"/>
    </row>
    <row r="294" spans="17:17">
      <c r="Q294" s="129"/>
    </row>
    <row r="295" spans="17:17">
      <c r="Q295" s="129"/>
    </row>
    <row r="296" spans="17:17">
      <c r="Q296" s="129"/>
    </row>
    <row r="297" spans="17:17">
      <c r="Q297" s="129"/>
    </row>
    <row r="298" spans="17:17">
      <c r="Q298" s="129"/>
    </row>
    <row r="299" spans="17:17">
      <c r="Q299" s="129"/>
    </row>
    <row r="300" spans="17:17">
      <c r="Q300" s="129"/>
    </row>
    <row r="301" spans="17:17">
      <c r="Q301" s="129"/>
    </row>
    <row r="302" spans="17:17">
      <c r="Q302" s="129"/>
    </row>
    <row r="303" spans="17:17">
      <c r="Q303" s="129"/>
    </row>
    <row r="304" spans="17:17">
      <c r="Q304" s="129"/>
    </row>
    <row r="305" spans="17:17">
      <c r="Q305" s="129"/>
    </row>
    <row r="306" spans="17:17">
      <c r="Q306" s="129"/>
    </row>
    <row r="307" spans="17:17">
      <c r="Q307" s="129"/>
    </row>
    <row r="308" spans="17:17">
      <c r="Q308" s="129"/>
    </row>
    <row r="309" spans="17:17">
      <c r="Q309" s="129"/>
    </row>
    <row r="310" spans="17:17">
      <c r="Q310" s="129"/>
    </row>
    <row r="311" spans="17:17">
      <c r="Q311" s="129"/>
    </row>
    <row r="312" spans="17:17">
      <c r="Q312" s="129"/>
    </row>
    <row r="313" spans="17:17">
      <c r="Q313" s="129"/>
    </row>
    <row r="314" spans="17:17">
      <c r="Q314" s="129"/>
    </row>
    <row r="315" spans="17:17">
      <c r="Q315" s="129"/>
    </row>
    <row r="316" spans="17:17">
      <c r="Q316" s="129"/>
    </row>
    <row r="317" spans="17:17">
      <c r="Q317" s="129"/>
    </row>
    <row r="318" spans="17:17">
      <c r="Q318" s="129"/>
    </row>
    <row r="319" spans="17:17">
      <c r="Q319" s="129"/>
    </row>
    <row r="320" spans="17:17">
      <c r="Q320" s="129"/>
    </row>
    <row r="321" spans="17:17">
      <c r="Q321" s="129"/>
    </row>
    <row r="322" spans="17:17">
      <c r="Q322" s="129"/>
    </row>
    <row r="323" spans="17:17">
      <c r="Q323" s="129"/>
    </row>
    <row r="324" spans="17:17">
      <c r="Q324" s="129"/>
    </row>
    <row r="325" spans="17:17">
      <c r="Q325" s="129"/>
    </row>
    <row r="326" spans="17:17">
      <c r="Q326" s="129"/>
    </row>
    <row r="327" spans="17:17">
      <c r="Q327" s="129"/>
    </row>
    <row r="328" spans="17:17">
      <c r="Q328" s="129"/>
    </row>
    <row r="329" spans="17:17">
      <c r="Q329" s="129"/>
    </row>
    <row r="330" spans="17:17">
      <c r="Q330" s="129"/>
    </row>
    <row r="331" spans="17:17">
      <c r="Q331" s="129"/>
    </row>
    <row r="332" spans="17:17">
      <c r="Q332" s="129"/>
    </row>
    <row r="333" spans="17:17">
      <c r="Q333" s="129"/>
    </row>
    <row r="334" spans="17:17">
      <c r="Q334" s="129"/>
    </row>
    <row r="335" spans="17:17">
      <c r="Q335" s="129"/>
    </row>
    <row r="336" spans="17:17">
      <c r="Q336" s="129"/>
    </row>
    <row r="337" spans="17:17">
      <c r="Q337" s="129"/>
    </row>
    <row r="338" spans="17:17">
      <c r="Q338" s="129"/>
    </row>
    <row r="339" spans="17:17">
      <c r="Q339" s="129"/>
    </row>
    <row r="340" spans="17:17">
      <c r="Q340" s="129"/>
    </row>
    <row r="341" spans="17:17">
      <c r="Q341" s="129"/>
    </row>
    <row r="342" spans="17:17">
      <c r="Q342" s="129"/>
    </row>
    <row r="343" spans="17:17">
      <c r="Q343" s="129"/>
    </row>
    <row r="344" spans="17:17">
      <c r="Q344" s="129"/>
    </row>
    <row r="345" spans="17:17">
      <c r="Q345" s="129"/>
    </row>
    <row r="346" spans="17:17">
      <c r="Q346" s="129"/>
    </row>
    <row r="347" spans="17:17">
      <c r="Q347" s="129"/>
    </row>
    <row r="348" spans="17:17">
      <c r="Q348" s="129"/>
    </row>
    <row r="349" spans="17:17">
      <c r="Q349" s="129"/>
    </row>
    <row r="350" spans="17:17">
      <c r="Q350" s="129"/>
    </row>
    <row r="351" spans="17:17">
      <c r="Q351" s="129"/>
    </row>
    <row r="352" spans="17:17">
      <c r="Q352" s="129"/>
    </row>
    <row r="353" spans="17:17">
      <c r="Q353" s="129"/>
    </row>
    <row r="354" spans="17:17">
      <c r="Q354" s="129"/>
    </row>
    <row r="355" spans="17:17">
      <c r="Q355" s="129"/>
    </row>
    <row r="356" spans="17:17">
      <c r="Q356" s="129"/>
    </row>
    <row r="357" spans="17:17">
      <c r="Q357" s="129"/>
    </row>
    <row r="358" spans="17:17">
      <c r="Q358" s="129"/>
    </row>
    <row r="359" spans="17:17">
      <c r="Q359" s="129"/>
    </row>
    <row r="360" spans="17:17">
      <c r="Q360" s="129"/>
    </row>
    <row r="361" spans="17:17">
      <c r="Q361" s="129"/>
    </row>
    <row r="362" spans="17:17">
      <c r="Q362" s="129"/>
    </row>
    <row r="363" spans="17:17">
      <c r="Q363" s="129"/>
    </row>
    <row r="364" spans="17:17">
      <c r="Q364" s="129"/>
    </row>
    <row r="365" spans="17:17">
      <c r="Q365" s="129"/>
    </row>
    <row r="366" spans="17:17">
      <c r="Q366" s="129"/>
    </row>
    <row r="367" spans="17:17">
      <c r="Q367" s="129"/>
    </row>
    <row r="368" spans="17:17">
      <c r="Q368" s="129"/>
    </row>
    <row r="369" spans="17:17">
      <c r="Q369" s="129"/>
    </row>
    <row r="370" spans="17:17">
      <c r="Q370" s="129"/>
    </row>
    <row r="371" spans="17:17">
      <c r="Q371" s="129"/>
    </row>
    <row r="372" spans="17:17">
      <c r="Q372" s="129"/>
    </row>
    <row r="373" spans="17:17">
      <c r="Q373" s="129"/>
    </row>
    <row r="374" spans="17:17">
      <c r="Q374" s="129"/>
    </row>
    <row r="375" spans="17:17">
      <c r="Q375" s="129"/>
    </row>
    <row r="376" spans="17:17">
      <c r="Q376" s="129"/>
    </row>
    <row r="377" spans="17:17">
      <c r="Q377" s="129"/>
    </row>
    <row r="378" spans="17:17">
      <c r="Q378" s="129"/>
    </row>
    <row r="379" spans="17:17">
      <c r="Q379" s="129"/>
    </row>
    <row r="380" spans="17:17">
      <c r="Q380" s="129"/>
    </row>
    <row r="381" spans="17:17">
      <c r="Q381" s="129"/>
    </row>
    <row r="382" spans="17:17">
      <c r="Q382" s="129"/>
    </row>
    <row r="383" spans="17:17">
      <c r="Q383" s="129"/>
    </row>
    <row r="384" spans="17:17">
      <c r="Q384" s="129"/>
    </row>
    <row r="385" spans="17:17">
      <c r="Q385" s="129"/>
    </row>
    <row r="386" spans="17:17">
      <c r="Q386" s="129"/>
    </row>
    <row r="387" spans="17:17">
      <c r="Q387" s="129"/>
    </row>
    <row r="388" spans="17:17">
      <c r="Q388" s="129"/>
    </row>
    <row r="389" spans="17:17">
      <c r="Q389" s="129"/>
    </row>
    <row r="390" spans="17:17">
      <c r="Q390" s="129"/>
    </row>
    <row r="391" spans="17:17">
      <c r="Q391" s="129"/>
    </row>
    <row r="392" spans="17:17">
      <c r="Q392" s="129"/>
    </row>
    <row r="393" spans="17:17">
      <c r="Q393" s="129"/>
    </row>
    <row r="394" spans="17:17">
      <c r="Q394" s="129"/>
    </row>
    <row r="395" spans="17:17">
      <c r="Q395" s="129"/>
    </row>
    <row r="396" spans="17:17">
      <c r="Q396" s="129"/>
    </row>
    <row r="397" spans="17:17">
      <c r="Q397" s="129"/>
    </row>
    <row r="398" spans="17:17">
      <c r="Q398" s="129"/>
    </row>
    <row r="399" spans="17:17">
      <c r="Q399" s="129"/>
    </row>
    <row r="400" spans="17:17">
      <c r="Q400" s="129"/>
    </row>
    <row r="401" spans="17:17">
      <c r="Q401" s="129"/>
    </row>
    <row r="402" spans="17:17">
      <c r="Q402" s="129"/>
    </row>
    <row r="410" spans="17:17">
      <c r="Q410" s="129">
        <v>162</v>
      </c>
    </row>
    <row r="411" spans="17:17">
      <c r="Q411" s="129">
        <v>177.4</v>
      </c>
    </row>
    <row r="412" spans="17:17">
      <c r="Q412" s="129">
        <v>202.8</v>
      </c>
    </row>
    <row r="413" spans="17:17">
      <c r="Q413" s="129">
        <v>212.7</v>
      </c>
    </row>
    <row r="414" spans="17:17">
      <c r="Q414" s="129">
        <v>248</v>
      </c>
    </row>
    <row r="415" spans="17:17">
      <c r="Q415" s="129">
        <v>365.7</v>
      </c>
    </row>
    <row r="416" spans="17:17">
      <c r="Q416" s="129">
        <v>375.1</v>
      </c>
    </row>
    <row r="417" spans="17:17">
      <c r="Q417" s="129">
        <v>375.5</v>
      </c>
    </row>
    <row r="418" spans="17:17">
      <c r="Q418" s="129">
        <v>377.8</v>
      </c>
    </row>
    <row r="419" spans="17:17">
      <c r="Q419" s="129">
        <v>389.4</v>
      </c>
    </row>
    <row r="420" spans="17:17">
      <c r="Q420" s="129">
        <v>406.1</v>
      </c>
    </row>
    <row r="421" spans="17:17">
      <c r="Q421" s="129">
        <v>419</v>
      </c>
    </row>
    <row r="422" spans="17:17">
      <c r="Q422" s="129">
        <v>421.7</v>
      </c>
    </row>
    <row r="423" spans="17:17">
      <c r="Q423" s="129">
        <v>423.2</v>
      </c>
    </row>
    <row r="424" spans="17:17">
      <c r="Q424" s="129">
        <v>428.9</v>
      </c>
    </row>
    <row r="425" spans="17:17">
      <c r="Q425" s="129">
        <v>440.3</v>
      </c>
    </row>
    <row r="426" spans="17:17">
      <c r="Q426" s="129">
        <v>450.1</v>
      </c>
    </row>
    <row r="427" spans="17:17">
      <c r="Q427" s="129">
        <v>456.2</v>
      </c>
    </row>
    <row r="428" spans="17:17">
      <c r="Q428" s="129">
        <v>471.4</v>
      </c>
    </row>
    <row r="429" spans="17:17">
      <c r="Q429" s="129">
        <v>493.1</v>
      </c>
    </row>
    <row r="430" spans="17:17">
      <c r="Q430" s="129">
        <v>506.8</v>
      </c>
    </row>
    <row r="431" spans="17:17">
      <c r="Q431" s="129">
        <v>513.29999999999995</v>
      </c>
    </row>
    <row r="432" spans="17:17">
      <c r="Q432" s="129">
        <v>536.1</v>
      </c>
    </row>
    <row r="433" spans="17:17">
      <c r="Q433" s="129">
        <v>557</v>
      </c>
    </row>
    <row r="434" spans="17:17">
      <c r="Q434" s="129">
        <v>596.29999999999995</v>
      </c>
    </row>
    <row r="435" spans="17:17">
      <c r="Q435" s="129">
        <v>650</v>
      </c>
    </row>
    <row r="436" spans="17:17">
      <c r="Q436" s="129">
        <v>684.6</v>
      </c>
    </row>
    <row r="437" spans="17:17">
      <c r="Q437" s="129">
        <v>734.7</v>
      </c>
    </row>
    <row r="438" spans="17:17">
      <c r="Q438" s="129">
        <v>906.4</v>
      </c>
    </row>
    <row r="439" spans="17:17">
      <c r="Q439" s="129">
        <v>1125.3</v>
      </c>
    </row>
    <row r="440" spans="17:17">
      <c r="Q440" s="129">
        <v>1248.4000000000001</v>
      </c>
    </row>
  </sheetData>
  <hyperlinks>
    <hyperlink ref="AD14" r:id="rId1"/>
    <hyperlink ref="S15" r:id="rId2"/>
    <hyperlink ref="R12" r:id="rId3"/>
  </hyperlinks>
  <pageMargins left="0.75" right="0.75" top="1" bottom="1" header="0.5" footer="0.5"/>
  <pageSetup orientation="portrait" horizontalDpi="360" r:id="rId4"/>
  <headerFooter alignWithMargins="0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8</vt:i4>
      </vt:variant>
    </vt:vector>
  </HeadingPairs>
  <TitlesOfParts>
    <vt:vector size="10" baseType="lpstr">
      <vt:lpstr>Documentation</vt:lpstr>
      <vt:lpstr>DATALRprices</vt:lpstr>
      <vt:lpstr>Fig 5.1</vt:lpstr>
      <vt:lpstr>Fig 5.2</vt:lpstr>
      <vt:lpstr>Fig5.3</vt:lpstr>
      <vt:lpstr>Fig5.4</vt:lpstr>
      <vt:lpstr>Fig 5.5</vt:lpstr>
      <vt:lpstr>Fig 5.6</vt:lpstr>
      <vt:lpstr>Fig16.1usukglddetrnded</vt:lpstr>
      <vt:lpstr>Fig17.1 usukwaveprojected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shaikh@newschool.edu</dc:creator>
  <cp:lastModifiedBy>shaikh@newschool.edu</cp:lastModifiedBy>
  <dcterms:created xsi:type="dcterms:W3CDTF">2014-07-01T17:18:42Z</dcterms:created>
  <dcterms:modified xsi:type="dcterms:W3CDTF">2017-01-16T04:01:46Z</dcterms:modified>
</cp:coreProperties>
</file>